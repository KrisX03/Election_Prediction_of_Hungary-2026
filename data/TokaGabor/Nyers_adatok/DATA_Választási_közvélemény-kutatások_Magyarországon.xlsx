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mrc/MRC Dropbox/Gábor Tóka/Work/Country/Kozvkut/"/>
    </mc:Choice>
  </mc:AlternateContent>
  <xr:revisionPtr revIDLastSave="0" documentId="13_ncr:1_{4635A22C-583E-854A-972F-13CC7ECA6749}" xr6:coauthVersionLast="47" xr6:coauthVersionMax="47" xr10:uidLastSave="{00000000-0000-0000-0000-000000000000}"/>
  <bookViews>
    <workbookView xWindow="0" yWindow="660" windowWidth="30240" windowHeight="17240" activeTab="2" xr2:uid="{00000000-000D-0000-FFFF-FFFF00000000}"/>
  </bookViews>
  <sheets>
    <sheet name="Magyarázatok" sheetId="1" r:id="rId1"/>
    <sheet name="Oszlopfeliratok" sheetId="2" r:id="rId2"/>
    <sheet name="Adatok" sheetId="3" r:id="rId3"/>
    <sheet name="Ábrá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7b/4iO+PjkHV4PdekEu3rxo44Ff1xcmWVIBp3h8I2DQ="/>
    </ext>
  </extLst>
</workbook>
</file>

<file path=xl/calcChain.xml><?xml version="1.0" encoding="utf-8"?>
<calcChain xmlns="http://schemas.openxmlformats.org/spreadsheetml/2006/main">
  <c r="AM14" i="3" l="1"/>
  <c r="AL14" i="3"/>
  <c r="AC14" i="3"/>
  <c r="AB14" i="3"/>
  <c r="AM13" i="3"/>
  <c r="AL13" i="3"/>
  <c r="AC13" i="3"/>
  <c r="AB13" i="3"/>
  <c r="AM8" i="3"/>
  <c r="AL8" i="3"/>
  <c r="AC8" i="3"/>
  <c r="AB8" i="3"/>
  <c r="AM18" i="3"/>
  <c r="AL18" i="3"/>
  <c r="AC18" i="3"/>
  <c r="AB18" i="3"/>
  <c r="AM2" i="3"/>
  <c r="AL2" i="3"/>
  <c r="AC2" i="3"/>
  <c r="AB2" i="3"/>
  <c r="AM4" i="3"/>
  <c r="AL4" i="3"/>
  <c r="AC4" i="3"/>
  <c r="AB4" i="3"/>
  <c r="AM3" i="3"/>
  <c r="AL3" i="3"/>
  <c r="AC3" i="3"/>
  <c r="AB3" i="3"/>
  <c r="AM7" i="3"/>
  <c r="AL7" i="3"/>
  <c r="AN7" i="3" s="1"/>
  <c r="AC7" i="3"/>
  <c r="AB7" i="3"/>
  <c r="AM6" i="3"/>
  <c r="AL6" i="3"/>
  <c r="AC6" i="3"/>
  <c r="AB6" i="3"/>
  <c r="AM5" i="3"/>
  <c r="AL5" i="3"/>
  <c r="AC5" i="3"/>
  <c r="AB5" i="3"/>
  <c r="AM9" i="3"/>
  <c r="AL9" i="3"/>
  <c r="AC9" i="3"/>
  <c r="AB9" i="3"/>
  <c r="AM15" i="3"/>
  <c r="AL15" i="3"/>
  <c r="AC15" i="3"/>
  <c r="AB15" i="3"/>
  <c r="AM17" i="3"/>
  <c r="AL17" i="3"/>
  <c r="AC17" i="3"/>
  <c r="AB17" i="3"/>
  <c r="AM16" i="3"/>
  <c r="AL16" i="3"/>
  <c r="AC16" i="3"/>
  <c r="AB16" i="3"/>
  <c r="AM74" i="3"/>
  <c r="AL74" i="3"/>
  <c r="AC74" i="3"/>
  <c r="AB74" i="3"/>
  <c r="AM12" i="3"/>
  <c r="AL12" i="3"/>
  <c r="AC12" i="3"/>
  <c r="AB12" i="3"/>
  <c r="AM11" i="3"/>
  <c r="AL11" i="3"/>
  <c r="AC11" i="3"/>
  <c r="AB11" i="3"/>
  <c r="AM10" i="3"/>
  <c r="AL10" i="3"/>
  <c r="AC10" i="3"/>
  <c r="AB10" i="3"/>
  <c r="AM33" i="3"/>
  <c r="AL33" i="3"/>
  <c r="AC33" i="3"/>
  <c r="AB33" i="3"/>
  <c r="AM19" i="3"/>
  <c r="AL19" i="3"/>
  <c r="AC19" i="3"/>
  <c r="AB19" i="3"/>
  <c r="AM24" i="3"/>
  <c r="AL24" i="3"/>
  <c r="AC24" i="3"/>
  <c r="AB24" i="3"/>
  <c r="AM22" i="3"/>
  <c r="AL22" i="3"/>
  <c r="AC22" i="3"/>
  <c r="AB22" i="3"/>
  <c r="AM21" i="3"/>
  <c r="AL21" i="3"/>
  <c r="AC21" i="3"/>
  <c r="AB21" i="3"/>
  <c r="AM20" i="3"/>
  <c r="AL20" i="3"/>
  <c r="AC20" i="3"/>
  <c r="AB20" i="3"/>
  <c r="AM32" i="3"/>
  <c r="AL32" i="3"/>
  <c r="AC32" i="3"/>
  <c r="AB32" i="3"/>
  <c r="AM29" i="3"/>
  <c r="AL29" i="3"/>
  <c r="AC29" i="3"/>
  <c r="AB29" i="3"/>
  <c r="AM28" i="3"/>
  <c r="AL28" i="3"/>
  <c r="AC28" i="3"/>
  <c r="AB28" i="3"/>
  <c r="AM37" i="3"/>
  <c r="AL37" i="3"/>
  <c r="AC37" i="3"/>
  <c r="AB37" i="3"/>
  <c r="AM27" i="3"/>
  <c r="AL27" i="3"/>
  <c r="AC27" i="3"/>
  <c r="AB27" i="3"/>
  <c r="AM26" i="3"/>
  <c r="AL26" i="3"/>
  <c r="AC26" i="3"/>
  <c r="AB26" i="3"/>
  <c r="AM25" i="3"/>
  <c r="AL25" i="3"/>
  <c r="AC25" i="3"/>
  <c r="AB25" i="3"/>
  <c r="AC46" i="3"/>
  <c r="AC93" i="3"/>
  <c r="AB40" i="3"/>
  <c r="AC39" i="3"/>
  <c r="AC38" i="3"/>
  <c r="AC47" i="3"/>
  <c r="AC49" i="3"/>
  <c r="AC48" i="3"/>
  <c r="AM31" i="3"/>
  <c r="AL31" i="3"/>
  <c r="AC31" i="3"/>
  <c r="AB31" i="3"/>
  <c r="AM30" i="3"/>
  <c r="AL30" i="3"/>
  <c r="AC30" i="3"/>
  <c r="AB30" i="3"/>
  <c r="AM94" i="3"/>
  <c r="AL94" i="3"/>
  <c r="AC94" i="3"/>
  <c r="AB94" i="3"/>
  <c r="AM93" i="3"/>
  <c r="AL93" i="3"/>
  <c r="AB93" i="3"/>
  <c r="AM41" i="3"/>
  <c r="AL41" i="3"/>
  <c r="AC41" i="3"/>
  <c r="AB41" i="3"/>
  <c r="AM40" i="3"/>
  <c r="AL40" i="3"/>
  <c r="AM39" i="3"/>
  <c r="AL39" i="3"/>
  <c r="AM38" i="3"/>
  <c r="AL38" i="3"/>
  <c r="AM47" i="3"/>
  <c r="AL47" i="3"/>
  <c r="AM46" i="3"/>
  <c r="AL46" i="3"/>
  <c r="AM49" i="3"/>
  <c r="AL49" i="3"/>
  <c r="AM48" i="3"/>
  <c r="AL48" i="3"/>
  <c r="AM56" i="3"/>
  <c r="AL56" i="3"/>
  <c r="AC56" i="3"/>
  <c r="AB56" i="3"/>
  <c r="AM55" i="3"/>
  <c r="AL55" i="3"/>
  <c r="AC55" i="3"/>
  <c r="AB55" i="3"/>
  <c r="AM54" i="3"/>
  <c r="AL54" i="3"/>
  <c r="AC54" i="3"/>
  <c r="AB54" i="3"/>
  <c r="AM53" i="3"/>
  <c r="AL53" i="3"/>
  <c r="AC53" i="3"/>
  <c r="AB53" i="3"/>
  <c r="AM36" i="3"/>
  <c r="AL36" i="3"/>
  <c r="AC36" i="3"/>
  <c r="AB36" i="3"/>
  <c r="AM35" i="3"/>
  <c r="AL35" i="3"/>
  <c r="AC35" i="3"/>
  <c r="AB35" i="3"/>
  <c r="AM34" i="3"/>
  <c r="AL34" i="3"/>
  <c r="AC34" i="3"/>
  <c r="AB34" i="3"/>
  <c r="AM23" i="3"/>
  <c r="AL23" i="3"/>
  <c r="AC23" i="3"/>
  <c r="AM45" i="3"/>
  <c r="AL45" i="3"/>
  <c r="AC45" i="3"/>
  <c r="AB45" i="3"/>
  <c r="AM44" i="3"/>
  <c r="AL44" i="3"/>
  <c r="AC44" i="3"/>
  <c r="AB44" i="3"/>
  <c r="AM43" i="3"/>
  <c r="AL43" i="3"/>
  <c r="AC43" i="3"/>
  <c r="AB43" i="3"/>
  <c r="AM42" i="3"/>
  <c r="AL42" i="3"/>
  <c r="AC42" i="3"/>
  <c r="AB42" i="3"/>
  <c r="AM52" i="3"/>
  <c r="AL52" i="3"/>
  <c r="AC52" i="3"/>
  <c r="AB52" i="3"/>
  <c r="AM51" i="3"/>
  <c r="AL51" i="3"/>
  <c r="AC51" i="3"/>
  <c r="AB51" i="3"/>
  <c r="AM50" i="3"/>
  <c r="AL50" i="3"/>
  <c r="AC50" i="3"/>
  <c r="AB50" i="3"/>
  <c r="AM59" i="3"/>
  <c r="AL59" i="3"/>
  <c r="AC59" i="3"/>
  <c r="AM75" i="3"/>
  <c r="AL75" i="3"/>
  <c r="AC75" i="3"/>
  <c r="AB75" i="3"/>
  <c r="AM73" i="3"/>
  <c r="AL73" i="3"/>
  <c r="AC73" i="3"/>
  <c r="AB73" i="3"/>
  <c r="AM72" i="3"/>
  <c r="AL72" i="3"/>
  <c r="AC72" i="3"/>
  <c r="AB72" i="3"/>
  <c r="AM58" i="3"/>
  <c r="AL58" i="3"/>
  <c r="AC58" i="3"/>
  <c r="AB58" i="3"/>
  <c r="AM57" i="3"/>
  <c r="AL57" i="3"/>
  <c r="AC57" i="3"/>
  <c r="AB57" i="3"/>
  <c r="AM65" i="3"/>
  <c r="AL65" i="3"/>
  <c r="AC65" i="3"/>
  <c r="AB65" i="3"/>
  <c r="AM63" i="3"/>
  <c r="AL63" i="3"/>
  <c r="AC63" i="3"/>
  <c r="AB63" i="3"/>
  <c r="AM61" i="3"/>
  <c r="AL61" i="3"/>
  <c r="AC61" i="3"/>
  <c r="AB61" i="3"/>
  <c r="AM64" i="3"/>
  <c r="AL64" i="3"/>
  <c r="AC64" i="3"/>
  <c r="AB64" i="3"/>
  <c r="AM62" i="3"/>
  <c r="AL62" i="3"/>
  <c r="AC62" i="3"/>
  <c r="AB62" i="3"/>
  <c r="AM60" i="3"/>
  <c r="AL60" i="3"/>
  <c r="AC60" i="3"/>
  <c r="AB60" i="3"/>
  <c r="AM71" i="3"/>
  <c r="AL71" i="3"/>
  <c r="AC71" i="3"/>
  <c r="AB71" i="3"/>
  <c r="AM69" i="3"/>
  <c r="AL69" i="3"/>
  <c r="AC69" i="3"/>
  <c r="AB69" i="3"/>
  <c r="AM67" i="3"/>
  <c r="AL67" i="3"/>
  <c r="AC67" i="3"/>
  <c r="AB67" i="3"/>
  <c r="AM70" i="3"/>
  <c r="AL70" i="3"/>
  <c r="AC70" i="3"/>
  <c r="AB70" i="3"/>
  <c r="AM68" i="3"/>
  <c r="AL68" i="3"/>
  <c r="AC68" i="3"/>
  <c r="AB68" i="3"/>
  <c r="AM66" i="3"/>
  <c r="AL66" i="3"/>
  <c r="AC66" i="3"/>
  <c r="AB66" i="3"/>
  <c r="AN14" i="3" l="1"/>
  <c r="AN13" i="3"/>
  <c r="AN8" i="3"/>
  <c r="AN18" i="3"/>
  <c r="AN4" i="3"/>
  <c r="AN3" i="3"/>
  <c r="AN2" i="3"/>
  <c r="AN6" i="3"/>
  <c r="AN12" i="3"/>
  <c r="AN5" i="3"/>
  <c r="AN9" i="3"/>
  <c r="AN15" i="3"/>
  <c r="AN16" i="3"/>
  <c r="AN17" i="3"/>
  <c r="AN74" i="3"/>
  <c r="AN56" i="3"/>
  <c r="AN21" i="3"/>
  <c r="AN11" i="3"/>
  <c r="AN10" i="3"/>
  <c r="AN33" i="3"/>
  <c r="AN32" i="3"/>
  <c r="AN19" i="3"/>
  <c r="AN24" i="3"/>
  <c r="AN22" i="3"/>
  <c r="AN20" i="3"/>
  <c r="AN28" i="3"/>
  <c r="AN37" i="3"/>
  <c r="AN29" i="3"/>
  <c r="AN51" i="3"/>
  <c r="AN49" i="3"/>
  <c r="AN35" i="3"/>
  <c r="AN26" i="3"/>
  <c r="AN31" i="3"/>
  <c r="AN42" i="3"/>
  <c r="AN48" i="3"/>
  <c r="AN41" i="3"/>
  <c r="AN53" i="3"/>
  <c r="AN27" i="3"/>
  <c r="AN25" i="3"/>
  <c r="AB46" i="3"/>
  <c r="AC40" i="3"/>
  <c r="AB49" i="3"/>
  <c r="AB48" i="3"/>
  <c r="AB47" i="3"/>
  <c r="AB38" i="3"/>
  <c r="AB39" i="3"/>
  <c r="AN55" i="3"/>
  <c r="AN94" i="3"/>
  <c r="AN40" i="3"/>
  <c r="AN39" i="3"/>
  <c r="AN54" i="3"/>
  <c r="AN47" i="3"/>
  <c r="AN30" i="3"/>
  <c r="AN93" i="3"/>
  <c r="AN38" i="3"/>
  <c r="AN46" i="3"/>
  <c r="AN34" i="3"/>
  <c r="AN36" i="3"/>
  <c r="AN44" i="3"/>
  <c r="AN23" i="3"/>
  <c r="AN43" i="3"/>
  <c r="AN45" i="3"/>
  <c r="AN52" i="3"/>
  <c r="AN50" i="3"/>
  <c r="AN65" i="3"/>
  <c r="AN59" i="3"/>
  <c r="AN63" i="3"/>
  <c r="AN75" i="3"/>
  <c r="AN61" i="3"/>
  <c r="AN72" i="3"/>
  <c r="AN73" i="3"/>
  <c r="AN70" i="3"/>
  <c r="AN58" i="3"/>
  <c r="AN62" i="3"/>
  <c r="AN67" i="3"/>
  <c r="AN57" i="3"/>
  <c r="AN64" i="3"/>
  <c r="AN68" i="3"/>
  <c r="AN69" i="3"/>
  <c r="AN71" i="3"/>
  <c r="AN60" i="3"/>
  <c r="AN66" i="3"/>
  <c r="AM80" i="3"/>
  <c r="AL80" i="3"/>
  <c r="AC80" i="3"/>
  <c r="AB80" i="3"/>
  <c r="AM79" i="3"/>
  <c r="AL79" i="3"/>
  <c r="AC79" i="3"/>
  <c r="AB79" i="3"/>
  <c r="AM78" i="3"/>
  <c r="AL78" i="3"/>
  <c r="AC78" i="3"/>
  <c r="AB78" i="3"/>
  <c r="AM77" i="3"/>
  <c r="AL77" i="3"/>
  <c r="AC77" i="3"/>
  <c r="AB77" i="3"/>
  <c r="AM76" i="3"/>
  <c r="AL76" i="3"/>
  <c r="AC76" i="3"/>
  <c r="AB76" i="3"/>
  <c r="AM86" i="3"/>
  <c r="AL86" i="3"/>
  <c r="AC86" i="3"/>
  <c r="AB86" i="3"/>
  <c r="AM84" i="3"/>
  <c r="AL84" i="3"/>
  <c r="AC84" i="3"/>
  <c r="AB84" i="3"/>
  <c r="AM85" i="3"/>
  <c r="AL85" i="3"/>
  <c r="AC85" i="3"/>
  <c r="AB85" i="3"/>
  <c r="AM83" i="3"/>
  <c r="AL83" i="3"/>
  <c r="AC83" i="3"/>
  <c r="AB83" i="3"/>
  <c r="AM82" i="3"/>
  <c r="AL82" i="3"/>
  <c r="AC82" i="3"/>
  <c r="AB82" i="3"/>
  <c r="AM98" i="3"/>
  <c r="AL98" i="3"/>
  <c r="AC98" i="3"/>
  <c r="AB98" i="3"/>
  <c r="AM97" i="3"/>
  <c r="AL97" i="3"/>
  <c r="AC97" i="3"/>
  <c r="AB97" i="3"/>
  <c r="AM81" i="3"/>
  <c r="AL81" i="3"/>
  <c r="AC81" i="3"/>
  <c r="AB81" i="3"/>
  <c r="AM89" i="3"/>
  <c r="AL89" i="3"/>
  <c r="AC89" i="3"/>
  <c r="AB89" i="3"/>
  <c r="AM88" i="3"/>
  <c r="AL88" i="3"/>
  <c r="AC88" i="3"/>
  <c r="AB88" i="3"/>
  <c r="AM87" i="3"/>
  <c r="AL87" i="3"/>
  <c r="AC87" i="3"/>
  <c r="AB87" i="3"/>
  <c r="AB91" i="3"/>
  <c r="AC91" i="3"/>
  <c r="AL91" i="3"/>
  <c r="AM91" i="3"/>
  <c r="AB92" i="3"/>
  <c r="AC92" i="3"/>
  <c r="AL92" i="3"/>
  <c r="AM92" i="3"/>
  <c r="AM90" i="3"/>
  <c r="AL90" i="3"/>
  <c r="AC90" i="3"/>
  <c r="AB90" i="3"/>
  <c r="AB1793" i="3"/>
  <c r="AC1793" i="3"/>
  <c r="AL1793" i="3"/>
  <c r="AM1793" i="3"/>
  <c r="AM1792" i="3"/>
  <c r="AL1792" i="3"/>
  <c r="AC1792" i="3"/>
  <c r="AB1792" i="3"/>
  <c r="AM1799" i="3"/>
  <c r="AL1799" i="3"/>
  <c r="AC1799" i="3"/>
  <c r="AM1800" i="3"/>
  <c r="AL1800" i="3"/>
  <c r="AC1800" i="3"/>
  <c r="AM1798" i="3"/>
  <c r="AL1798" i="3"/>
  <c r="AC1798" i="3"/>
  <c r="AM1802" i="3"/>
  <c r="AL1802" i="3"/>
  <c r="AM1801" i="3"/>
  <c r="AL1801" i="3"/>
  <c r="AC1802" i="3"/>
  <c r="AC1801" i="3"/>
  <c r="AM1791" i="3"/>
  <c r="AL1791" i="3"/>
  <c r="AC1791" i="3"/>
  <c r="AB1791" i="3"/>
  <c r="AM1796" i="3"/>
  <c r="AL1796" i="3"/>
  <c r="AC1796" i="3"/>
  <c r="AB1796" i="3"/>
  <c r="AM1797" i="3"/>
  <c r="AL1797" i="3"/>
  <c r="AC1797" i="3"/>
  <c r="AB1797" i="3"/>
  <c r="AM1790" i="3"/>
  <c r="AL1790" i="3"/>
  <c r="AC1790" i="3"/>
  <c r="AB1790" i="3"/>
  <c r="AM1660" i="3"/>
  <c r="AL1660" i="3"/>
  <c r="AC1660" i="3"/>
  <c r="AB1660" i="3"/>
  <c r="AM1655" i="3"/>
  <c r="AL1655" i="3"/>
  <c r="AC1655" i="3"/>
  <c r="AB1655" i="3"/>
  <c r="AM1789" i="3"/>
  <c r="AL1789" i="3"/>
  <c r="AC1789" i="3"/>
  <c r="AB1789" i="3"/>
  <c r="AL1795" i="3"/>
  <c r="AL1794" i="3"/>
  <c r="AM1788" i="3"/>
  <c r="AL1788" i="3"/>
  <c r="AC1788" i="3"/>
  <c r="AB1788" i="3"/>
  <c r="AM1787" i="3"/>
  <c r="AL1787" i="3"/>
  <c r="AC1787" i="3"/>
  <c r="AB1787" i="3"/>
  <c r="AM1795" i="3"/>
  <c r="AC1795" i="3"/>
  <c r="AB1795" i="3"/>
  <c r="AM1794" i="3"/>
  <c r="AC1794" i="3"/>
  <c r="AB1794" i="3"/>
  <c r="AM96" i="3"/>
  <c r="AL96" i="3"/>
  <c r="AC96" i="3"/>
  <c r="AB96" i="3"/>
  <c r="AM95" i="3"/>
  <c r="AL95" i="3"/>
  <c r="AC95" i="3"/>
  <c r="AB95" i="3"/>
  <c r="AM101" i="3"/>
  <c r="AL101" i="3"/>
  <c r="AC101" i="3"/>
  <c r="AB101" i="3"/>
  <c r="AM100" i="3"/>
  <c r="AL100" i="3"/>
  <c r="AC100" i="3"/>
  <c r="AB100" i="3"/>
  <c r="AM99" i="3"/>
  <c r="AL99" i="3"/>
  <c r="AC99" i="3"/>
  <c r="AB99" i="3"/>
  <c r="AM112" i="3"/>
  <c r="AL112" i="3"/>
  <c r="AC112" i="3"/>
  <c r="AB112" i="3"/>
  <c r="AM113" i="3"/>
  <c r="AL113" i="3"/>
  <c r="AC113" i="3"/>
  <c r="AB113" i="3"/>
  <c r="AM111" i="3"/>
  <c r="AL111" i="3"/>
  <c r="AC111" i="3"/>
  <c r="AB111" i="3"/>
  <c r="AM104" i="3"/>
  <c r="AL104" i="3"/>
  <c r="AC104" i="3"/>
  <c r="AB104" i="3"/>
  <c r="AM103" i="3"/>
  <c r="AL103" i="3"/>
  <c r="AC103" i="3"/>
  <c r="AB103" i="3"/>
  <c r="AM102" i="3"/>
  <c r="AL102" i="3"/>
  <c r="AC102" i="3"/>
  <c r="AB102" i="3"/>
  <c r="AM114" i="3"/>
  <c r="AL114" i="3"/>
  <c r="AC114" i="3"/>
  <c r="AB114" i="3"/>
  <c r="AM107" i="3"/>
  <c r="AL107" i="3"/>
  <c r="AC107" i="3"/>
  <c r="AB107" i="3"/>
  <c r="AM106" i="3"/>
  <c r="AL106" i="3"/>
  <c r="AC106" i="3"/>
  <c r="AB106" i="3"/>
  <c r="AM105" i="3"/>
  <c r="AL105" i="3"/>
  <c r="AC105" i="3"/>
  <c r="AB105" i="3"/>
  <c r="AM110" i="3"/>
  <c r="AL110" i="3"/>
  <c r="AC110" i="3"/>
  <c r="AB110" i="3"/>
  <c r="AM209" i="3"/>
  <c r="AL209" i="3"/>
  <c r="AC209" i="3"/>
  <c r="AB209" i="3"/>
  <c r="AM210" i="3"/>
  <c r="AL210" i="3"/>
  <c r="AC210" i="3"/>
  <c r="AB210" i="3"/>
  <c r="AM211" i="3"/>
  <c r="AL211" i="3"/>
  <c r="AC211" i="3"/>
  <c r="AB211" i="3"/>
  <c r="AM144" i="3"/>
  <c r="AL144" i="3"/>
  <c r="AC144" i="3"/>
  <c r="AB144" i="3"/>
  <c r="AM116" i="3"/>
  <c r="AL116" i="3"/>
  <c r="AC116" i="3"/>
  <c r="AB116" i="3"/>
  <c r="AM115" i="3"/>
  <c r="AL115" i="3"/>
  <c r="AC115" i="3"/>
  <c r="AB115" i="3"/>
  <c r="AM109" i="3"/>
  <c r="AL109" i="3"/>
  <c r="AC109" i="3"/>
  <c r="AB109" i="3"/>
  <c r="AM108" i="3"/>
  <c r="AL108" i="3"/>
  <c r="AC108" i="3"/>
  <c r="AB108" i="3"/>
  <c r="AM128" i="3"/>
  <c r="AL128" i="3"/>
  <c r="AC128" i="3"/>
  <c r="AB128" i="3"/>
  <c r="AM120" i="3"/>
  <c r="AL120" i="3"/>
  <c r="AC120" i="3"/>
  <c r="AB120" i="3"/>
  <c r="AM119" i="3"/>
  <c r="AL119" i="3"/>
  <c r="AC119" i="3"/>
  <c r="AB119" i="3"/>
  <c r="AM118" i="3"/>
  <c r="AL118" i="3"/>
  <c r="AC118" i="3"/>
  <c r="AB118" i="3"/>
  <c r="AM154" i="3"/>
  <c r="AL154" i="3"/>
  <c r="AC154" i="3"/>
  <c r="AB154" i="3"/>
  <c r="AB362" i="3"/>
  <c r="AB361" i="3"/>
  <c r="AM117" i="3"/>
  <c r="AL117" i="3"/>
  <c r="AC117" i="3"/>
  <c r="AB117" i="3"/>
  <c r="AM121" i="3"/>
  <c r="AL121" i="3"/>
  <c r="AC121" i="3"/>
  <c r="AB121" i="3"/>
  <c r="AM124" i="3"/>
  <c r="AL124" i="3"/>
  <c r="AC124" i="3"/>
  <c r="AB124" i="3"/>
  <c r="AM123" i="3"/>
  <c r="AL123" i="3"/>
  <c r="AC123" i="3"/>
  <c r="AB123" i="3"/>
  <c r="AM122" i="3"/>
  <c r="AL122" i="3"/>
  <c r="AC122" i="3"/>
  <c r="AB122" i="3"/>
  <c r="AM139" i="3"/>
  <c r="AL139" i="3"/>
  <c r="AC139" i="3"/>
  <c r="AB139" i="3"/>
  <c r="AM138" i="3"/>
  <c r="AL138" i="3"/>
  <c r="AC138" i="3"/>
  <c r="AB138" i="3"/>
  <c r="AM137" i="3"/>
  <c r="AL137" i="3"/>
  <c r="AC137" i="3"/>
  <c r="AB137" i="3"/>
  <c r="AM136" i="3"/>
  <c r="AL136" i="3"/>
  <c r="AC136" i="3"/>
  <c r="AB136" i="3"/>
  <c r="AM140" i="3"/>
  <c r="AL140" i="3"/>
  <c r="AC140" i="3"/>
  <c r="AB140" i="3"/>
  <c r="AM135" i="3"/>
  <c r="AL135" i="3"/>
  <c r="AC135" i="3"/>
  <c r="AB135" i="3"/>
  <c r="AM127" i="3"/>
  <c r="AL127" i="3"/>
  <c r="AC127" i="3"/>
  <c r="AB127" i="3"/>
  <c r="AM126" i="3"/>
  <c r="AL126" i="3"/>
  <c r="AC126" i="3"/>
  <c r="AB126" i="3"/>
  <c r="AM125" i="3"/>
  <c r="AL125" i="3"/>
  <c r="AC125" i="3"/>
  <c r="AB125" i="3"/>
  <c r="AM130" i="3"/>
  <c r="AL130" i="3"/>
  <c r="AC130" i="3"/>
  <c r="AB130" i="3"/>
  <c r="AM129" i="3"/>
  <c r="AL129" i="3"/>
  <c r="AC129" i="3"/>
  <c r="AB129" i="3"/>
  <c r="AM147" i="3"/>
  <c r="AL147" i="3"/>
  <c r="AC147" i="3"/>
  <c r="AB147" i="3"/>
  <c r="AM146" i="3"/>
  <c r="AL146" i="3"/>
  <c r="AC146" i="3"/>
  <c r="AB146" i="3"/>
  <c r="AM131" i="3"/>
  <c r="AL131" i="3"/>
  <c r="AC131" i="3"/>
  <c r="AB131" i="3"/>
  <c r="AM134" i="3"/>
  <c r="AL134" i="3"/>
  <c r="AC134" i="3"/>
  <c r="AB134" i="3"/>
  <c r="AM133" i="3"/>
  <c r="AL133" i="3"/>
  <c r="AC133" i="3"/>
  <c r="AB133" i="3"/>
  <c r="AM148" i="3"/>
  <c r="AL148" i="3"/>
  <c r="AC148" i="3"/>
  <c r="AB148" i="3"/>
  <c r="AM150" i="3"/>
  <c r="AL150" i="3"/>
  <c r="AC150" i="3"/>
  <c r="AB150" i="3"/>
  <c r="AM132" i="3"/>
  <c r="AL132" i="3"/>
  <c r="AC132" i="3"/>
  <c r="AB132" i="3"/>
  <c r="AM183" i="3"/>
  <c r="AL183" i="3"/>
  <c r="AC183" i="3"/>
  <c r="AB183" i="3"/>
  <c r="AM182" i="3"/>
  <c r="AL182" i="3"/>
  <c r="AC182" i="3"/>
  <c r="AB182" i="3"/>
  <c r="AM153" i="3"/>
  <c r="AL153" i="3"/>
  <c r="AC153" i="3"/>
  <c r="AB153" i="3"/>
  <c r="AM152" i="3"/>
  <c r="AL152" i="3"/>
  <c r="AC152" i="3"/>
  <c r="AB152" i="3"/>
  <c r="AM181" i="3"/>
  <c r="AL181" i="3"/>
  <c r="AC181" i="3"/>
  <c r="AB181" i="3"/>
  <c r="AM151" i="3"/>
  <c r="AL151" i="3"/>
  <c r="AC151" i="3"/>
  <c r="AB151" i="3"/>
  <c r="AM143" i="3"/>
  <c r="AL143" i="3"/>
  <c r="AC143" i="3"/>
  <c r="AB143" i="3"/>
  <c r="AM142" i="3"/>
  <c r="AL142" i="3"/>
  <c r="AC142" i="3"/>
  <c r="AB142" i="3"/>
  <c r="AM141" i="3"/>
  <c r="AL141" i="3"/>
  <c r="AC141" i="3"/>
  <c r="AB141" i="3"/>
  <c r="AM145" i="3"/>
  <c r="AL145" i="3"/>
  <c r="AC145" i="3"/>
  <c r="AB145" i="3"/>
  <c r="AM149" i="3"/>
  <c r="AL149" i="3"/>
  <c r="AC149" i="3"/>
  <c r="AB149" i="3"/>
  <c r="AM172" i="3"/>
  <c r="AL172" i="3"/>
  <c r="AC172" i="3"/>
  <c r="AB172" i="3"/>
  <c r="AM158" i="3"/>
  <c r="AL158" i="3"/>
  <c r="AC158" i="3"/>
  <c r="AB158" i="3"/>
  <c r="AM162" i="3"/>
  <c r="AL162" i="3"/>
  <c r="AC162" i="3"/>
  <c r="AB162" i="3"/>
  <c r="AM161" i="3"/>
  <c r="AL161" i="3"/>
  <c r="AC161" i="3"/>
  <c r="AB161" i="3"/>
  <c r="AM157" i="3"/>
  <c r="AL157" i="3"/>
  <c r="AC157" i="3"/>
  <c r="AB157" i="3"/>
  <c r="AM156" i="3"/>
  <c r="AL156" i="3"/>
  <c r="AC156" i="3"/>
  <c r="AB156" i="3"/>
  <c r="AM155" i="3"/>
  <c r="AL155" i="3"/>
  <c r="AC155" i="3"/>
  <c r="AB155" i="3"/>
  <c r="AM160" i="3"/>
  <c r="AL160" i="3"/>
  <c r="AC160" i="3"/>
  <c r="AB160" i="3"/>
  <c r="AM159" i="3"/>
  <c r="AL159" i="3"/>
  <c r="AC159" i="3"/>
  <c r="AB159" i="3"/>
  <c r="AM168" i="3"/>
  <c r="AL168" i="3"/>
  <c r="AC168" i="3"/>
  <c r="AB168" i="3"/>
  <c r="AM171" i="3"/>
  <c r="AL171" i="3"/>
  <c r="AC171" i="3"/>
  <c r="AB171" i="3"/>
  <c r="AM170" i="3"/>
  <c r="AL170" i="3"/>
  <c r="AC170" i="3"/>
  <c r="AB170" i="3"/>
  <c r="AM169" i="3"/>
  <c r="AL169" i="3"/>
  <c r="AC169" i="3"/>
  <c r="AB169" i="3"/>
  <c r="AB249" i="3"/>
  <c r="AM164" i="3"/>
  <c r="AL164" i="3"/>
  <c r="AC164" i="3"/>
  <c r="AB164" i="3"/>
  <c r="AM163" i="3"/>
  <c r="AL163" i="3"/>
  <c r="AC163" i="3"/>
  <c r="AB163" i="3"/>
  <c r="AM185" i="3"/>
  <c r="AL185" i="3"/>
  <c r="AC185" i="3"/>
  <c r="AB185" i="3"/>
  <c r="AM184" i="3"/>
  <c r="AL184" i="3"/>
  <c r="AC184" i="3"/>
  <c r="AB184" i="3"/>
  <c r="AM225" i="3"/>
  <c r="AL225" i="3"/>
  <c r="AC225" i="3"/>
  <c r="AB225" i="3"/>
  <c r="AM224" i="3"/>
  <c r="AL224" i="3"/>
  <c r="AC224" i="3"/>
  <c r="AB224" i="3"/>
  <c r="AM167" i="3"/>
  <c r="AL167" i="3"/>
  <c r="AC167" i="3"/>
  <c r="AB167" i="3"/>
  <c r="AM166" i="3"/>
  <c r="AL166" i="3"/>
  <c r="AC166" i="3"/>
  <c r="AB166" i="3"/>
  <c r="AM165" i="3"/>
  <c r="AL165" i="3"/>
  <c r="AC165" i="3"/>
  <c r="AB165" i="3"/>
  <c r="AM212" i="3"/>
  <c r="AL212" i="3"/>
  <c r="AC212" i="3"/>
  <c r="AB212" i="3"/>
  <c r="AM214" i="3"/>
  <c r="AL214" i="3"/>
  <c r="AC214" i="3"/>
  <c r="AB214" i="3"/>
  <c r="AM213" i="3"/>
  <c r="AL213" i="3"/>
  <c r="AC213" i="3"/>
  <c r="AB213" i="3"/>
  <c r="AB250" i="3"/>
  <c r="AM250" i="3"/>
  <c r="AL250" i="3"/>
  <c r="AC250" i="3"/>
  <c r="AM249" i="3"/>
  <c r="AL249" i="3"/>
  <c r="AC249" i="3"/>
  <c r="AM204" i="3"/>
  <c r="AL204" i="3"/>
  <c r="AC204" i="3"/>
  <c r="AB204" i="3"/>
  <c r="AM173" i="3"/>
  <c r="AL173" i="3"/>
  <c r="AC173" i="3"/>
  <c r="AB173" i="3"/>
  <c r="AM244" i="3"/>
  <c r="AL244" i="3"/>
  <c r="AC244" i="3"/>
  <c r="AB244" i="3"/>
  <c r="AM243" i="3"/>
  <c r="AL243" i="3"/>
  <c r="AC243" i="3"/>
  <c r="AB243" i="3"/>
  <c r="AM242" i="3"/>
  <c r="AL242" i="3"/>
  <c r="AC242" i="3"/>
  <c r="AB242" i="3"/>
  <c r="AM188" i="3"/>
  <c r="AL188" i="3"/>
  <c r="AC188" i="3"/>
  <c r="AB188" i="3"/>
  <c r="AM187" i="3"/>
  <c r="AL187" i="3"/>
  <c r="AC187" i="3"/>
  <c r="AB187" i="3"/>
  <c r="AM186" i="3"/>
  <c r="AL186" i="3"/>
  <c r="AC186" i="3"/>
  <c r="AB186" i="3"/>
  <c r="AM180" i="3"/>
  <c r="AL180" i="3"/>
  <c r="AC180" i="3"/>
  <c r="AB180" i="3"/>
  <c r="AM179" i="3"/>
  <c r="AL179" i="3"/>
  <c r="AC179" i="3"/>
  <c r="AB179" i="3"/>
  <c r="AM178" i="3"/>
  <c r="AL178" i="3"/>
  <c r="AC178" i="3"/>
  <c r="AB178" i="3"/>
  <c r="AM233" i="3"/>
  <c r="AL233" i="3"/>
  <c r="AC233" i="3"/>
  <c r="AB233" i="3"/>
  <c r="AM189" i="3"/>
  <c r="AL189" i="3"/>
  <c r="AC189" i="3"/>
  <c r="AB189" i="3"/>
  <c r="AM191" i="3"/>
  <c r="AL191" i="3"/>
  <c r="AC191" i="3"/>
  <c r="AB191" i="3"/>
  <c r="AM190" i="3"/>
  <c r="AL190" i="3"/>
  <c r="AC190" i="3"/>
  <c r="AB190" i="3"/>
  <c r="AM177" i="3"/>
  <c r="AL177" i="3"/>
  <c r="AC177" i="3"/>
  <c r="AB177" i="3"/>
  <c r="AM176" i="3"/>
  <c r="AL176" i="3"/>
  <c r="AC176" i="3"/>
  <c r="AB176" i="3"/>
  <c r="AM175" i="3"/>
  <c r="AL175" i="3"/>
  <c r="AC175" i="3"/>
  <c r="AB175" i="3"/>
  <c r="AM174" i="3"/>
  <c r="AL174" i="3"/>
  <c r="AC174" i="3"/>
  <c r="AB174" i="3"/>
  <c r="AM196" i="3"/>
  <c r="AL196" i="3"/>
  <c r="AC196" i="3"/>
  <c r="AB196" i="3"/>
  <c r="AM195" i="3"/>
  <c r="AL195" i="3"/>
  <c r="AC195" i="3"/>
  <c r="AB195" i="3"/>
  <c r="AM229" i="3"/>
  <c r="AL229" i="3"/>
  <c r="AC229" i="3"/>
  <c r="AB229" i="3"/>
  <c r="AM198" i="3"/>
  <c r="AL198" i="3"/>
  <c r="AC198" i="3"/>
  <c r="AB198" i="3"/>
  <c r="AM265" i="3"/>
  <c r="AL265" i="3"/>
  <c r="AC265" i="3"/>
  <c r="AM193" i="3"/>
  <c r="AL193" i="3"/>
  <c r="AC193" i="3"/>
  <c r="AB193" i="3"/>
  <c r="AM192" i="3"/>
  <c r="AL192" i="3"/>
  <c r="AC192" i="3"/>
  <c r="AB192" i="3"/>
  <c r="AM194" i="3"/>
  <c r="AL194" i="3"/>
  <c r="AC194" i="3"/>
  <c r="AB194" i="3"/>
  <c r="AM200" i="3"/>
  <c r="AL200" i="3"/>
  <c r="AC200" i="3"/>
  <c r="AB200" i="3"/>
  <c r="AM199" i="3"/>
  <c r="AL199" i="3"/>
  <c r="AC199" i="3"/>
  <c r="AB199" i="3"/>
  <c r="AM203" i="3"/>
  <c r="AL203" i="3"/>
  <c r="AC203" i="3"/>
  <c r="AB203" i="3"/>
  <c r="AM202" i="3"/>
  <c r="AL202" i="3"/>
  <c r="AC202" i="3"/>
  <c r="AB202" i="3"/>
  <c r="AM201" i="3"/>
  <c r="AL201" i="3"/>
  <c r="AC201" i="3"/>
  <c r="AB201" i="3"/>
  <c r="AM197" i="3"/>
  <c r="AL197" i="3"/>
  <c r="AC197" i="3"/>
  <c r="AB197" i="3"/>
  <c r="AM740" i="3"/>
  <c r="AL740" i="3"/>
  <c r="AC740" i="3"/>
  <c r="AB740" i="3"/>
  <c r="AM248" i="3"/>
  <c r="AL248" i="3"/>
  <c r="AC248" i="3"/>
  <c r="AB248" i="3"/>
  <c r="AM208" i="3"/>
  <c r="AL208" i="3"/>
  <c r="AC208" i="3"/>
  <c r="AB208" i="3"/>
  <c r="AM207" i="3"/>
  <c r="AL207" i="3"/>
  <c r="AC207" i="3"/>
  <c r="AB207" i="3"/>
  <c r="AM206" i="3"/>
  <c r="AL206" i="3"/>
  <c r="AC206" i="3"/>
  <c r="AB206" i="3"/>
  <c r="AM205" i="3"/>
  <c r="AL205" i="3"/>
  <c r="AC205" i="3"/>
  <c r="AB205" i="3"/>
  <c r="AM326" i="3"/>
  <c r="AL326" i="3"/>
  <c r="AC326" i="3"/>
  <c r="AM241" i="3"/>
  <c r="AL241" i="3"/>
  <c r="AC241" i="3"/>
  <c r="AB241" i="3"/>
  <c r="AM240" i="3"/>
  <c r="AL240" i="3"/>
  <c r="AC240" i="3"/>
  <c r="AB240" i="3"/>
  <c r="AM239" i="3"/>
  <c r="AL239" i="3"/>
  <c r="AC239" i="3"/>
  <c r="AB239" i="3"/>
  <c r="AM217" i="3"/>
  <c r="AL217" i="3"/>
  <c r="AC217" i="3"/>
  <c r="AB217" i="3"/>
  <c r="AM216" i="3"/>
  <c r="AL216" i="3"/>
  <c r="AC216" i="3"/>
  <c r="AB216" i="3"/>
  <c r="AM215" i="3"/>
  <c r="AL215" i="3"/>
  <c r="AC215" i="3"/>
  <c r="AB215" i="3"/>
  <c r="AM220" i="3"/>
  <c r="AL220" i="3"/>
  <c r="AC220" i="3"/>
  <c r="AB220" i="3"/>
  <c r="AM219" i="3"/>
  <c r="AL219" i="3"/>
  <c r="AC219" i="3"/>
  <c r="AB219" i="3"/>
  <c r="AM218" i="3"/>
  <c r="AL218" i="3"/>
  <c r="AC218" i="3"/>
  <c r="AB218" i="3"/>
  <c r="AM227" i="3"/>
  <c r="AL227" i="3"/>
  <c r="AC227" i="3"/>
  <c r="AB227" i="3"/>
  <c r="AM222" i="3"/>
  <c r="AL222" i="3"/>
  <c r="AC222" i="3"/>
  <c r="AB222" i="3"/>
  <c r="AM221" i="3"/>
  <c r="AL221" i="3"/>
  <c r="AC221" i="3"/>
  <c r="AB221" i="3"/>
  <c r="AM273" i="3"/>
  <c r="AL273" i="3"/>
  <c r="AC273" i="3"/>
  <c r="AB273" i="3"/>
  <c r="AM223" i="3"/>
  <c r="AL223" i="3"/>
  <c r="AC223" i="3"/>
  <c r="AB223" i="3"/>
  <c r="AM226" i="3"/>
  <c r="AL226" i="3"/>
  <c r="AC226" i="3"/>
  <c r="AB226" i="3"/>
  <c r="AB231" i="3"/>
  <c r="AC231" i="3"/>
  <c r="AL231" i="3"/>
  <c r="AM231" i="3"/>
  <c r="AB232" i="3"/>
  <c r="AC232" i="3"/>
  <c r="AL232" i="3"/>
  <c r="AM232" i="3"/>
  <c r="AM228" i="3"/>
  <c r="AL228" i="3"/>
  <c r="AC228" i="3"/>
  <c r="AM234" i="3"/>
  <c r="AL234" i="3"/>
  <c r="AC234" i="3"/>
  <c r="AB234" i="3"/>
  <c r="AM238" i="3"/>
  <c r="AL238" i="3"/>
  <c r="AC238" i="3"/>
  <c r="AB238" i="3"/>
  <c r="AM230" i="3"/>
  <c r="AL230" i="3"/>
  <c r="AC230" i="3"/>
  <c r="AM237" i="3"/>
  <c r="AL237" i="3"/>
  <c r="AC237" i="3"/>
  <c r="AM257" i="3"/>
  <c r="AL257" i="3"/>
  <c r="AC257" i="3"/>
  <c r="AB257" i="3"/>
  <c r="AM256" i="3"/>
  <c r="AL256" i="3"/>
  <c r="AC256" i="3"/>
  <c r="AB256" i="3"/>
  <c r="AM734" i="3"/>
  <c r="AL734" i="3"/>
  <c r="AC734" i="3"/>
  <c r="AB734" i="3"/>
  <c r="AM302" i="3"/>
  <c r="AL302" i="3"/>
  <c r="AC302" i="3"/>
  <c r="AB302" i="3"/>
  <c r="AM236" i="3"/>
  <c r="AL236" i="3"/>
  <c r="AC236" i="3"/>
  <c r="AB236" i="3"/>
  <c r="AM235" i="3"/>
  <c r="AL235" i="3"/>
  <c r="AC235" i="3"/>
  <c r="AB235" i="3"/>
  <c r="AM247" i="3"/>
  <c r="AL247" i="3"/>
  <c r="AC247" i="3"/>
  <c r="AB247" i="3"/>
  <c r="AM246" i="3"/>
  <c r="AL246" i="3"/>
  <c r="AC246" i="3"/>
  <c r="AB246" i="3"/>
  <c r="AM245" i="3"/>
  <c r="AL245" i="3"/>
  <c r="AC245" i="3"/>
  <c r="AB245" i="3"/>
  <c r="AM252" i="3"/>
  <c r="AL252" i="3"/>
  <c r="AC252" i="3"/>
  <c r="AB252" i="3"/>
  <c r="AM251" i="3"/>
  <c r="AL251" i="3"/>
  <c r="AC251" i="3"/>
  <c r="AB251" i="3"/>
  <c r="AM264" i="3"/>
  <c r="AL264" i="3"/>
  <c r="AC264" i="3"/>
  <c r="AB264" i="3"/>
  <c r="AM263" i="3"/>
  <c r="AL263" i="3"/>
  <c r="AC263" i="3"/>
  <c r="AB263" i="3"/>
  <c r="AM255" i="3"/>
  <c r="AL255" i="3"/>
  <c r="AC255" i="3"/>
  <c r="AB255" i="3"/>
  <c r="AM254" i="3"/>
  <c r="AL254" i="3"/>
  <c r="AC254" i="3"/>
  <c r="AB254" i="3"/>
  <c r="AM253" i="3"/>
  <c r="AL253" i="3"/>
  <c r="AC253" i="3"/>
  <c r="AB253" i="3"/>
  <c r="AM258" i="3"/>
  <c r="AL258" i="3"/>
  <c r="AC258" i="3"/>
  <c r="AB258" i="3"/>
  <c r="AM262" i="3"/>
  <c r="AL262" i="3"/>
  <c r="AC262" i="3"/>
  <c r="AB262" i="3"/>
  <c r="AM261" i="3"/>
  <c r="AL261" i="3"/>
  <c r="AB261" i="3"/>
  <c r="AM260" i="3"/>
  <c r="AL260" i="3"/>
  <c r="AC260" i="3"/>
  <c r="AB260" i="3"/>
  <c r="AM259" i="3"/>
  <c r="AL259" i="3"/>
  <c r="AC259" i="3"/>
  <c r="AB259" i="3"/>
  <c r="AM266" i="3"/>
  <c r="AL266" i="3"/>
  <c r="AC266" i="3"/>
  <c r="AB266" i="3"/>
  <c r="AM351" i="3"/>
  <c r="AL351" i="3"/>
  <c r="AC351" i="3"/>
  <c r="AB351" i="3"/>
  <c r="AM350" i="3"/>
  <c r="AL350" i="3"/>
  <c r="AC350" i="3"/>
  <c r="AB350" i="3"/>
  <c r="AM349" i="3"/>
  <c r="AL349" i="3"/>
  <c r="AC349" i="3"/>
  <c r="AB349" i="3"/>
  <c r="AM270" i="3"/>
  <c r="AL270" i="3"/>
  <c r="AC270" i="3"/>
  <c r="AB270" i="3"/>
  <c r="AM269" i="3"/>
  <c r="AL269" i="3"/>
  <c r="AC269" i="3"/>
  <c r="AB269" i="3"/>
  <c r="AM268" i="3"/>
  <c r="AL268" i="3"/>
  <c r="AC268" i="3"/>
  <c r="AB268" i="3"/>
  <c r="AM1756" i="3"/>
  <c r="AL1756" i="3"/>
  <c r="AC1756" i="3"/>
  <c r="AB1756" i="3"/>
  <c r="AM1755" i="3"/>
  <c r="AL1755" i="3"/>
  <c r="AC1755" i="3"/>
  <c r="AB1755" i="3"/>
  <c r="AM1729" i="3"/>
  <c r="AL1729" i="3"/>
  <c r="AC1729" i="3"/>
  <c r="AB1729" i="3"/>
  <c r="AM1775" i="3"/>
  <c r="AL1775" i="3"/>
  <c r="AC1775" i="3"/>
  <c r="AB1775" i="3"/>
  <c r="AN80" i="3" l="1"/>
  <c r="AN79" i="3"/>
  <c r="AN76" i="3"/>
  <c r="AN84" i="3"/>
  <c r="AN77" i="3"/>
  <c r="AN78" i="3"/>
  <c r="AN85" i="3"/>
  <c r="AN86" i="3"/>
  <c r="AN83" i="3"/>
  <c r="AN82" i="3"/>
  <c r="AN98" i="3"/>
  <c r="AN97" i="3"/>
  <c r="AN89" i="3"/>
  <c r="AN81" i="3"/>
  <c r="AN88" i="3"/>
  <c r="AN87" i="3"/>
  <c r="AN91" i="3"/>
  <c r="AN92" i="3"/>
  <c r="AN90" i="3"/>
  <c r="AN1792" i="3"/>
  <c r="AN1793" i="3"/>
  <c r="AN1801" i="3"/>
  <c r="AN1799" i="3"/>
  <c r="AN1802" i="3"/>
  <c r="AN1788" i="3"/>
  <c r="AN1798" i="3"/>
  <c r="AN1796" i="3"/>
  <c r="AN1787" i="3"/>
  <c r="AN1791" i="3"/>
  <c r="AN1800" i="3"/>
  <c r="AN1797" i="3"/>
  <c r="AN112" i="3"/>
  <c r="AN1790" i="3"/>
  <c r="AN1789" i="3"/>
  <c r="AN1660" i="3"/>
  <c r="AN1655" i="3"/>
  <c r="AN1795" i="3"/>
  <c r="AN1794" i="3"/>
  <c r="AN96" i="3"/>
  <c r="AN95" i="3"/>
  <c r="AN103" i="3"/>
  <c r="AN101" i="3"/>
  <c r="AN100" i="3"/>
  <c r="AN99" i="3"/>
  <c r="AN104" i="3"/>
  <c r="AN113" i="3"/>
  <c r="AN111" i="3"/>
  <c r="AN102" i="3"/>
  <c r="AN107" i="3"/>
  <c r="AN210" i="3"/>
  <c r="AN106" i="3"/>
  <c r="AN114" i="3"/>
  <c r="AN105" i="3"/>
  <c r="AN110" i="3"/>
  <c r="AN209" i="3"/>
  <c r="AN144" i="3"/>
  <c r="AN211" i="3"/>
  <c r="AN116" i="3"/>
  <c r="AN115" i="3"/>
  <c r="AN109" i="3"/>
  <c r="AN108" i="3"/>
  <c r="AN120" i="3"/>
  <c r="AN128" i="3"/>
  <c r="AN119" i="3"/>
  <c r="AN118" i="3"/>
  <c r="AN154" i="3"/>
  <c r="AN124" i="3"/>
  <c r="AN139" i="3"/>
  <c r="AN121" i="3"/>
  <c r="AN117" i="3"/>
  <c r="AN123" i="3"/>
  <c r="AN122" i="3"/>
  <c r="AN138" i="3"/>
  <c r="AN140" i="3"/>
  <c r="AN137" i="3"/>
  <c r="AN136" i="3"/>
  <c r="AN135" i="3"/>
  <c r="AN126" i="3"/>
  <c r="AN130" i="3"/>
  <c r="AN127" i="3"/>
  <c r="AN125" i="3"/>
  <c r="AN129" i="3"/>
  <c r="AN147" i="3"/>
  <c r="AN146" i="3"/>
  <c r="AN131" i="3"/>
  <c r="AN153" i="3"/>
  <c r="AN133" i="3"/>
  <c r="AN134" i="3"/>
  <c r="AN148" i="3"/>
  <c r="AN183" i="3"/>
  <c r="AN150" i="3"/>
  <c r="AN132" i="3"/>
  <c r="AN182" i="3"/>
  <c r="AN152" i="3"/>
  <c r="AN181" i="3"/>
  <c r="AN151" i="3"/>
  <c r="AN142" i="3"/>
  <c r="AN143" i="3"/>
  <c r="AN141" i="3"/>
  <c r="AN145" i="3"/>
  <c r="AN149" i="3"/>
  <c r="AN172" i="3"/>
  <c r="AN158" i="3"/>
  <c r="AN161" i="3"/>
  <c r="AN162" i="3"/>
  <c r="AN156" i="3"/>
  <c r="AN157" i="3"/>
  <c r="AN155" i="3"/>
  <c r="AN184" i="3"/>
  <c r="AN160" i="3"/>
  <c r="AN159" i="3"/>
  <c r="AN171" i="3"/>
  <c r="AN170" i="3"/>
  <c r="AN168" i="3"/>
  <c r="AN169" i="3"/>
  <c r="AN163" i="3"/>
  <c r="AN167" i="3"/>
  <c r="AN164" i="3"/>
  <c r="AN225" i="3"/>
  <c r="AN185" i="3"/>
  <c r="AN224" i="3"/>
  <c r="AN173" i="3"/>
  <c r="AN166" i="3"/>
  <c r="AN165" i="3"/>
  <c r="AN214" i="3"/>
  <c r="AN212" i="3"/>
  <c r="AN213" i="3"/>
  <c r="AN250" i="3"/>
  <c r="AN249" i="3"/>
  <c r="AN188" i="3"/>
  <c r="AN204" i="3"/>
  <c r="AN243" i="3"/>
  <c r="AN244" i="3"/>
  <c r="AN242" i="3"/>
  <c r="AN179" i="3"/>
  <c r="AN187" i="3"/>
  <c r="AN180" i="3"/>
  <c r="AN186" i="3"/>
  <c r="AN190" i="3"/>
  <c r="AN176" i="3"/>
  <c r="AN178" i="3"/>
  <c r="AN191" i="3"/>
  <c r="AN233" i="3"/>
  <c r="AN189" i="3"/>
  <c r="AN177" i="3"/>
  <c r="AN175" i="3"/>
  <c r="AN174" i="3"/>
  <c r="AN196" i="3"/>
  <c r="AN195" i="3"/>
  <c r="AN229" i="3"/>
  <c r="AN198" i="3"/>
  <c r="AN265" i="3"/>
  <c r="AN193" i="3"/>
  <c r="AN192" i="3"/>
  <c r="AN202" i="3"/>
  <c r="AN194" i="3"/>
  <c r="AN200" i="3"/>
  <c r="AN199" i="3"/>
  <c r="AN203" i="3"/>
  <c r="AN201" i="3"/>
  <c r="AN197" i="3"/>
  <c r="AN740" i="3"/>
  <c r="AN208" i="3"/>
  <c r="AN248" i="3"/>
  <c r="AN207" i="3"/>
  <c r="AN240" i="3"/>
  <c r="AN206" i="3"/>
  <c r="AN241" i="3"/>
  <c r="AN205" i="3"/>
  <c r="AN216" i="3"/>
  <c r="AN218" i="3"/>
  <c r="AN326" i="3"/>
  <c r="AN239" i="3"/>
  <c r="AN217" i="3"/>
  <c r="AN215" i="3"/>
  <c r="AN219" i="3"/>
  <c r="AN220" i="3"/>
  <c r="AN227" i="3"/>
  <c r="AN222" i="3"/>
  <c r="AN221" i="3"/>
  <c r="AN223" i="3"/>
  <c r="AN273" i="3"/>
  <c r="AN232" i="3"/>
  <c r="AN226" i="3"/>
  <c r="AN231" i="3"/>
  <c r="AN228" i="3"/>
  <c r="AN234" i="3"/>
  <c r="AN257" i="3"/>
  <c r="AN230" i="3"/>
  <c r="AN238" i="3"/>
  <c r="AN237" i="3"/>
  <c r="AN256" i="3"/>
  <c r="AN236" i="3"/>
  <c r="AN734" i="3"/>
  <c r="AN302" i="3"/>
  <c r="AN247" i="3"/>
  <c r="AN245" i="3"/>
  <c r="AN235" i="3"/>
  <c r="AN246" i="3"/>
  <c r="AN264" i="3"/>
  <c r="AN252" i="3"/>
  <c r="AN253" i="3"/>
  <c r="AN251" i="3"/>
  <c r="AN254" i="3"/>
  <c r="AN255" i="3"/>
  <c r="AN263" i="3"/>
  <c r="AN261" i="3"/>
  <c r="AN259" i="3"/>
  <c r="AN260" i="3"/>
  <c r="AN258" i="3"/>
  <c r="AN351" i="3"/>
  <c r="AN269" i="3"/>
  <c r="AN262" i="3"/>
  <c r="AC261" i="3"/>
  <c r="AN266" i="3"/>
  <c r="AN350" i="3"/>
  <c r="AN1729" i="3"/>
  <c r="AN349" i="3"/>
  <c r="AN270" i="3"/>
  <c r="AN268" i="3"/>
  <c r="AN1756" i="3"/>
  <c r="AN1755" i="3"/>
  <c r="AN1775" i="3"/>
  <c r="AM1774" i="3"/>
  <c r="AL1774" i="3"/>
  <c r="AC1774" i="3"/>
  <c r="AB1774" i="3"/>
  <c r="AM1768" i="3"/>
  <c r="AL1768" i="3"/>
  <c r="AC1768" i="3"/>
  <c r="AB1768" i="3"/>
  <c r="AM1769" i="3"/>
  <c r="AL1769" i="3"/>
  <c r="AC1769" i="3"/>
  <c r="AB1769" i="3"/>
  <c r="AM1753" i="3"/>
  <c r="AL1753" i="3"/>
  <c r="AC1753" i="3"/>
  <c r="AB1753" i="3"/>
  <c r="AM1771" i="3"/>
  <c r="AL1771" i="3"/>
  <c r="AC1771" i="3"/>
  <c r="AB1771" i="3"/>
  <c r="AM1772" i="3"/>
  <c r="AL1772" i="3"/>
  <c r="AC1772" i="3"/>
  <c r="AB1772" i="3"/>
  <c r="AM1751" i="3"/>
  <c r="AL1751" i="3"/>
  <c r="AC1751" i="3"/>
  <c r="AB1751" i="3"/>
  <c r="AL1706" i="3"/>
  <c r="AM1706" i="3"/>
  <c r="AM1760" i="3"/>
  <c r="AL1760" i="3"/>
  <c r="AC1760" i="3"/>
  <c r="AB1760" i="3"/>
  <c r="AM1781" i="3"/>
  <c r="AL1781" i="3"/>
  <c r="AC1781" i="3"/>
  <c r="AB1781" i="3"/>
  <c r="AL1785" i="3"/>
  <c r="AM1785" i="3"/>
  <c r="AC1785" i="3"/>
  <c r="AB1785" i="3"/>
  <c r="AM1764" i="3"/>
  <c r="AL1764" i="3"/>
  <c r="AC1764" i="3"/>
  <c r="AB1764" i="3"/>
  <c r="AM1749" i="3"/>
  <c r="AL1749" i="3"/>
  <c r="AC1749" i="3"/>
  <c r="AB1749" i="3"/>
  <c r="AM1783" i="3"/>
  <c r="AL1783" i="3"/>
  <c r="AC1783" i="3"/>
  <c r="AB1783" i="3"/>
  <c r="AL1784" i="3"/>
  <c r="AM1784" i="3"/>
  <c r="AN1774" i="3" l="1"/>
  <c r="AN1769" i="3"/>
  <c r="AN1753" i="3"/>
  <c r="AN1768" i="3"/>
  <c r="AN1772" i="3"/>
  <c r="AN1771" i="3"/>
  <c r="AN1785" i="3"/>
  <c r="AN1706" i="3"/>
  <c r="AN1751" i="3"/>
  <c r="AN1781" i="3"/>
  <c r="AN1783" i="3"/>
  <c r="AN1760" i="3"/>
  <c r="AN1749" i="3"/>
  <c r="AN1764" i="3"/>
  <c r="AM1766" i="3"/>
  <c r="AL1766" i="3"/>
  <c r="AC1766" i="3"/>
  <c r="AB1766" i="3"/>
  <c r="AM1747" i="3"/>
  <c r="AL1747" i="3"/>
  <c r="AC1747" i="3"/>
  <c r="AB1747" i="3"/>
  <c r="AM1779" i="3"/>
  <c r="AL1779" i="3"/>
  <c r="AC1779" i="3"/>
  <c r="AB1779" i="3"/>
  <c r="AM1758" i="3"/>
  <c r="AL1758" i="3"/>
  <c r="AC1758" i="3"/>
  <c r="AB1758" i="3"/>
  <c r="AM1777" i="3"/>
  <c r="AL1777" i="3"/>
  <c r="AC1777" i="3"/>
  <c r="AB1777" i="3"/>
  <c r="AM1762" i="3"/>
  <c r="AL1762" i="3"/>
  <c r="AC1762" i="3"/>
  <c r="AB1762" i="3"/>
  <c r="AM1746" i="3"/>
  <c r="AL1746" i="3"/>
  <c r="AC1746" i="3"/>
  <c r="AB1746" i="3"/>
  <c r="AM1744" i="3"/>
  <c r="AL1744" i="3"/>
  <c r="AC1744" i="3"/>
  <c r="AB1744" i="3"/>
  <c r="AB1786" i="3"/>
  <c r="AB1784" i="3"/>
  <c r="AB1780" i="3"/>
  <c r="AB1782" i="3"/>
  <c r="AB1778" i="3"/>
  <c r="AB1776" i="3"/>
  <c r="AB1770" i="3"/>
  <c r="AB1773" i="3"/>
  <c r="AB1765" i="3"/>
  <c r="AB1767" i="3"/>
  <c r="AB1763" i="3"/>
  <c r="AB1759" i="3"/>
  <c r="AB1761" i="3"/>
  <c r="AB1754" i="3"/>
  <c r="AB1757" i="3"/>
  <c r="AB1750" i="3"/>
  <c r="AB1752" i="3"/>
  <c r="AB1748" i="3"/>
  <c r="AB1745" i="3"/>
  <c r="AB1743" i="3"/>
  <c r="AB1742" i="3"/>
  <c r="AB1741" i="3"/>
  <c r="AB1740" i="3"/>
  <c r="AM1742" i="3"/>
  <c r="AL1742" i="3"/>
  <c r="AC1742" i="3"/>
  <c r="AM1786" i="3"/>
  <c r="AL1786" i="3"/>
  <c r="AM1780" i="3"/>
  <c r="AL1780" i="3"/>
  <c r="AM1782" i="3"/>
  <c r="AL1782" i="3"/>
  <c r="AM1778" i="3"/>
  <c r="AL1778" i="3"/>
  <c r="AM1776" i="3"/>
  <c r="AL1776" i="3"/>
  <c r="AM1770" i="3"/>
  <c r="AL1770" i="3"/>
  <c r="AM1773" i="3"/>
  <c r="AL1773" i="3"/>
  <c r="AM1765" i="3"/>
  <c r="AL1765" i="3"/>
  <c r="AM1767" i="3"/>
  <c r="AL1767" i="3"/>
  <c r="AM1763" i="3"/>
  <c r="AL1763" i="3"/>
  <c r="AM1759" i="3"/>
  <c r="AL1759" i="3"/>
  <c r="AM1761" i="3"/>
  <c r="AL1761" i="3"/>
  <c r="AM1754" i="3"/>
  <c r="AL1754" i="3"/>
  <c r="AM1757" i="3"/>
  <c r="AL1757" i="3"/>
  <c r="AM1750" i="3"/>
  <c r="AL1750" i="3"/>
  <c r="AM1752" i="3"/>
  <c r="AL1752" i="3"/>
  <c r="AM1748" i="3"/>
  <c r="AL1748" i="3"/>
  <c r="AM1745" i="3"/>
  <c r="AL1745" i="3"/>
  <c r="AM1743" i="3"/>
  <c r="AL1743" i="3"/>
  <c r="AM1741" i="3"/>
  <c r="AL1741" i="3"/>
  <c r="AC1786" i="3"/>
  <c r="AC1784" i="3"/>
  <c r="AC1780" i="3"/>
  <c r="AC1782" i="3"/>
  <c r="AC1778" i="3"/>
  <c r="AC1776" i="3"/>
  <c r="AC1770" i="3"/>
  <c r="AC1773" i="3"/>
  <c r="AC1765" i="3"/>
  <c r="AC1767" i="3"/>
  <c r="AC1763" i="3"/>
  <c r="AC1759" i="3"/>
  <c r="AC1761" i="3"/>
  <c r="AC1754" i="3"/>
  <c r="AC1757" i="3"/>
  <c r="AC1750" i="3"/>
  <c r="AC1752" i="3"/>
  <c r="AC1748" i="3"/>
  <c r="AC1745" i="3"/>
  <c r="AC1743" i="3"/>
  <c r="AC1741" i="3"/>
  <c r="AN1747" i="3" l="1"/>
  <c r="AN1766" i="3"/>
  <c r="AN1779" i="3"/>
  <c r="AN1762" i="3"/>
  <c r="AN1758" i="3"/>
  <c r="AN1777" i="3"/>
  <c r="AN1786" i="3"/>
  <c r="AN1752" i="3"/>
  <c r="AN1776" i="3"/>
  <c r="AN1759" i="3"/>
  <c r="AN1746" i="3"/>
  <c r="AN1741" i="3"/>
  <c r="AN1765" i="3"/>
  <c r="AN1742" i="3"/>
  <c r="AN1744" i="3"/>
  <c r="AN1748" i="3"/>
  <c r="AN1770" i="3"/>
  <c r="AN1763" i="3"/>
  <c r="AN1767" i="3"/>
  <c r="AN1754" i="3"/>
  <c r="AN1773" i="3"/>
  <c r="AN1784" i="3"/>
  <c r="AN1778" i="3"/>
  <c r="AN1745" i="3"/>
  <c r="AN1780" i="3"/>
  <c r="AN1750" i="3"/>
  <c r="AN1761" i="3"/>
  <c r="AN1757" i="3"/>
  <c r="AN1743" i="3"/>
  <c r="AN1782" i="3"/>
  <c r="AM314" i="3"/>
  <c r="AL314" i="3"/>
  <c r="AC314" i="3"/>
  <c r="AB314" i="3"/>
  <c r="AM271" i="3"/>
  <c r="AM267" i="3"/>
  <c r="AL267" i="3"/>
  <c r="AC267" i="3"/>
  <c r="AM272" i="3"/>
  <c r="AL272" i="3"/>
  <c r="AC272" i="3"/>
  <c r="AB272" i="3"/>
  <c r="AM274" i="3"/>
  <c r="AL274" i="3"/>
  <c r="AC274" i="3"/>
  <c r="AB274" i="3"/>
  <c r="AM287" i="3"/>
  <c r="AL287" i="3"/>
  <c r="AC287" i="3"/>
  <c r="AB287" i="3"/>
  <c r="AM286" i="3"/>
  <c r="AL286" i="3"/>
  <c r="AC286" i="3"/>
  <c r="AB286" i="3"/>
  <c r="AM285" i="3"/>
  <c r="AL285" i="3"/>
  <c r="AC285" i="3"/>
  <c r="AB285" i="3"/>
  <c r="AM281" i="3"/>
  <c r="AL281" i="3"/>
  <c r="AC281" i="3"/>
  <c r="AB281" i="3"/>
  <c r="AM348" i="3"/>
  <c r="AL348" i="3"/>
  <c r="AC348" i="3"/>
  <c r="AB348" i="3"/>
  <c r="AM276" i="3"/>
  <c r="AL276" i="3"/>
  <c r="AC276" i="3"/>
  <c r="AM275" i="3"/>
  <c r="AL275" i="3"/>
  <c r="AC275" i="3"/>
  <c r="AB275" i="3"/>
  <c r="AM280" i="3"/>
  <c r="AL280" i="3"/>
  <c r="AC280" i="3"/>
  <c r="AB280" i="3"/>
  <c r="AM321" i="3"/>
  <c r="AL321" i="3"/>
  <c r="AC321" i="3"/>
  <c r="AB321" i="3"/>
  <c r="AM279" i="3"/>
  <c r="AL279" i="3"/>
  <c r="AC279" i="3"/>
  <c r="AB279" i="3"/>
  <c r="AM278" i="3"/>
  <c r="AL278" i="3"/>
  <c r="AC278" i="3"/>
  <c r="AB278" i="3"/>
  <c r="AM277" i="3"/>
  <c r="AL277" i="3"/>
  <c r="AC277" i="3"/>
  <c r="AB277" i="3"/>
  <c r="AM1442" i="3"/>
  <c r="AL1442" i="3"/>
  <c r="AC1442" i="3"/>
  <c r="AB1442" i="3"/>
  <c r="AN314" i="3" l="1"/>
  <c r="AN321" i="3"/>
  <c r="AN267" i="3"/>
  <c r="AN287" i="3"/>
  <c r="AN272" i="3"/>
  <c r="AN274" i="3"/>
  <c r="AN286" i="3"/>
  <c r="AN285" i="3"/>
  <c r="AN279" i="3"/>
  <c r="AN275" i="3"/>
  <c r="AN281" i="3"/>
  <c r="AN348" i="3"/>
  <c r="AN276" i="3"/>
  <c r="AN280" i="3"/>
  <c r="AN278" i="3"/>
  <c r="AN277" i="3"/>
  <c r="AN1442" i="3"/>
  <c r="AM284" i="3"/>
  <c r="AL284" i="3"/>
  <c r="AC284" i="3"/>
  <c r="AB284" i="3"/>
  <c r="AM283" i="3"/>
  <c r="AL283" i="3"/>
  <c r="AC283" i="3"/>
  <c r="AB283" i="3"/>
  <c r="AM282" i="3"/>
  <c r="AL282" i="3"/>
  <c r="AC282" i="3"/>
  <c r="AB282" i="3"/>
  <c r="AM289" i="3"/>
  <c r="AL289" i="3"/>
  <c r="AC289" i="3"/>
  <c r="AB289" i="3"/>
  <c r="AM291" i="3"/>
  <c r="AL291" i="3"/>
  <c r="AC291" i="3"/>
  <c r="AB291" i="3"/>
  <c r="AM290" i="3"/>
  <c r="AL290" i="3"/>
  <c r="AC290" i="3"/>
  <c r="AB290" i="3"/>
  <c r="AM303" i="3"/>
  <c r="AL303" i="3"/>
  <c r="AC303" i="3"/>
  <c r="AM288" i="3"/>
  <c r="AL288" i="3"/>
  <c r="AC288" i="3"/>
  <c r="AM293" i="3"/>
  <c r="AL293" i="3"/>
  <c r="AC293" i="3"/>
  <c r="AB293" i="3"/>
  <c r="AM292" i="3"/>
  <c r="AL292" i="3"/>
  <c r="AC292" i="3"/>
  <c r="AB292" i="3"/>
  <c r="Z295" i="3"/>
  <c r="AC295" i="3" s="1"/>
  <c r="AM296" i="3"/>
  <c r="AL296" i="3"/>
  <c r="AC296" i="3"/>
  <c r="AB296" i="3"/>
  <c r="AM295" i="3"/>
  <c r="AL295" i="3"/>
  <c r="AM294" i="3"/>
  <c r="AL294" i="3"/>
  <c r="AC294" i="3"/>
  <c r="AB294" i="3"/>
  <c r="AM299" i="3"/>
  <c r="AL299" i="3"/>
  <c r="AC299" i="3"/>
  <c r="AB299" i="3"/>
  <c r="AM298" i="3"/>
  <c r="AL298" i="3"/>
  <c r="AC298" i="3"/>
  <c r="AB298" i="3"/>
  <c r="AM297" i="3"/>
  <c r="AL297" i="3"/>
  <c r="AC297" i="3"/>
  <c r="AB297" i="3"/>
  <c r="AM300" i="3"/>
  <c r="AL300" i="3"/>
  <c r="AC300" i="3"/>
  <c r="AB300" i="3"/>
  <c r="AM301" i="3"/>
  <c r="AL301" i="3"/>
  <c r="AC301" i="3"/>
  <c r="AB301" i="3"/>
  <c r="AM1541" i="3"/>
  <c r="AL1541" i="3"/>
  <c r="AC1541" i="3"/>
  <c r="AB1541" i="3"/>
  <c r="AM1552" i="3"/>
  <c r="AL1552" i="3"/>
  <c r="AC1552" i="3"/>
  <c r="AB1552" i="3"/>
  <c r="AM1523" i="3"/>
  <c r="AL1523" i="3"/>
  <c r="AC1523" i="3"/>
  <c r="AB1523" i="3"/>
  <c r="AB304" i="3"/>
  <c r="AC304" i="3"/>
  <c r="AL304" i="3"/>
  <c r="AM304" i="3"/>
  <c r="AB305" i="3"/>
  <c r="AC305" i="3"/>
  <c r="AL305" i="3"/>
  <c r="AM305" i="3"/>
  <c r="AB306" i="3"/>
  <c r="AC306" i="3"/>
  <c r="AL306" i="3"/>
  <c r="AM306" i="3"/>
  <c r="AB307" i="3"/>
  <c r="AC307" i="3"/>
  <c r="AL307" i="3"/>
  <c r="AM307" i="3"/>
  <c r="AB308" i="3"/>
  <c r="AC308" i="3"/>
  <c r="AL308" i="3"/>
  <c r="AM308" i="3"/>
  <c r="AB309" i="3"/>
  <c r="AC309" i="3"/>
  <c r="AL309" i="3"/>
  <c r="AM309" i="3"/>
  <c r="AB310" i="3"/>
  <c r="AC310" i="3"/>
  <c r="AL310" i="3"/>
  <c r="AM310" i="3"/>
  <c r="AB311" i="3"/>
  <c r="AC311" i="3"/>
  <c r="AL311" i="3"/>
  <c r="AM311" i="3"/>
  <c r="AC312" i="3"/>
  <c r="AL312" i="3"/>
  <c r="AM312" i="3"/>
  <c r="AB313" i="3"/>
  <c r="AC313" i="3"/>
  <c r="AL313" i="3"/>
  <c r="AM313" i="3"/>
  <c r="AB315" i="3"/>
  <c r="AC315" i="3"/>
  <c r="AL315" i="3"/>
  <c r="AM315" i="3"/>
  <c r="AB316" i="3"/>
  <c r="AC316" i="3"/>
  <c r="AL316" i="3"/>
  <c r="AM316" i="3"/>
  <c r="AB317" i="3"/>
  <c r="AC317" i="3"/>
  <c r="AL317" i="3"/>
  <c r="AM317" i="3"/>
  <c r="AB318" i="3"/>
  <c r="AC318" i="3"/>
  <c r="AL318" i="3"/>
  <c r="AM318" i="3"/>
  <c r="AB319" i="3"/>
  <c r="AC319" i="3"/>
  <c r="AL319" i="3"/>
  <c r="AM319" i="3"/>
  <c r="AB320" i="3"/>
  <c r="AC320" i="3"/>
  <c r="AL320" i="3"/>
  <c r="AM320" i="3"/>
  <c r="AB322" i="3"/>
  <c r="AC322" i="3"/>
  <c r="AL322" i="3"/>
  <c r="AM322" i="3"/>
  <c r="AB323" i="3"/>
  <c r="AC323" i="3"/>
  <c r="AL323" i="3"/>
  <c r="AM323" i="3"/>
  <c r="AB324" i="3"/>
  <c r="AC324" i="3"/>
  <c r="AL324" i="3"/>
  <c r="AM324" i="3"/>
  <c r="AB325" i="3"/>
  <c r="AC325" i="3"/>
  <c r="AL325" i="3"/>
  <c r="AM325" i="3"/>
  <c r="AB327" i="3"/>
  <c r="AC327" i="3"/>
  <c r="AL327" i="3"/>
  <c r="AM327" i="3"/>
  <c r="AB328" i="3"/>
  <c r="AC328" i="3"/>
  <c r="AL328" i="3"/>
  <c r="AM328" i="3"/>
  <c r="AB329" i="3"/>
  <c r="AC329" i="3"/>
  <c r="AL329" i="3"/>
  <c r="AM329" i="3"/>
  <c r="AB330" i="3"/>
  <c r="AC330" i="3"/>
  <c r="AL330" i="3"/>
  <c r="AM330" i="3"/>
  <c r="AB331" i="3"/>
  <c r="AC331" i="3"/>
  <c r="AL331" i="3"/>
  <c r="AM331" i="3"/>
  <c r="AB332" i="3"/>
  <c r="AC332" i="3"/>
  <c r="AL332" i="3"/>
  <c r="AM332" i="3"/>
  <c r="AB333" i="3"/>
  <c r="AC333" i="3"/>
  <c r="AL333" i="3"/>
  <c r="AM333" i="3"/>
  <c r="AB334" i="3"/>
  <c r="AC334" i="3"/>
  <c r="AL334" i="3"/>
  <c r="AM334" i="3"/>
  <c r="AB335" i="3"/>
  <c r="AC335" i="3"/>
  <c r="AL335" i="3"/>
  <c r="AM335" i="3"/>
  <c r="AB336" i="3"/>
  <c r="AC336" i="3"/>
  <c r="AL336" i="3"/>
  <c r="AM336" i="3"/>
  <c r="AB337" i="3"/>
  <c r="AC337" i="3"/>
  <c r="AL337" i="3"/>
  <c r="AM337" i="3"/>
  <c r="AB338" i="3"/>
  <c r="AC338" i="3"/>
  <c r="AL338" i="3"/>
  <c r="AM338" i="3"/>
  <c r="AB339" i="3"/>
  <c r="AC339" i="3"/>
  <c r="AL339" i="3"/>
  <c r="AM339" i="3"/>
  <c r="AB340" i="3"/>
  <c r="AC340" i="3"/>
  <c r="AL340" i="3"/>
  <c r="AM340" i="3"/>
  <c r="AB341" i="3"/>
  <c r="AC341" i="3"/>
  <c r="AL341" i="3"/>
  <c r="AM341" i="3"/>
  <c r="AB342" i="3"/>
  <c r="AC342" i="3"/>
  <c r="AL342" i="3"/>
  <c r="AM342" i="3"/>
  <c r="AB343" i="3"/>
  <c r="AC343" i="3"/>
  <c r="AL343" i="3"/>
  <c r="AM343" i="3"/>
  <c r="AB344" i="3"/>
  <c r="AC344" i="3"/>
  <c r="AL344" i="3"/>
  <c r="AM344" i="3"/>
  <c r="AB345" i="3"/>
  <c r="AC345" i="3"/>
  <c r="AL345" i="3"/>
  <c r="AM345" i="3"/>
  <c r="AB346" i="3"/>
  <c r="AC346" i="3"/>
  <c r="AL346" i="3"/>
  <c r="AM346" i="3"/>
  <c r="AB347" i="3"/>
  <c r="AC347" i="3"/>
  <c r="AL347" i="3"/>
  <c r="AM347" i="3"/>
  <c r="AB352" i="3"/>
  <c r="AC352" i="3"/>
  <c r="AL352" i="3"/>
  <c r="AM352" i="3"/>
  <c r="AB353" i="3"/>
  <c r="AC353" i="3"/>
  <c r="AL353" i="3"/>
  <c r="AM353" i="3"/>
  <c r="AB354" i="3"/>
  <c r="AC354" i="3"/>
  <c r="AL354" i="3"/>
  <c r="AM354" i="3"/>
  <c r="AB355" i="3"/>
  <c r="AC355" i="3"/>
  <c r="AL355" i="3"/>
  <c r="AM355" i="3"/>
  <c r="AB356" i="3"/>
  <c r="AC356" i="3"/>
  <c r="AL356" i="3"/>
  <c r="AM356" i="3"/>
  <c r="AB357" i="3"/>
  <c r="AC357" i="3"/>
  <c r="AL357" i="3"/>
  <c r="AM357" i="3"/>
  <c r="AB358" i="3"/>
  <c r="AC358" i="3"/>
  <c r="AL358" i="3"/>
  <c r="AM358" i="3"/>
  <c r="AB359" i="3"/>
  <c r="AC359" i="3"/>
  <c r="AL359" i="3"/>
  <c r="AM359" i="3"/>
  <c r="AB360" i="3"/>
  <c r="AC360" i="3"/>
  <c r="AL360" i="3"/>
  <c r="AM360" i="3"/>
  <c r="AB363" i="3"/>
  <c r="AC363" i="3"/>
  <c r="AL363" i="3"/>
  <c r="AM363" i="3"/>
  <c r="AB364" i="3"/>
  <c r="AC364" i="3"/>
  <c r="AL364" i="3"/>
  <c r="AM364" i="3"/>
  <c r="AB365" i="3"/>
  <c r="AC365" i="3"/>
  <c r="AL365" i="3"/>
  <c r="AM365" i="3"/>
  <c r="AB366" i="3"/>
  <c r="AC366" i="3"/>
  <c r="AL366" i="3"/>
  <c r="AM366" i="3"/>
  <c r="AB367" i="3"/>
  <c r="AC367" i="3"/>
  <c r="AL367" i="3"/>
  <c r="AM367" i="3"/>
  <c r="AB368" i="3"/>
  <c r="AC368" i="3"/>
  <c r="AL368" i="3"/>
  <c r="AM368" i="3"/>
  <c r="AB369" i="3"/>
  <c r="AC369" i="3"/>
  <c r="AL369" i="3"/>
  <c r="AM369" i="3"/>
  <c r="AB370" i="3"/>
  <c r="AC370" i="3"/>
  <c r="AL370" i="3"/>
  <c r="AM370" i="3"/>
  <c r="AB371" i="3"/>
  <c r="AC371" i="3"/>
  <c r="AL371" i="3"/>
  <c r="AM371" i="3"/>
  <c r="AB372" i="3"/>
  <c r="AC372" i="3"/>
  <c r="AL372" i="3"/>
  <c r="AM372" i="3"/>
  <c r="AB373" i="3"/>
  <c r="AC373" i="3"/>
  <c r="AL373" i="3"/>
  <c r="AM373" i="3"/>
  <c r="AB374" i="3"/>
  <c r="AC374" i="3"/>
  <c r="AL374" i="3"/>
  <c r="AM374" i="3"/>
  <c r="AB375" i="3"/>
  <c r="AC375" i="3"/>
  <c r="AL375" i="3"/>
  <c r="AM375" i="3"/>
  <c r="AB376" i="3"/>
  <c r="AC376" i="3"/>
  <c r="AL376" i="3"/>
  <c r="AM376" i="3"/>
  <c r="AB377" i="3"/>
  <c r="AC377" i="3"/>
  <c r="AL377" i="3"/>
  <c r="AM377" i="3"/>
  <c r="AB378" i="3"/>
  <c r="AC378" i="3"/>
  <c r="AL378" i="3"/>
  <c r="AM378" i="3"/>
  <c r="AB379" i="3"/>
  <c r="AC379" i="3"/>
  <c r="AL379" i="3"/>
  <c r="AM379" i="3"/>
  <c r="AB380" i="3"/>
  <c r="AC380" i="3"/>
  <c r="AL380" i="3"/>
  <c r="AM380" i="3"/>
  <c r="AB381" i="3"/>
  <c r="AC381" i="3"/>
  <c r="AL381" i="3"/>
  <c r="AM381" i="3"/>
  <c r="AB382" i="3"/>
  <c r="AC382" i="3"/>
  <c r="AL382" i="3"/>
  <c r="AM382" i="3"/>
  <c r="AB383" i="3"/>
  <c r="AC383" i="3"/>
  <c r="AL383" i="3"/>
  <c r="AM383" i="3"/>
  <c r="AB384" i="3"/>
  <c r="AC384" i="3"/>
  <c r="AL384" i="3"/>
  <c r="AM384" i="3"/>
  <c r="AB385" i="3"/>
  <c r="AC385" i="3"/>
  <c r="AL385" i="3"/>
  <c r="AM385" i="3"/>
  <c r="AB386" i="3"/>
  <c r="AC386" i="3"/>
  <c r="AL386" i="3"/>
  <c r="AM386" i="3"/>
  <c r="AB387" i="3"/>
  <c r="AC387" i="3"/>
  <c r="AL387" i="3"/>
  <c r="AM387" i="3"/>
  <c r="AB388" i="3"/>
  <c r="AC388" i="3"/>
  <c r="AL388" i="3"/>
  <c r="AM388" i="3"/>
  <c r="AB389" i="3"/>
  <c r="AC389" i="3"/>
  <c r="AL389" i="3"/>
  <c r="AM389" i="3"/>
  <c r="AB390" i="3"/>
  <c r="AC390" i="3"/>
  <c r="AL390" i="3"/>
  <c r="AM390" i="3"/>
  <c r="AB391" i="3"/>
  <c r="AC391" i="3"/>
  <c r="AL391" i="3"/>
  <c r="AM391" i="3"/>
  <c r="AB392" i="3"/>
  <c r="AC392" i="3"/>
  <c r="AL392" i="3"/>
  <c r="AM392" i="3"/>
  <c r="AB393" i="3"/>
  <c r="AC393" i="3"/>
  <c r="AL393" i="3"/>
  <c r="AM393" i="3"/>
  <c r="AB394" i="3"/>
  <c r="AC394" i="3"/>
  <c r="AL394" i="3"/>
  <c r="AM394" i="3"/>
  <c r="AB395" i="3"/>
  <c r="AC395" i="3"/>
  <c r="AL395" i="3"/>
  <c r="AM395" i="3"/>
  <c r="AB396" i="3"/>
  <c r="AC396" i="3"/>
  <c r="AL396" i="3"/>
  <c r="AM396" i="3"/>
  <c r="AB397" i="3"/>
  <c r="AC397" i="3"/>
  <c r="AL397" i="3"/>
  <c r="AM397" i="3"/>
  <c r="AB398" i="3"/>
  <c r="AC398" i="3"/>
  <c r="AL398" i="3"/>
  <c r="AM398" i="3"/>
  <c r="AB399" i="3"/>
  <c r="AC399" i="3"/>
  <c r="AL399" i="3"/>
  <c r="AM399" i="3"/>
  <c r="AB400" i="3"/>
  <c r="AC400" i="3"/>
  <c r="AL400" i="3"/>
  <c r="AM400" i="3"/>
  <c r="AB401" i="3"/>
  <c r="AC401" i="3"/>
  <c r="AL401" i="3"/>
  <c r="AM401" i="3"/>
  <c r="AB402" i="3"/>
  <c r="AC402" i="3"/>
  <c r="AL402" i="3"/>
  <c r="AM402" i="3"/>
  <c r="AB403" i="3"/>
  <c r="AC403" i="3"/>
  <c r="AL403" i="3"/>
  <c r="AM403" i="3"/>
  <c r="AB404" i="3"/>
  <c r="AC404" i="3"/>
  <c r="AL404" i="3"/>
  <c r="AM404" i="3"/>
  <c r="AB405" i="3"/>
  <c r="AC405" i="3"/>
  <c r="AL405" i="3"/>
  <c r="AM405" i="3"/>
  <c r="AB406" i="3"/>
  <c r="AC406" i="3"/>
  <c r="AL406" i="3"/>
  <c r="AM406" i="3"/>
  <c r="AB407" i="3"/>
  <c r="AC407" i="3"/>
  <c r="AL407" i="3"/>
  <c r="AM407" i="3"/>
  <c r="AB408" i="3"/>
  <c r="AC408" i="3"/>
  <c r="AL408" i="3"/>
  <c r="AM408" i="3"/>
  <c r="AB409" i="3"/>
  <c r="AC409" i="3"/>
  <c r="AL409" i="3"/>
  <c r="AM409" i="3"/>
  <c r="AB410" i="3"/>
  <c r="AC410" i="3"/>
  <c r="AL410" i="3"/>
  <c r="AM410" i="3"/>
  <c r="AB411" i="3"/>
  <c r="AC411" i="3"/>
  <c r="AL411" i="3"/>
  <c r="AM411" i="3"/>
  <c r="AB412" i="3"/>
  <c r="AC412" i="3"/>
  <c r="AL412" i="3"/>
  <c r="AM412" i="3"/>
  <c r="AB413" i="3"/>
  <c r="AC413" i="3"/>
  <c r="AL413" i="3"/>
  <c r="AM413" i="3"/>
  <c r="AB414" i="3"/>
  <c r="AC414" i="3"/>
  <c r="AL414" i="3"/>
  <c r="AM414" i="3"/>
  <c r="AB415" i="3"/>
  <c r="AC415" i="3"/>
  <c r="AL415" i="3"/>
  <c r="AM415" i="3"/>
  <c r="AB416" i="3"/>
  <c r="AC416" i="3"/>
  <c r="AL416" i="3"/>
  <c r="AM416" i="3"/>
  <c r="AB417" i="3"/>
  <c r="AC417" i="3"/>
  <c r="AL417" i="3"/>
  <c r="AM417" i="3"/>
  <c r="AB418" i="3"/>
  <c r="AC418" i="3"/>
  <c r="AL418" i="3"/>
  <c r="AM418" i="3"/>
  <c r="AB419" i="3"/>
  <c r="AC419" i="3"/>
  <c r="AL419" i="3"/>
  <c r="AM419" i="3"/>
  <c r="AB420" i="3"/>
  <c r="AC420" i="3"/>
  <c r="AL420" i="3"/>
  <c r="AM420" i="3"/>
  <c r="AC421" i="3"/>
  <c r="AL421" i="3"/>
  <c r="AM421" i="3"/>
  <c r="AB422" i="3"/>
  <c r="AC422" i="3"/>
  <c r="AL422" i="3"/>
  <c r="AM422" i="3"/>
  <c r="AB423" i="3"/>
  <c r="AC423" i="3"/>
  <c r="AL423" i="3"/>
  <c r="AM423" i="3"/>
  <c r="AB424" i="3"/>
  <c r="AC424" i="3"/>
  <c r="AL424" i="3"/>
  <c r="AM424" i="3"/>
  <c r="AB425" i="3"/>
  <c r="AC425" i="3"/>
  <c r="AL425" i="3"/>
  <c r="AM425" i="3"/>
  <c r="AB426" i="3"/>
  <c r="AC426" i="3"/>
  <c r="AL426" i="3"/>
  <c r="AM426" i="3"/>
  <c r="AB427" i="3"/>
  <c r="AC427" i="3"/>
  <c r="AL427" i="3"/>
  <c r="AM427" i="3"/>
  <c r="AB428" i="3"/>
  <c r="AC428" i="3"/>
  <c r="AL428" i="3"/>
  <c r="AM428" i="3"/>
  <c r="AB429" i="3"/>
  <c r="AC429" i="3"/>
  <c r="AL429" i="3"/>
  <c r="AM429" i="3"/>
  <c r="AB430" i="3"/>
  <c r="AC430" i="3"/>
  <c r="AL430" i="3"/>
  <c r="AM430" i="3"/>
  <c r="AB431" i="3"/>
  <c r="AC431" i="3"/>
  <c r="AL431" i="3"/>
  <c r="AM431" i="3"/>
  <c r="AB432" i="3"/>
  <c r="AC432" i="3"/>
  <c r="AL432" i="3"/>
  <c r="AM432" i="3"/>
  <c r="AB433" i="3"/>
  <c r="AC433" i="3"/>
  <c r="AL433" i="3"/>
  <c r="AM433" i="3"/>
  <c r="AB434" i="3"/>
  <c r="AC434" i="3"/>
  <c r="AL434" i="3"/>
  <c r="AM434" i="3"/>
  <c r="AB435" i="3"/>
  <c r="AC435" i="3"/>
  <c r="AL435" i="3"/>
  <c r="AM435" i="3"/>
  <c r="AB436" i="3"/>
  <c r="AC436" i="3"/>
  <c r="AL436" i="3"/>
  <c r="AM436" i="3"/>
  <c r="AB437" i="3"/>
  <c r="AC437" i="3"/>
  <c r="AL437" i="3"/>
  <c r="AM437" i="3"/>
  <c r="AB438" i="3"/>
  <c r="AC438" i="3"/>
  <c r="AL438" i="3"/>
  <c r="AM438" i="3"/>
  <c r="AB439" i="3"/>
  <c r="AC439" i="3"/>
  <c r="AL439" i="3"/>
  <c r="AM439" i="3"/>
  <c r="AB440" i="3"/>
  <c r="AC440" i="3"/>
  <c r="AL440" i="3"/>
  <c r="AM440" i="3"/>
  <c r="AB441" i="3"/>
  <c r="AC441" i="3"/>
  <c r="AL441" i="3"/>
  <c r="AM441" i="3"/>
  <c r="AB442" i="3"/>
  <c r="AC442" i="3"/>
  <c r="AL442" i="3"/>
  <c r="AM442" i="3"/>
  <c r="AB443" i="3"/>
  <c r="AC443" i="3"/>
  <c r="AL443" i="3"/>
  <c r="AM443" i="3"/>
  <c r="AB444" i="3"/>
  <c r="AC444" i="3"/>
  <c r="AL444" i="3"/>
  <c r="AM444" i="3"/>
  <c r="AB445" i="3"/>
  <c r="AC445" i="3"/>
  <c r="AL445" i="3"/>
  <c r="AM445" i="3"/>
  <c r="AB446" i="3"/>
  <c r="AC446" i="3"/>
  <c r="AL446" i="3"/>
  <c r="AM446" i="3"/>
  <c r="AB447" i="3"/>
  <c r="AC447" i="3"/>
  <c r="AL447" i="3"/>
  <c r="AM447" i="3"/>
  <c r="AB448" i="3"/>
  <c r="AC448" i="3"/>
  <c r="AL448" i="3"/>
  <c r="AM448" i="3"/>
  <c r="AB449" i="3"/>
  <c r="AC449" i="3"/>
  <c r="AL449" i="3"/>
  <c r="AM449" i="3"/>
  <c r="AB450" i="3"/>
  <c r="AC450" i="3"/>
  <c r="AL450" i="3"/>
  <c r="AM450" i="3"/>
  <c r="AB451" i="3"/>
  <c r="AC451" i="3"/>
  <c r="AL451" i="3"/>
  <c r="AM451" i="3"/>
  <c r="AB452" i="3"/>
  <c r="AC452" i="3"/>
  <c r="AL452" i="3"/>
  <c r="AM452" i="3"/>
  <c r="AB453" i="3"/>
  <c r="AC453" i="3"/>
  <c r="AL453" i="3"/>
  <c r="AM453" i="3"/>
  <c r="AB454" i="3"/>
  <c r="AC454" i="3"/>
  <c r="AL454" i="3"/>
  <c r="AM454" i="3"/>
  <c r="AB455" i="3"/>
  <c r="AC455" i="3"/>
  <c r="AL455" i="3"/>
  <c r="AM455" i="3"/>
  <c r="AB456" i="3"/>
  <c r="AC456" i="3"/>
  <c r="AL456" i="3"/>
  <c r="AM456" i="3"/>
  <c r="AB457" i="3"/>
  <c r="AC457" i="3"/>
  <c r="AL457" i="3"/>
  <c r="AM457" i="3"/>
  <c r="AB458" i="3"/>
  <c r="AC458" i="3"/>
  <c r="AL458" i="3"/>
  <c r="AM458" i="3"/>
  <c r="AB459" i="3"/>
  <c r="AC459" i="3"/>
  <c r="AL459" i="3"/>
  <c r="AM459" i="3"/>
  <c r="AB460" i="3"/>
  <c r="AC460" i="3"/>
  <c r="AL460" i="3"/>
  <c r="AM460" i="3"/>
  <c r="AB461" i="3"/>
  <c r="AC461" i="3"/>
  <c r="AL461" i="3"/>
  <c r="AM461" i="3"/>
  <c r="AB462" i="3"/>
  <c r="AC462" i="3"/>
  <c r="AL462" i="3"/>
  <c r="AM462" i="3"/>
  <c r="AB463" i="3"/>
  <c r="AC463" i="3"/>
  <c r="AL463" i="3"/>
  <c r="AM463" i="3"/>
  <c r="AB464" i="3"/>
  <c r="AC464" i="3"/>
  <c r="AL464" i="3"/>
  <c r="AM464" i="3"/>
  <c r="AB465" i="3"/>
  <c r="AC465" i="3"/>
  <c r="AL465" i="3"/>
  <c r="AM465" i="3"/>
  <c r="AB466" i="3"/>
  <c r="AC466" i="3"/>
  <c r="AL466" i="3"/>
  <c r="AM466" i="3"/>
  <c r="AB467" i="3"/>
  <c r="AC467" i="3"/>
  <c r="AL467" i="3"/>
  <c r="AM467" i="3"/>
  <c r="AB468" i="3"/>
  <c r="AC468" i="3"/>
  <c r="AL468" i="3"/>
  <c r="AM468" i="3"/>
  <c r="AB469" i="3"/>
  <c r="AC469" i="3"/>
  <c r="AL469" i="3"/>
  <c r="AM469" i="3"/>
  <c r="AB470" i="3"/>
  <c r="AC470" i="3"/>
  <c r="AL470" i="3"/>
  <c r="AM470" i="3"/>
  <c r="AB471" i="3"/>
  <c r="AC471" i="3"/>
  <c r="AL471" i="3"/>
  <c r="AM471" i="3"/>
  <c r="AB472" i="3"/>
  <c r="AC472" i="3"/>
  <c r="AL472" i="3"/>
  <c r="AM472" i="3"/>
  <c r="AB473" i="3"/>
  <c r="AC473" i="3"/>
  <c r="AL473" i="3"/>
  <c r="AM473" i="3"/>
  <c r="AB474" i="3"/>
  <c r="AC474" i="3"/>
  <c r="AL474" i="3"/>
  <c r="AM474" i="3"/>
  <c r="AB475" i="3"/>
  <c r="AC475" i="3"/>
  <c r="AL475" i="3"/>
  <c r="AM475" i="3"/>
  <c r="AB476" i="3"/>
  <c r="AC476" i="3"/>
  <c r="AL476" i="3"/>
  <c r="AM476" i="3"/>
  <c r="AB477" i="3"/>
  <c r="AC477" i="3"/>
  <c r="AL477" i="3"/>
  <c r="AM477" i="3"/>
  <c r="AB478" i="3"/>
  <c r="AC478" i="3"/>
  <c r="AL478" i="3"/>
  <c r="AM478" i="3"/>
  <c r="AB479" i="3"/>
  <c r="AC479" i="3"/>
  <c r="AL479" i="3"/>
  <c r="AM479" i="3"/>
  <c r="AB480" i="3"/>
  <c r="AC480" i="3"/>
  <c r="AL480" i="3"/>
  <c r="AM480" i="3"/>
  <c r="AB481" i="3"/>
  <c r="AC481" i="3"/>
  <c r="AL481" i="3"/>
  <c r="AM481" i="3"/>
  <c r="AB482" i="3"/>
  <c r="AC482" i="3"/>
  <c r="AL482" i="3"/>
  <c r="AM482" i="3"/>
  <c r="AB483" i="3"/>
  <c r="AC483" i="3"/>
  <c r="AL483" i="3"/>
  <c r="AM483" i="3"/>
  <c r="AB484" i="3"/>
  <c r="AC484" i="3"/>
  <c r="AL484" i="3"/>
  <c r="AM484" i="3"/>
  <c r="AB485" i="3"/>
  <c r="AC485" i="3"/>
  <c r="AL485" i="3"/>
  <c r="AM485" i="3"/>
  <c r="AB486" i="3"/>
  <c r="AC486" i="3"/>
  <c r="AL486" i="3"/>
  <c r="AM486" i="3"/>
  <c r="AB487" i="3"/>
  <c r="AC487" i="3"/>
  <c r="AL487" i="3"/>
  <c r="AM487" i="3"/>
  <c r="AB488" i="3"/>
  <c r="AC488" i="3"/>
  <c r="AL488" i="3"/>
  <c r="AM488" i="3"/>
  <c r="AB489" i="3"/>
  <c r="AC489" i="3"/>
  <c r="AL489" i="3"/>
  <c r="AM489" i="3"/>
  <c r="AB490" i="3"/>
  <c r="AC490" i="3"/>
  <c r="AL490" i="3"/>
  <c r="AM490" i="3"/>
  <c r="AB491" i="3"/>
  <c r="AC491" i="3"/>
  <c r="AL491" i="3"/>
  <c r="AM491" i="3"/>
  <c r="AB492" i="3"/>
  <c r="AC492" i="3"/>
  <c r="AL492" i="3"/>
  <c r="AM492" i="3"/>
  <c r="AB493" i="3"/>
  <c r="AC493" i="3"/>
  <c r="AL493" i="3"/>
  <c r="AM493" i="3"/>
  <c r="AB494" i="3"/>
  <c r="AC494" i="3"/>
  <c r="AL494" i="3"/>
  <c r="AM494" i="3"/>
  <c r="AB495" i="3"/>
  <c r="AC495" i="3"/>
  <c r="AL495" i="3"/>
  <c r="AM495" i="3"/>
  <c r="AB496" i="3"/>
  <c r="AC496" i="3"/>
  <c r="AL496" i="3"/>
  <c r="AM496" i="3"/>
  <c r="AB497" i="3"/>
  <c r="AC497" i="3"/>
  <c r="AL497" i="3"/>
  <c r="AM497" i="3"/>
  <c r="AB498" i="3"/>
  <c r="AC498" i="3"/>
  <c r="AL498" i="3"/>
  <c r="AM498" i="3"/>
  <c r="AB499" i="3"/>
  <c r="AC499" i="3"/>
  <c r="AL499" i="3"/>
  <c r="AM499" i="3"/>
  <c r="AB500" i="3"/>
  <c r="AC500" i="3"/>
  <c r="AL500" i="3"/>
  <c r="AM500" i="3"/>
  <c r="AB501" i="3"/>
  <c r="AC501" i="3"/>
  <c r="AL501" i="3"/>
  <c r="AM501" i="3"/>
  <c r="AB502" i="3"/>
  <c r="AC502" i="3"/>
  <c r="AL502" i="3"/>
  <c r="AM502" i="3"/>
  <c r="AB503" i="3"/>
  <c r="AC503" i="3"/>
  <c r="AL503" i="3"/>
  <c r="AM503" i="3"/>
  <c r="AB504" i="3"/>
  <c r="AC504" i="3"/>
  <c r="AL504" i="3"/>
  <c r="AM504" i="3"/>
  <c r="AB505" i="3"/>
  <c r="AC505" i="3"/>
  <c r="AL505" i="3"/>
  <c r="AM505" i="3"/>
  <c r="AB506" i="3"/>
  <c r="AC506" i="3"/>
  <c r="AL506" i="3"/>
  <c r="AM506" i="3"/>
  <c r="AB507" i="3"/>
  <c r="AC507" i="3"/>
  <c r="AL507" i="3"/>
  <c r="AM507" i="3"/>
  <c r="AB508" i="3"/>
  <c r="AC508" i="3"/>
  <c r="AL508" i="3"/>
  <c r="AM508" i="3"/>
  <c r="AB509" i="3"/>
  <c r="AC509" i="3"/>
  <c r="AL509" i="3"/>
  <c r="AM509" i="3"/>
  <c r="AB510" i="3"/>
  <c r="AC510" i="3"/>
  <c r="AL510" i="3"/>
  <c r="AM510" i="3"/>
  <c r="AB511" i="3"/>
  <c r="AC511" i="3"/>
  <c r="AL511" i="3"/>
  <c r="AM511" i="3"/>
  <c r="AB512" i="3"/>
  <c r="AC512" i="3"/>
  <c r="AL512" i="3"/>
  <c r="AM512" i="3"/>
  <c r="AB513" i="3"/>
  <c r="AC513" i="3"/>
  <c r="AL513" i="3"/>
  <c r="AM513" i="3"/>
  <c r="AB514" i="3"/>
  <c r="AC514" i="3"/>
  <c r="AL514" i="3"/>
  <c r="AM514" i="3"/>
  <c r="AB515" i="3"/>
  <c r="AC515" i="3"/>
  <c r="AL515" i="3"/>
  <c r="AM515" i="3"/>
  <c r="AB516" i="3"/>
  <c r="AC516" i="3"/>
  <c r="AL516" i="3"/>
  <c r="AM516" i="3"/>
  <c r="AB517" i="3"/>
  <c r="AC517" i="3"/>
  <c r="AL517" i="3"/>
  <c r="AM517" i="3"/>
  <c r="AB518" i="3"/>
  <c r="AC518" i="3"/>
  <c r="AL518" i="3"/>
  <c r="AM518" i="3"/>
  <c r="AB519" i="3"/>
  <c r="AC519" i="3"/>
  <c r="AL519" i="3"/>
  <c r="AM519" i="3"/>
  <c r="AB520" i="3"/>
  <c r="AC520" i="3"/>
  <c r="AL520" i="3"/>
  <c r="AM520" i="3"/>
  <c r="AB521" i="3"/>
  <c r="AC521" i="3"/>
  <c r="AL521" i="3"/>
  <c r="AM521" i="3"/>
  <c r="AB522" i="3"/>
  <c r="AC522" i="3"/>
  <c r="AL522" i="3"/>
  <c r="AM522" i="3"/>
  <c r="AB523" i="3"/>
  <c r="AC523" i="3"/>
  <c r="AL523" i="3"/>
  <c r="AM523" i="3"/>
  <c r="AB524" i="3"/>
  <c r="AC524" i="3"/>
  <c r="AL524" i="3"/>
  <c r="AM524" i="3"/>
  <c r="AB525" i="3"/>
  <c r="AC525" i="3"/>
  <c r="AL525" i="3"/>
  <c r="AM525" i="3"/>
  <c r="AB526" i="3"/>
  <c r="AC526" i="3"/>
  <c r="AL526" i="3"/>
  <c r="AM526" i="3"/>
  <c r="AB527" i="3"/>
  <c r="AC527" i="3"/>
  <c r="AL527" i="3"/>
  <c r="AM527" i="3"/>
  <c r="AB528" i="3"/>
  <c r="AC528" i="3"/>
  <c r="AL528" i="3"/>
  <c r="AM528" i="3"/>
  <c r="AB529" i="3"/>
  <c r="AC529" i="3"/>
  <c r="AL529" i="3"/>
  <c r="AM529" i="3"/>
  <c r="AB530" i="3"/>
  <c r="AC530" i="3"/>
  <c r="AL530" i="3"/>
  <c r="AM530" i="3"/>
  <c r="AB531" i="3"/>
  <c r="AC531" i="3"/>
  <c r="AL531" i="3"/>
  <c r="AM531" i="3"/>
  <c r="AB532" i="3"/>
  <c r="AC532" i="3"/>
  <c r="AL532" i="3"/>
  <c r="AM532" i="3"/>
  <c r="AB533" i="3"/>
  <c r="AC533" i="3"/>
  <c r="AL533" i="3"/>
  <c r="AM533" i="3"/>
  <c r="AB534" i="3"/>
  <c r="AC534" i="3"/>
  <c r="AL534" i="3"/>
  <c r="AM534" i="3"/>
  <c r="AB535" i="3"/>
  <c r="AC535" i="3"/>
  <c r="AL535" i="3"/>
  <c r="AM535" i="3"/>
  <c r="AB536" i="3"/>
  <c r="AC536" i="3"/>
  <c r="AL536" i="3"/>
  <c r="AM536" i="3"/>
  <c r="AB537" i="3"/>
  <c r="AC537" i="3"/>
  <c r="AL537" i="3"/>
  <c r="AM537" i="3"/>
  <c r="AB538" i="3"/>
  <c r="AC538" i="3"/>
  <c r="AL538" i="3"/>
  <c r="AM538" i="3"/>
  <c r="AB539" i="3"/>
  <c r="AC539" i="3"/>
  <c r="AL539" i="3"/>
  <c r="AM539" i="3"/>
  <c r="AB540" i="3"/>
  <c r="AC540" i="3"/>
  <c r="AL540" i="3"/>
  <c r="AM540" i="3"/>
  <c r="AB541" i="3"/>
  <c r="AC541" i="3"/>
  <c r="AL541" i="3"/>
  <c r="AM541" i="3"/>
  <c r="AB542" i="3"/>
  <c r="AC542" i="3"/>
  <c r="AL542" i="3"/>
  <c r="AM542" i="3"/>
  <c r="AB543" i="3"/>
  <c r="AC543" i="3"/>
  <c r="AL543" i="3"/>
  <c r="AM543" i="3"/>
  <c r="AB544" i="3"/>
  <c r="AC544" i="3"/>
  <c r="AL544" i="3"/>
  <c r="AM544" i="3"/>
  <c r="AB545" i="3"/>
  <c r="AC545" i="3"/>
  <c r="AL545" i="3"/>
  <c r="AM545" i="3"/>
  <c r="AB546" i="3"/>
  <c r="AC546" i="3"/>
  <c r="AL546" i="3"/>
  <c r="AM546" i="3"/>
  <c r="AB547" i="3"/>
  <c r="AC547" i="3"/>
  <c r="AL547" i="3"/>
  <c r="AM547" i="3"/>
  <c r="AB548" i="3"/>
  <c r="AC548" i="3"/>
  <c r="AL548" i="3"/>
  <c r="AM548" i="3"/>
  <c r="AB549" i="3"/>
  <c r="AC549" i="3"/>
  <c r="AL549" i="3"/>
  <c r="AM549" i="3"/>
  <c r="AB550" i="3"/>
  <c r="AC550" i="3"/>
  <c r="AL550" i="3"/>
  <c r="AM550" i="3"/>
  <c r="AB552" i="3"/>
  <c r="AC552" i="3"/>
  <c r="AL552" i="3"/>
  <c r="AM552" i="3"/>
  <c r="AB551" i="3"/>
  <c r="AC551" i="3"/>
  <c r="AL551" i="3"/>
  <c r="AM551" i="3"/>
  <c r="AB553" i="3"/>
  <c r="AC553" i="3"/>
  <c r="AL553" i="3"/>
  <c r="AM553" i="3"/>
  <c r="AB554" i="3"/>
  <c r="AC554" i="3"/>
  <c r="AL554" i="3"/>
  <c r="AM554" i="3"/>
  <c r="AB555" i="3"/>
  <c r="AC555" i="3"/>
  <c r="AL555" i="3"/>
  <c r="AM555" i="3"/>
  <c r="AB556" i="3"/>
  <c r="AC556" i="3"/>
  <c r="AL556" i="3"/>
  <c r="AM556" i="3"/>
  <c r="AB557" i="3"/>
  <c r="AC557" i="3"/>
  <c r="AL557" i="3"/>
  <c r="AM557" i="3"/>
  <c r="AB558" i="3"/>
  <c r="AC558" i="3"/>
  <c r="AL558" i="3"/>
  <c r="AM558" i="3"/>
  <c r="AB559" i="3"/>
  <c r="AC559" i="3"/>
  <c r="AL559" i="3"/>
  <c r="AM559" i="3"/>
  <c r="AB560" i="3"/>
  <c r="AC560" i="3"/>
  <c r="AL560" i="3"/>
  <c r="AM560" i="3"/>
  <c r="AB561" i="3"/>
  <c r="AC561" i="3"/>
  <c r="AL561" i="3"/>
  <c r="AM561" i="3"/>
  <c r="AB562" i="3"/>
  <c r="AC562" i="3"/>
  <c r="AL562" i="3"/>
  <c r="AM562" i="3"/>
  <c r="AB563" i="3"/>
  <c r="AC563" i="3"/>
  <c r="AL563" i="3"/>
  <c r="AM563" i="3"/>
  <c r="AB564" i="3"/>
  <c r="AC564" i="3"/>
  <c r="AL564" i="3"/>
  <c r="AM564" i="3"/>
  <c r="AB565" i="3"/>
  <c r="AC565" i="3"/>
  <c r="AL565" i="3"/>
  <c r="AM565" i="3"/>
  <c r="AB566" i="3"/>
  <c r="AC566" i="3"/>
  <c r="AL566" i="3"/>
  <c r="AM566" i="3"/>
  <c r="AB567" i="3"/>
  <c r="AC567" i="3"/>
  <c r="AL567" i="3"/>
  <c r="AM567" i="3"/>
  <c r="AB568" i="3"/>
  <c r="AC568" i="3"/>
  <c r="AL568" i="3"/>
  <c r="AM568" i="3"/>
  <c r="AB569" i="3"/>
  <c r="AC569" i="3"/>
  <c r="AL569" i="3"/>
  <c r="AM569" i="3"/>
  <c r="AB570" i="3"/>
  <c r="AC570" i="3"/>
  <c r="AL570" i="3"/>
  <c r="AM570" i="3"/>
  <c r="AB571" i="3"/>
  <c r="AC571" i="3"/>
  <c r="AL571" i="3"/>
  <c r="AM571" i="3"/>
  <c r="AB572" i="3"/>
  <c r="AC572" i="3"/>
  <c r="AL572" i="3"/>
  <c r="AM572" i="3"/>
  <c r="AB573" i="3"/>
  <c r="AC573" i="3"/>
  <c r="AL573" i="3"/>
  <c r="AM573" i="3"/>
  <c r="AB574" i="3"/>
  <c r="AC574" i="3"/>
  <c r="AL574" i="3"/>
  <c r="AM574" i="3"/>
  <c r="AB575" i="3"/>
  <c r="AC575" i="3"/>
  <c r="AL575" i="3"/>
  <c r="AM575" i="3"/>
  <c r="AB576" i="3"/>
  <c r="AC576" i="3"/>
  <c r="AL576" i="3"/>
  <c r="AM576" i="3"/>
  <c r="AB577" i="3"/>
  <c r="AC577" i="3"/>
  <c r="AL577" i="3"/>
  <c r="AM577" i="3"/>
  <c r="AB578" i="3"/>
  <c r="AC578" i="3"/>
  <c r="AL578" i="3"/>
  <c r="AM578" i="3"/>
  <c r="AB579" i="3"/>
  <c r="AC579" i="3"/>
  <c r="AL579" i="3"/>
  <c r="AM579" i="3"/>
  <c r="AB580" i="3"/>
  <c r="AC580" i="3"/>
  <c r="AL580" i="3"/>
  <c r="AM580" i="3"/>
  <c r="AB581" i="3"/>
  <c r="AC581" i="3"/>
  <c r="AL581" i="3"/>
  <c r="AM581" i="3"/>
  <c r="AB582" i="3"/>
  <c r="AC582" i="3"/>
  <c r="AL582" i="3"/>
  <c r="AM582" i="3"/>
  <c r="AB583" i="3"/>
  <c r="AC583" i="3"/>
  <c r="AL583" i="3"/>
  <c r="AM583" i="3"/>
  <c r="AB584" i="3"/>
  <c r="AC584" i="3"/>
  <c r="AL584" i="3"/>
  <c r="AM584" i="3"/>
  <c r="AB585" i="3"/>
  <c r="AC585" i="3"/>
  <c r="AL585" i="3"/>
  <c r="AM585" i="3"/>
  <c r="AB586" i="3"/>
  <c r="AC586" i="3"/>
  <c r="AL586" i="3"/>
  <c r="AM586" i="3"/>
  <c r="AB587" i="3"/>
  <c r="AC587" i="3"/>
  <c r="AL587" i="3"/>
  <c r="AM587" i="3"/>
  <c r="AB588" i="3"/>
  <c r="AC588" i="3"/>
  <c r="AL588" i="3"/>
  <c r="AM588" i="3"/>
  <c r="AB589" i="3"/>
  <c r="AC589" i="3"/>
  <c r="AL589" i="3"/>
  <c r="AM589" i="3"/>
  <c r="AB590" i="3"/>
  <c r="AC590" i="3"/>
  <c r="AL590" i="3"/>
  <c r="AM590" i="3"/>
  <c r="AB591" i="3"/>
  <c r="AC591" i="3"/>
  <c r="AL591" i="3"/>
  <c r="AM591" i="3"/>
  <c r="AB592" i="3"/>
  <c r="AC592" i="3"/>
  <c r="AL592" i="3"/>
  <c r="AM592" i="3"/>
  <c r="AB593" i="3"/>
  <c r="AC593" i="3"/>
  <c r="AL593" i="3"/>
  <c r="AM593" i="3"/>
  <c r="AB594" i="3"/>
  <c r="AC594" i="3"/>
  <c r="AL594" i="3"/>
  <c r="AM594" i="3"/>
  <c r="AB595" i="3"/>
  <c r="AC595" i="3"/>
  <c r="AL595" i="3"/>
  <c r="AM595" i="3"/>
  <c r="AB596" i="3"/>
  <c r="AC596" i="3"/>
  <c r="AL596" i="3"/>
  <c r="AM596" i="3"/>
  <c r="AB598" i="3"/>
  <c r="AC598" i="3"/>
  <c r="AL598" i="3"/>
  <c r="AM598" i="3"/>
  <c r="AB597" i="3"/>
  <c r="AC597" i="3"/>
  <c r="AL597" i="3"/>
  <c r="AM597" i="3"/>
  <c r="AB599" i="3"/>
  <c r="AC599" i="3"/>
  <c r="AL599" i="3"/>
  <c r="AM599" i="3"/>
  <c r="AB600" i="3"/>
  <c r="AC600" i="3"/>
  <c r="AL600" i="3"/>
  <c r="AM600" i="3"/>
  <c r="AB601" i="3"/>
  <c r="AC601" i="3"/>
  <c r="AL601" i="3"/>
  <c r="AM601" i="3"/>
  <c r="AB602" i="3"/>
  <c r="AC602" i="3"/>
  <c r="AL602" i="3"/>
  <c r="AM602" i="3"/>
  <c r="AB603" i="3"/>
  <c r="AC603" i="3"/>
  <c r="AL603" i="3"/>
  <c r="AM603" i="3"/>
  <c r="AB604" i="3"/>
  <c r="AC604" i="3"/>
  <c r="AL604" i="3"/>
  <c r="AM604" i="3"/>
  <c r="AB605" i="3"/>
  <c r="AC605" i="3"/>
  <c r="AL605" i="3"/>
  <c r="AM605" i="3"/>
  <c r="AB606" i="3"/>
  <c r="AC606" i="3"/>
  <c r="AL606" i="3"/>
  <c r="AM606" i="3"/>
  <c r="AB607" i="3"/>
  <c r="AC607" i="3"/>
  <c r="AL607" i="3"/>
  <c r="AM607" i="3"/>
  <c r="AB608" i="3"/>
  <c r="AC608" i="3"/>
  <c r="AL608" i="3"/>
  <c r="AM608" i="3"/>
  <c r="AB609" i="3"/>
  <c r="AC609" i="3"/>
  <c r="AL609" i="3"/>
  <c r="AM609" i="3"/>
  <c r="AB610" i="3"/>
  <c r="AC610" i="3"/>
  <c r="AL610" i="3"/>
  <c r="AM610" i="3"/>
  <c r="AB611" i="3"/>
  <c r="AC611" i="3"/>
  <c r="AL611" i="3"/>
  <c r="AM611" i="3"/>
  <c r="AB612" i="3"/>
  <c r="AC612" i="3"/>
  <c r="AL612" i="3"/>
  <c r="AM612" i="3"/>
  <c r="AB613" i="3"/>
  <c r="AC613" i="3"/>
  <c r="AL613" i="3"/>
  <c r="AM613" i="3"/>
  <c r="AB614" i="3"/>
  <c r="AC614" i="3"/>
  <c r="AL614" i="3"/>
  <c r="AM614" i="3"/>
  <c r="AB615" i="3"/>
  <c r="AC615" i="3"/>
  <c r="AL615" i="3"/>
  <c r="AM615" i="3"/>
  <c r="AB616" i="3"/>
  <c r="AC616" i="3"/>
  <c r="AL616" i="3"/>
  <c r="AM616" i="3"/>
  <c r="AB617" i="3"/>
  <c r="AC617" i="3"/>
  <c r="AL617" i="3"/>
  <c r="AM617" i="3"/>
  <c r="AB618" i="3"/>
  <c r="AC618" i="3"/>
  <c r="AL618" i="3"/>
  <c r="AM618" i="3"/>
  <c r="AB619" i="3"/>
  <c r="AC619" i="3"/>
  <c r="AL619" i="3"/>
  <c r="AM619" i="3"/>
  <c r="AB620" i="3"/>
  <c r="AC620" i="3"/>
  <c r="AL620" i="3"/>
  <c r="AM620" i="3"/>
  <c r="AB621" i="3"/>
  <c r="AC621" i="3"/>
  <c r="AL621" i="3"/>
  <c r="AM621" i="3"/>
  <c r="AB622" i="3"/>
  <c r="AC622" i="3"/>
  <c r="AL622" i="3"/>
  <c r="AM622" i="3"/>
  <c r="AB623" i="3"/>
  <c r="AC623" i="3"/>
  <c r="AL623" i="3"/>
  <c r="AM623" i="3"/>
  <c r="AB624" i="3"/>
  <c r="AC624" i="3"/>
  <c r="AL624" i="3"/>
  <c r="AM624" i="3"/>
  <c r="AB625" i="3"/>
  <c r="AC625" i="3"/>
  <c r="AL625" i="3"/>
  <c r="AM625" i="3"/>
  <c r="AB626" i="3"/>
  <c r="AC626" i="3"/>
  <c r="AL626" i="3"/>
  <c r="AM626" i="3"/>
  <c r="AB627" i="3"/>
  <c r="AC627" i="3"/>
  <c r="AL627" i="3"/>
  <c r="AM627" i="3"/>
  <c r="AB628" i="3"/>
  <c r="AC628" i="3"/>
  <c r="AL628" i="3"/>
  <c r="AM628" i="3"/>
  <c r="AB629" i="3"/>
  <c r="AC629" i="3"/>
  <c r="AL629" i="3"/>
  <c r="AM629" i="3"/>
  <c r="AB630" i="3"/>
  <c r="AC630" i="3"/>
  <c r="AL630" i="3"/>
  <c r="AM630" i="3"/>
  <c r="AB631" i="3"/>
  <c r="AC631" i="3"/>
  <c r="AL631" i="3"/>
  <c r="AM631" i="3"/>
  <c r="AB632" i="3"/>
  <c r="AC632" i="3"/>
  <c r="AL632" i="3"/>
  <c r="AM632" i="3"/>
  <c r="AB633" i="3"/>
  <c r="AC633" i="3"/>
  <c r="AL633" i="3"/>
  <c r="AM633" i="3"/>
  <c r="AB634" i="3"/>
  <c r="AC634" i="3"/>
  <c r="AL634" i="3"/>
  <c r="AM634" i="3"/>
  <c r="AB635" i="3"/>
  <c r="AC635" i="3"/>
  <c r="AL635" i="3"/>
  <c r="AM635" i="3"/>
  <c r="AB636" i="3"/>
  <c r="AC636" i="3"/>
  <c r="AL636" i="3"/>
  <c r="AM636" i="3"/>
  <c r="AB637" i="3"/>
  <c r="AC637" i="3"/>
  <c r="AL637" i="3"/>
  <c r="AM637" i="3"/>
  <c r="AB638" i="3"/>
  <c r="AC638" i="3"/>
  <c r="AL638" i="3"/>
  <c r="AM638" i="3"/>
  <c r="AB639" i="3"/>
  <c r="AC639" i="3"/>
  <c r="AL639" i="3"/>
  <c r="AM639" i="3"/>
  <c r="AB640" i="3"/>
  <c r="AC640" i="3"/>
  <c r="AL640" i="3"/>
  <c r="AM640" i="3"/>
  <c r="AB641" i="3"/>
  <c r="AC641" i="3"/>
  <c r="AL641" i="3"/>
  <c r="AM641" i="3"/>
  <c r="AB642" i="3"/>
  <c r="AC642" i="3"/>
  <c r="AL642" i="3"/>
  <c r="AM642" i="3"/>
  <c r="AB643" i="3"/>
  <c r="AC643" i="3"/>
  <c r="AL643" i="3"/>
  <c r="AM643" i="3"/>
  <c r="AB644" i="3"/>
  <c r="AC644" i="3"/>
  <c r="AL644" i="3"/>
  <c r="AM644" i="3"/>
  <c r="AB645" i="3"/>
  <c r="AC645" i="3"/>
  <c r="AL645" i="3"/>
  <c r="AM645" i="3"/>
  <c r="AB648" i="3"/>
  <c r="AC648" i="3"/>
  <c r="AL648" i="3"/>
  <c r="AM648" i="3"/>
  <c r="AB649" i="3"/>
  <c r="AC649" i="3"/>
  <c r="AL649" i="3"/>
  <c r="AM649" i="3"/>
  <c r="AB650" i="3"/>
  <c r="AC650" i="3"/>
  <c r="AL650" i="3"/>
  <c r="AM650" i="3"/>
  <c r="AB651" i="3"/>
  <c r="AC651" i="3"/>
  <c r="AL651" i="3"/>
  <c r="AM651" i="3"/>
  <c r="AB652" i="3"/>
  <c r="AC652" i="3"/>
  <c r="AL652" i="3"/>
  <c r="AM652" i="3"/>
  <c r="AB653" i="3"/>
  <c r="AC653" i="3"/>
  <c r="AL653" i="3"/>
  <c r="AM653" i="3"/>
  <c r="AB654" i="3"/>
  <c r="AC654" i="3"/>
  <c r="AL654" i="3"/>
  <c r="AM654" i="3"/>
  <c r="AB655" i="3"/>
  <c r="AC655" i="3"/>
  <c r="AL655" i="3"/>
  <c r="AM655" i="3"/>
  <c r="AB656" i="3"/>
  <c r="AC656" i="3"/>
  <c r="AL656" i="3"/>
  <c r="AM656" i="3"/>
  <c r="AB657" i="3"/>
  <c r="AC657" i="3"/>
  <c r="AL657" i="3"/>
  <c r="AM657" i="3"/>
  <c r="AB658" i="3"/>
  <c r="AC658" i="3"/>
  <c r="AL658" i="3"/>
  <c r="AM658" i="3"/>
  <c r="AB659" i="3"/>
  <c r="AC659" i="3"/>
  <c r="AL659" i="3"/>
  <c r="AM659" i="3"/>
  <c r="AB660" i="3"/>
  <c r="AC660" i="3"/>
  <c r="AL660" i="3"/>
  <c r="AM660" i="3"/>
  <c r="AB661" i="3"/>
  <c r="AC661" i="3"/>
  <c r="AL661" i="3"/>
  <c r="AM661" i="3"/>
  <c r="AB664" i="3"/>
  <c r="AC664" i="3"/>
  <c r="AL664" i="3"/>
  <c r="AM664" i="3"/>
  <c r="AB665" i="3"/>
  <c r="AC665" i="3"/>
  <c r="AL665" i="3"/>
  <c r="AM665" i="3"/>
  <c r="AB666" i="3"/>
  <c r="AC666" i="3"/>
  <c r="AL666" i="3"/>
  <c r="AM666" i="3"/>
  <c r="AB667" i="3"/>
  <c r="AC667" i="3"/>
  <c r="AL667" i="3"/>
  <c r="AM667" i="3"/>
  <c r="AB668" i="3"/>
  <c r="AC668" i="3"/>
  <c r="AL668" i="3"/>
  <c r="AM668" i="3"/>
  <c r="AB669" i="3"/>
  <c r="AC669" i="3"/>
  <c r="AL669" i="3"/>
  <c r="AM669" i="3"/>
  <c r="AB670" i="3"/>
  <c r="AC670" i="3"/>
  <c r="AL670" i="3"/>
  <c r="AM670" i="3"/>
  <c r="AB671" i="3"/>
  <c r="AC671" i="3"/>
  <c r="AL671" i="3"/>
  <c r="AM671" i="3"/>
  <c r="AB672" i="3"/>
  <c r="AC672" i="3"/>
  <c r="AL672" i="3"/>
  <c r="AM672" i="3"/>
  <c r="AB673" i="3"/>
  <c r="AC673" i="3"/>
  <c r="AL673" i="3"/>
  <c r="AM673" i="3"/>
  <c r="AB674" i="3"/>
  <c r="AC674" i="3"/>
  <c r="AL674" i="3"/>
  <c r="AM674" i="3"/>
  <c r="AB675" i="3"/>
  <c r="AC675" i="3"/>
  <c r="AL675" i="3"/>
  <c r="AM675" i="3"/>
  <c r="AB676" i="3"/>
  <c r="AC676" i="3"/>
  <c r="AL676" i="3"/>
  <c r="AM676" i="3"/>
  <c r="AB677" i="3"/>
  <c r="AC677" i="3"/>
  <c r="AL677" i="3"/>
  <c r="AM677" i="3"/>
  <c r="AB678" i="3"/>
  <c r="AC678" i="3"/>
  <c r="AL678" i="3"/>
  <c r="AM678" i="3"/>
  <c r="AB679" i="3"/>
  <c r="AC679" i="3"/>
  <c r="AL679" i="3"/>
  <c r="AM679" i="3"/>
  <c r="AB680" i="3"/>
  <c r="AC680" i="3"/>
  <c r="AL680" i="3"/>
  <c r="AM680" i="3"/>
  <c r="AB681" i="3"/>
  <c r="AC681" i="3"/>
  <c r="AL681" i="3"/>
  <c r="AM681" i="3"/>
  <c r="AB682" i="3"/>
  <c r="AC682" i="3"/>
  <c r="AL682" i="3"/>
  <c r="AM682" i="3"/>
  <c r="AB683" i="3"/>
  <c r="AC683" i="3"/>
  <c r="AL683" i="3"/>
  <c r="AM683" i="3"/>
  <c r="AB684" i="3"/>
  <c r="AC684" i="3"/>
  <c r="AL684" i="3"/>
  <c r="AM684" i="3"/>
  <c r="AB685" i="3"/>
  <c r="AC685" i="3"/>
  <c r="AL685" i="3"/>
  <c r="AM685" i="3"/>
  <c r="AB686" i="3"/>
  <c r="AC686" i="3"/>
  <c r="AL686" i="3"/>
  <c r="AM686" i="3"/>
  <c r="AB687" i="3"/>
  <c r="AC687" i="3"/>
  <c r="AL687" i="3"/>
  <c r="AM687" i="3"/>
  <c r="AB688" i="3"/>
  <c r="AC688" i="3"/>
  <c r="AL688" i="3"/>
  <c r="AM688" i="3"/>
  <c r="AB689" i="3"/>
  <c r="AC689" i="3"/>
  <c r="AL689" i="3"/>
  <c r="AM689" i="3"/>
  <c r="AB690" i="3"/>
  <c r="AC690" i="3"/>
  <c r="AL690" i="3"/>
  <c r="AM690" i="3"/>
  <c r="AB691" i="3"/>
  <c r="AC691" i="3"/>
  <c r="AL691" i="3"/>
  <c r="AM691" i="3"/>
  <c r="AB692" i="3"/>
  <c r="AC692" i="3"/>
  <c r="AL692" i="3"/>
  <c r="AM692" i="3"/>
  <c r="AB693" i="3"/>
  <c r="AC693" i="3"/>
  <c r="AL693" i="3"/>
  <c r="AM693" i="3"/>
  <c r="AB694" i="3"/>
  <c r="AC694" i="3"/>
  <c r="AL694" i="3"/>
  <c r="AM694" i="3"/>
  <c r="AB695" i="3"/>
  <c r="AC695" i="3"/>
  <c r="AL695" i="3"/>
  <c r="AM695" i="3"/>
  <c r="AB696" i="3"/>
  <c r="AC696" i="3"/>
  <c r="AL696" i="3"/>
  <c r="AM696" i="3"/>
  <c r="AB697" i="3"/>
  <c r="AC697" i="3"/>
  <c r="AL697" i="3"/>
  <c r="AM697" i="3"/>
  <c r="AB698" i="3"/>
  <c r="AC698" i="3"/>
  <c r="AL698" i="3"/>
  <c r="AM698" i="3"/>
  <c r="AB699" i="3"/>
  <c r="AC699" i="3"/>
  <c r="AL699" i="3"/>
  <c r="AM699" i="3"/>
  <c r="AB700" i="3"/>
  <c r="AC700" i="3"/>
  <c r="AL700" i="3"/>
  <c r="AM700" i="3"/>
  <c r="AB646" i="3"/>
  <c r="AC646" i="3"/>
  <c r="AL646" i="3"/>
  <c r="AM646" i="3"/>
  <c r="AB647" i="3"/>
  <c r="AC647" i="3"/>
  <c r="AL647" i="3"/>
  <c r="AM647" i="3"/>
  <c r="AB701" i="3"/>
  <c r="AC701" i="3"/>
  <c r="AL701" i="3"/>
  <c r="AM701" i="3"/>
  <c r="AB703" i="3"/>
  <c r="AC703" i="3"/>
  <c r="AL703" i="3"/>
  <c r="AM703" i="3"/>
  <c r="AB702" i="3"/>
  <c r="AC702" i="3"/>
  <c r="AL702" i="3"/>
  <c r="AM702" i="3"/>
  <c r="AB704" i="3"/>
  <c r="AC704" i="3"/>
  <c r="AL704" i="3"/>
  <c r="AM704" i="3"/>
  <c r="AB705" i="3"/>
  <c r="AC705" i="3"/>
  <c r="AL705" i="3"/>
  <c r="AM705" i="3"/>
  <c r="AB706" i="3"/>
  <c r="AC706" i="3"/>
  <c r="AL706" i="3"/>
  <c r="AM706" i="3"/>
  <c r="AB707" i="3"/>
  <c r="AC707" i="3"/>
  <c r="AL707" i="3"/>
  <c r="AM707" i="3"/>
  <c r="AB708" i="3"/>
  <c r="AC708" i="3"/>
  <c r="AL708" i="3"/>
  <c r="AM708" i="3"/>
  <c r="AB709" i="3"/>
  <c r="AC709" i="3"/>
  <c r="AL709" i="3"/>
  <c r="AM709" i="3"/>
  <c r="AB710" i="3"/>
  <c r="AC710" i="3"/>
  <c r="AL710" i="3"/>
  <c r="AM710" i="3"/>
  <c r="AB711" i="3"/>
  <c r="AC711" i="3"/>
  <c r="AL711" i="3"/>
  <c r="AM711" i="3"/>
  <c r="AB712" i="3"/>
  <c r="AC712" i="3"/>
  <c r="AL712" i="3"/>
  <c r="AM712" i="3"/>
  <c r="AB713" i="3"/>
  <c r="AC713" i="3"/>
  <c r="AL713" i="3"/>
  <c r="AM713" i="3"/>
  <c r="AB714" i="3"/>
  <c r="AC714" i="3"/>
  <c r="AL714" i="3"/>
  <c r="AM714" i="3"/>
  <c r="AB715" i="3"/>
  <c r="AC715" i="3"/>
  <c r="AL715" i="3"/>
  <c r="AM715" i="3"/>
  <c r="AB716" i="3"/>
  <c r="AC716" i="3"/>
  <c r="AL716" i="3"/>
  <c r="AM716" i="3"/>
  <c r="AB717" i="3"/>
  <c r="AC717" i="3"/>
  <c r="AL717" i="3"/>
  <c r="AM717" i="3"/>
  <c r="AB718" i="3"/>
  <c r="AC718" i="3"/>
  <c r="AL718" i="3"/>
  <c r="AM718" i="3"/>
  <c r="AB719" i="3"/>
  <c r="AC719" i="3"/>
  <c r="AL719" i="3"/>
  <c r="AM719" i="3"/>
  <c r="AB720" i="3"/>
  <c r="AC720" i="3"/>
  <c r="AL720" i="3"/>
  <c r="AM720" i="3"/>
  <c r="AB721" i="3"/>
  <c r="AC721" i="3"/>
  <c r="AL721" i="3"/>
  <c r="AM721" i="3"/>
  <c r="AB722" i="3"/>
  <c r="AC722" i="3"/>
  <c r="AL722" i="3"/>
  <c r="AM722" i="3"/>
  <c r="AB723" i="3"/>
  <c r="AC723" i="3"/>
  <c r="AL723" i="3"/>
  <c r="AM723" i="3"/>
  <c r="AB724" i="3"/>
  <c r="AC724" i="3"/>
  <c r="AL724" i="3"/>
  <c r="AM724" i="3"/>
  <c r="AB725" i="3"/>
  <c r="AC725" i="3"/>
  <c r="AL725" i="3"/>
  <c r="AM725" i="3"/>
  <c r="AB726" i="3"/>
  <c r="AC726" i="3"/>
  <c r="AL726" i="3"/>
  <c r="AM726" i="3"/>
  <c r="AB727" i="3"/>
  <c r="AC727" i="3"/>
  <c r="AL727" i="3"/>
  <c r="AM727" i="3"/>
  <c r="AB728" i="3"/>
  <c r="AC728" i="3"/>
  <c r="AL728" i="3"/>
  <c r="AM728" i="3"/>
  <c r="AB729" i="3"/>
  <c r="AC729" i="3"/>
  <c r="AL729" i="3"/>
  <c r="AM729" i="3"/>
  <c r="AB730" i="3"/>
  <c r="AC730" i="3"/>
  <c r="AL730" i="3"/>
  <c r="AM730" i="3"/>
  <c r="AB731" i="3"/>
  <c r="AC731" i="3"/>
  <c r="AL731" i="3"/>
  <c r="AM731" i="3"/>
  <c r="AB732" i="3"/>
  <c r="AC732" i="3"/>
  <c r="AL732" i="3"/>
  <c r="AM732" i="3"/>
  <c r="AB733" i="3"/>
  <c r="AC733" i="3"/>
  <c r="AL733" i="3"/>
  <c r="AM733" i="3"/>
  <c r="AB735" i="3"/>
  <c r="AC735" i="3"/>
  <c r="AL735" i="3"/>
  <c r="AM735" i="3"/>
  <c r="AB736" i="3"/>
  <c r="AC736" i="3"/>
  <c r="AL736" i="3"/>
  <c r="AM736" i="3"/>
  <c r="AB737" i="3"/>
  <c r="AC737" i="3"/>
  <c r="AL737" i="3"/>
  <c r="AM737" i="3"/>
  <c r="AB738" i="3"/>
  <c r="AC738" i="3"/>
  <c r="AL738" i="3"/>
  <c r="AM738" i="3"/>
  <c r="AB739" i="3"/>
  <c r="AC739" i="3"/>
  <c r="AL739" i="3"/>
  <c r="AM739" i="3"/>
  <c r="AB741" i="3"/>
  <c r="AC741" i="3"/>
  <c r="AL741" i="3"/>
  <c r="AM741" i="3"/>
  <c r="AB742" i="3"/>
  <c r="AC742" i="3"/>
  <c r="AL742" i="3"/>
  <c r="AM742" i="3"/>
  <c r="AB743" i="3"/>
  <c r="AC743" i="3"/>
  <c r="AL743" i="3"/>
  <c r="AM743" i="3"/>
  <c r="AB744" i="3"/>
  <c r="AC744" i="3"/>
  <c r="AL744" i="3"/>
  <c r="AM744" i="3"/>
  <c r="AB745" i="3"/>
  <c r="AC745" i="3"/>
  <c r="AL745" i="3"/>
  <c r="AM745" i="3"/>
  <c r="AB746" i="3"/>
  <c r="AC746" i="3"/>
  <c r="AL746" i="3"/>
  <c r="AM746" i="3"/>
  <c r="AB747" i="3"/>
  <c r="AC747" i="3"/>
  <c r="AL747" i="3"/>
  <c r="AM747" i="3"/>
  <c r="AB748" i="3"/>
  <c r="AC748" i="3"/>
  <c r="AL748" i="3"/>
  <c r="AM748" i="3"/>
  <c r="AB749" i="3"/>
  <c r="AC749" i="3"/>
  <c r="AL749" i="3"/>
  <c r="AM749" i="3"/>
  <c r="AB750" i="3"/>
  <c r="AC750" i="3"/>
  <c r="AL750" i="3"/>
  <c r="AM750" i="3"/>
  <c r="AB751" i="3"/>
  <c r="AC751" i="3"/>
  <c r="AL751" i="3"/>
  <c r="AM751" i="3"/>
  <c r="AB752" i="3"/>
  <c r="AC752" i="3"/>
  <c r="AL752" i="3"/>
  <c r="AM752" i="3"/>
  <c r="AB753" i="3"/>
  <c r="AC753" i="3"/>
  <c r="AL753" i="3"/>
  <c r="AM753" i="3"/>
  <c r="AB754" i="3"/>
  <c r="AC754" i="3"/>
  <c r="AL754" i="3"/>
  <c r="AM754" i="3"/>
  <c r="AB755" i="3"/>
  <c r="AC755" i="3"/>
  <c r="AL755" i="3"/>
  <c r="AM755" i="3"/>
  <c r="AB756" i="3"/>
  <c r="AC756" i="3"/>
  <c r="AL756" i="3"/>
  <c r="AM756" i="3"/>
  <c r="AB757" i="3"/>
  <c r="AC757" i="3"/>
  <c r="AL757" i="3"/>
  <c r="AM757" i="3"/>
  <c r="AB758" i="3"/>
  <c r="AC758" i="3"/>
  <c r="AL758" i="3"/>
  <c r="AM758" i="3"/>
  <c r="AB759" i="3"/>
  <c r="AC759" i="3"/>
  <c r="AL759" i="3"/>
  <c r="AM759" i="3"/>
  <c r="AB761" i="3"/>
  <c r="AC761" i="3"/>
  <c r="AL761" i="3"/>
  <c r="AM761" i="3"/>
  <c r="AB760" i="3"/>
  <c r="AC760" i="3"/>
  <c r="AL760" i="3"/>
  <c r="AM760" i="3"/>
  <c r="AB762" i="3"/>
  <c r="AC762" i="3"/>
  <c r="AL762" i="3"/>
  <c r="AM762" i="3"/>
  <c r="AB763" i="3"/>
  <c r="AC763" i="3"/>
  <c r="AL763" i="3"/>
  <c r="AM763" i="3"/>
  <c r="AB764" i="3"/>
  <c r="AC764" i="3"/>
  <c r="AL764" i="3"/>
  <c r="AM764" i="3"/>
  <c r="AB765" i="3"/>
  <c r="AC765" i="3"/>
  <c r="AL765" i="3"/>
  <c r="AM765" i="3"/>
  <c r="AB766" i="3"/>
  <c r="AC766" i="3"/>
  <c r="AL766" i="3"/>
  <c r="AM766" i="3"/>
  <c r="AB767" i="3"/>
  <c r="AC767" i="3"/>
  <c r="AL767" i="3"/>
  <c r="AM767" i="3"/>
  <c r="AB768" i="3"/>
  <c r="AC768" i="3"/>
  <c r="AL768" i="3"/>
  <c r="AM768" i="3"/>
  <c r="AB769" i="3"/>
  <c r="AC769" i="3"/>
  <c r="AL769" i="3"/>
  <c r="AM769" i="3"/>
  <c r="AB770" i="3"/>
  <c r="AC770" i="3"/>
  <c r="AL770" i="3"/>
  <c r="AM770" i="3"/>
  <c r="AB771" i="3"/>
  <c r="AC771" i="3"/>
  <c r="AL771" i="3"/>
  <c r="AM771" i="3"/>
  <c r="AB772" i="3"/>
  <c r="AC772" i="3"/>
  <c r="AL772" i="3"/>
  <c r="AM772" i="3"/>
  <c r="AB773" i="3"/>
  <c r="AC773" i="3"/>
  <c r="AL773" i="3"/>
  <c r="AM773" i="3"/>
  <c r="AB774" i="3"/>
  <c r="AC774" i="3"/>
  <c r="AL774" i="3"/>
  <c r="AM774" i="3"/>
  <c r="AB775" i="3"/>
  <c r="AC775" i="3"/>
  <c r="AL775" i="3"/>
  <c r="AM775" i="3"/>
  <c r="AB776" i="3"/>
  <c r="AC776" i="3"/>
  <c r="AL776" i="3"/>
  <c r="AM776" i="3"/>
  <c r="AB777" i="3"/>
  <c r="AC777" i="3"/>
  <c r="AL777" i="3"/>
  <c r="AM777" i="3"/>
  <c r="AB778" i="3"/>
  <c r="AC778" i="3"/>
  <c r="AL778" i="3"/>
  <c r="AM778" i="3"/>
  <c r="AB779" i="3"/>
  <c r="AC779" i="3"/>
  <c r="AL779" i="3"/>
  <c r="AM779" i="3"/>
  <c r="AB780" i="3"/>
  <c r="AC780" i="3"/>
  <c r="AL780" i="3"/>
  <c r="AM780" i="3"/>
  <c r="AB781" i="3"/>
  <c r="AC781" i="3"/>
  <c r="AL781" i="3"/>
  <c r="AM781" i="3"/>
  <c r="AB782" i="3"/>
  <c r="AC782" i="3"/>
  <c r="AL782" i="3"/>
  <c r="AM782" i="3"/>
  <c r="AB783" i="3"/>
  <c r="AC783" i="3"/>
  <c r="AL783" i="3"/>
  <c r="AM783" i="3"/>
  <c r="AB784" i="3"/>
  <c r="AC784" i="3"/>
  <c r="AL784" i="3"/>
  <c r="AM784" i="3"/>
  <c r="AB785" i="3"/>
  <c r="AC785" i="3"/>
  <c r="AL785" i="3"/>
  <c r="AM785" i="3"/>
  <c r="AB786" i="3"/>
  <c r="AC786" i="3"/>
  <c r="AL786" i="3"/>
  <c r="AM786" i="3"/>
  <c r="AB787" i="3"/>
  <c r="AC787" i="3"/>
  <c r="AL787" i="3"/>
  <c r="AM787" i="3"/>
  <c r="AB788" i="3"/>
  <c r="AC788" i="3"/>
  <c r="AL788" i="3"/>
  <c r="AM788" i="3"/>
  <c r="AB789" i="3"/>
  <c r="AC789" i="3"/>
  <c r="AL789" i="3"/>
  <c r="AM789" i="3"/>
  <c r="AB790" i="3"/>
  <c r="AC790" i="3"/>
  <c r="AL790" i="3"/>
  <c r="AM790" i="3"/>
  <c r="AB791" i="3"/>
  <c r="AC791" i="3"/>
  <c r="AL791" i="3"/>
  <c r="AM791" i="3"/>
  <c r="AB792" i="3"/>
  <c r="AC792" i="3"/>
  <c r="AL792" i="3"/>
  <c r="AM792" i="3"/>
  <c r="AB793" i="3"/>
  <c r="AC793" i="3"/>
  <c r="AL793" i="3"/>
  <c r="AM793" i="3"/>
  <c r="AB794" i="3"/>
  <c r="AC794" i="3"/>
  <c r="AL794" i="3"/>
  <c r="AM794" i="3"/>
  <c r="AB795" i="3"/>
  <c r="AC795" i="3"/>
  <c r="AL795" i="3"/>
  <c r="AM795" i="3"/>
  <c r="AB796" i="3"/>
  <c r="AC796" i="3"/>
  <c r="AL796" i="3"/>
  <c r="AM796" i="3"/>
  <c r="AB797" i="3"/>
  <c r="AC797" i="3"/>
  <c r="AL797" i="3"/>
  <c r="AM797" i="3"/>
  <c r="AB798" i="3"/>
  <c r="AC798" i="3"/>
  <c r="AL798" i="3"/>
  <c r="AM798" i="3"/>
  <c r="AB799" i="3"/>
  <c r="AC799" i="3"/>
  <c r="AL799" i="3"/>
  <c r="AM799" i="3"/>
  <c r="AB800" i="3"/>
  <c r="AC800" i="3"/>
  <c r="AL800" i="3"/>
  <c r="AM800" i="3"/>
  <c r="AB801" i="3"/>
  <c r="AC801" i="3"/>
  <c r="AL801" i="3"/>
  <c r="AM801" i="3"/>
  <c r="AB802" i="3"/>
  <c r="AC802" i="3"/>
  <c r="AL802" i="3"/>
  <c r="AM802" i="3"/>
  <c r="AB803" i="3"/>
  <c r="AC803" i="3"/>
  <c r="AL803" i="3"/>
  <c r="AM803" i="3"/>
  <c r="AB804" i="3"/>
  <c r="AC804" i="3"/>
  <c r="AL804" i="3"/>
  <c r="AM804" i="3"/>
  <c r="AB805" i="3"/>
  <c r="AC805" i="3"/>
  <c r="AL805" i="3"/>
  <c r="AM805" i="3"/>
  <c r="AB806" i="3"/>
  <c r="AC806" i="3"/>
  <c r="AL806" i="3"/>
  <c r="AM806" i="3"/>
  <c r="AB807" i="3"/>
  <c r="AC807" i="3"/>
  <c r="AL807" i="3"/>
  <c r="AM807" i="3"/>
  <c r="AB808" i="3"/>
  <c r="AC808" i="3"/>
  <c r="AL808" i="3"/>
  <c r="AM808" i="3"/>
  <c r="AB809" i="3"/>
  <c r="AC809" i="3"/>
  <c r="AL809" i="3"/>
  <c r="AM809" i="3"/>
  <c r="AB810" i="3"/>
  <c r="AC810" i="3"/>
  <c r="AL810" i="3"/>
  <c r="AM810" i="3"/>
  <c r="AB811" i="3"/>
  <c r="AC811" i="3"/>
  <c r="AL811" i="3"/>
  <c r="AM811" i="3"/>
  <c r="AB812" i="3"/>
  <c r="AC812" i="3"/>
  <c r="AL812" i="3"/>
  <c r="AM812" i="3"/>
  <c r="AB813" i="3"/>
  <c r="AC813" i="3"/>
  <c r="AL813" i="3"/>
  <c r="AM813" i="3"/>
  <c r="AB814" i="3"/>
  <c r="AC814" i="3"/>
  <c r="AL814" i="3"/>
  <c r="AM814" i="3"/>
  <c r="AB815" i="3"/>
  <c r="AC815" i="3"/>
  <c r="AL815" i="3"/>
  <c r="AM815" i="3"/>
  <c r="AB816" i="3"/>
  <c r="AC816" i="3"/>
  <c r="AL816" i="3"/>
  <c r="AM816" i="3"/>
  <c r="AB817" i="3"/>
  <c r="AC817" i="3"/>
  <c r="AL817" i="3"/>
  <c r="AM817" i="3"/>
  <c r="AB818" i="3"/>
  <c r="AC818" i="3"/>
  <c r="AL818" i="3"/>
  <c r="AM818" i="3"/>
  <c r="AB819" i="3"/>
  <c r="AC819" i="3"/>
  <c r="AL819" i="3"/>
  <c r="AM819" i="3"/>
  <c r="AB820" i="3"/>
  <c r="AC820" i="3"/>
  <c r="AL820" i="3"/>
  <c r="AM820" i="3"/>
  <c r="AB821" i="3"/>
  <c r="AC821" i="3"/>
  <c r="AL821" i="3"/>
  <c r="AM821" i="3"/>
  <c r="AB822" i="3"/>
  <c r="AC822" i="3"/>
  <c r="AL822" i="3"/>
  <c r="AM822" i="3"/>
  <c r="AB823" i="3"/>
  <c r="AC823" i="3"/>
  <c r="AL823" i="3"/>
  <c r="AM823" i="3"/>
  <c r="AB824" i="3"/>
  <c r="AC824" i="3"/>
  <c r="AL824" i="3"/>
  <c r="AM824" i="3"/>
  <c r="AB825" i="3"/>
  <c r="AC825" i="3"/>
  <c r="AL825" i="3"/>
  <c r="AM825" i="3"/>
  <c r="AB826" i="3"/>
  <c r="AC826" i="3"/>
  <c r="AL826" i="3"/>
  <c r="AM826" i="3"/>
  <c r="AB827" i="3"/>
  <c r="AC827" i="3"/>
  <c r="AL827" i="3"/>
  <c r="AM827" i="3"/>
  <c r="AB828" i="3"/>
  <c r="AC828" i="3"/>
  <c r="AL828" i="3"/>
  <c r="AM828" i="3"/>
  <c r="AB829" i="3"/>
  <c r="AC829" i="3"/>
  <c r="AL829" i="3"/>
  <c r="AM829" i="3"/>
  <c r="AB830" i="3"/>
  <c r="AC830" i="3"/>
  <c r="AL830" i="3"/>
  <c r="AM830" i="3"/>
  <c r="AB831" i="3"/>
  <c r="AC831" i="3"/>
  <c r="AL831" i="3"/>
  <c r="AM831" i="3"/>
  <c r="AB832" i="3"/>
  <c r="AC832" i="3"/>
  <c r="AL832" i="3"/>
  <c r="AM832" i="3"/>
  <c r="AB833" i="3"/>
  <c r="AC833" i="3"/>
  <c r="AL833" i="3"/>
  <c r="AM833" i="3"/>
  <c r="AB834" i="3"/>
  <c r="AC834" i="3"/>
  <c r="AL834" i="3"/>
  <c r="AM834" i="3"/>
  <c r="AB835" i="3"/>
  <c r="AC835" i="3"/>
  <c r="AL835" i="3"/>
  <c r="AM835" i="3"/>
  <c r="AB836" i="3"/>
  <c r="AC836" i="3"/>
  <c r="AL836" i="3"/>
  <c r="AM836" i="3"/>
  <c r="AB837" i="3"/>
  <c r="AC837" i="3"/>
  <c r="AL837" i="3"/>
  <c r="AM837" i="3"/>
  <c r="AB838" i="3"/>
  <c r="AC838" i="3"/>
  <c r="AL838" i="3"/>
  <c r="AM838" i="3"/>
  <c r="AB839" i="3"/>
  <c r="AC839" i="3"/>
  <c r="AL839" i="3"/>
  <c r="AM839" i="3"/>
  <c r="AB840" i="3"/>
  <c r="AC840" i="3"/>
  <c r="AL840" i="3"/>
  <c r="AM840" i="3"/>
  <c r="AB841" i="3"/>
  <c r="AC841" i="3"/>
  <c r="AL841" i="3"/>
  <c r="AM841" i="3"/>
  <c r="AB842" i="3"/>
  <c r="AC842" i="3"/>
  <c r="AL842" i="3"/>
  <c r="AM842" i="3"/>
  <c r="AB843" i="3"/>
  <c r="AC843" i="3"/>
  <c r="AL843" i="3"/>
  <c r="AM843" i="3"/>
  <c r="AB844" i="3"/>
  <c r="AC844" i="3"/>
  <c r="AL844" i="3"/>
  <c r="AM844" i="3"/>
  <c r="AB845" i="3"/>
  <c r="AC845" i="3"/>
  <c r="AL845" i="3"/>
  <c r="AM845" i="3"/>
  <c r="AB846" i="3"/>
  <c r="AC846" i="3"/>
  <c r="AL846" i="3"/>
  <c r="AM846" i="3"/>
  <c r="AB847" i="3"/>
  <c r="AC847" i="3"/>
  <c r="AL847" i="3"/>
  <c r="AM847" i="3"/>
  <c r="AB848" i="3"/>
  <c r="AC848" i="3"/>
  <c r="AL848" i="3"/>
  <c r="AM848" i="3"/>
  <c r="AB849" i="3"/>
  <c r="AC849" i="3"/>
  <c r="AL849" i="3"/>
  <c r="AM849" i="3"/>
  <c r="AB850" i="3"/>
  <c r="AC850" i="3"/>
  <c r="AL850" i="3"/>
  <c r="AM850" i="3"/>
  <c r="AB851" i="3"/>
  <c r="AC851" i="3"/>
  <c r="AL851" i="3"/>
  <c r="AM851" i="3"/>
  <c r="AB852" i="3"/>
  <c r="AC852" i="3"/>
  <c r="AL852" i="3"/>
  <c r="AM852" i="3"/>
  <c r="AB853" i="3"/>
  <c r="AC853" i="3"/>
  <c r="AL853" i="3"/>
  <c r="AM853" i="3"/>
  <c r="AB854" i="3"/>
  <c r="AC854" i="3"/>
  <c r="AL854" i="3"/>
  <c r="AM854" i="3"/>
  <c r="AB855" i="3"/>
  <c r="AC855" i="3"/>
  <c r="AL855" i="3"/>
  <c r="AM855" i="3"/>
  <c r="AB856" i="3"/>
  <c r="AC856" i="3"/>
  <c r="AL856" i="3"/>
  <c r="AM856" i="3"/>
  <c r="AB857" i="3"/>
  <c r="AC857" i="3"/>
  <c r="AL857" i="3"/>
  <c r="AM857" i="3"/>
  <c r="AB858" i="3"/>
  <c r="AC858" i="3"/>
  <c r="AL858" i="3"/>
  <c r="AM858" i="3"/>
  <c r="AB859" i="3"/>
  <c r="AC859" i="3"/>
  <c r="AL859" i="3"/>
  <c r="AM859" i="3"/>
  <c r="AB860" i="3"/>
  <c r="AC860" i="3"/>
  <c r="AL860" i="3"/>
  <c r="AM860" i="3"/>
  <c r="AB861" i="3"/>
  <c r="AC861" i="3"/>
  <c r="AL861" i="3"/>
  <c r="AM861" i="3"/>
  <c r="AB862" i="3"/>
  <c r="AC862" i="3"/>
  <c r="AL862" i="3"/>
  <c r="AM862" i="3"/>
  <c r="AB863" i="3"/>
  <c r="AC863" i="3"/>
  <c r="AL863" i="3"/>
  <c r="AM863" i="3"/>
  <c r="AB864" i="3"/>
  <c r="AC864" i="3"/>
  <c r="AL864" i="3"/>
  <c r="AM864" i="3"/>
  <c r="I865" i="3"/>
  <c r="AL865" i="3"/>
  <c r="AM865" i="3"/>
  <c r="AB866" i="3"/>
  <c r="AC866" i="3"/>
  <c r="AL866" i="3"/>
  <c r="AM866" i="3"/>
  <c r="AB867" i="3"/>
  <c r="AC867" i="3"/>
  <c r="AL867" i="3"/>
  <c r="AM867" i="3"/>
  <c r="AB868" i="3"/>
  <c r="AC868" i="3"/>
  <c r="AL868" i="3"/>
  <c r="AM868" i="3"/>
  <c r="AB869" i="3"/>
  <c r="AC869" i="3"/>
  <c r="AL869" i="3"/>
  <c r="AM869" i="3"/>
  <c r="AB870" i="3"/>
  <c r="AC870" i="3"/>
  <c r="AL870" i="3"/>
  <c r="AM870" i="3"/>
  <c r="AB871" i="3"/>
  <c r="AC871" i="3"/>
  <c r="AL871" i="3"/>
  <c r="AM871" i="3"/>
  <c r="AB872" i="3"/>
  <c r="AC872" i="3"/>
  <c r="AL872" i="3"/>
  <c r="AM872" i="3"/>
  <c r="AB873" i="3"/>
  <c r="AC873" i="3"/>
  <c r="AL873" i="3"/>
  <c r="AM873" i="3"/>
  <c r="AB874" i="3"/>
  <c r="AC874" i="3"/>
  <c r="AL874" i="3"/>
  <c r="AM874" i="3"/>
  <c r="AB875" i="3"/>
  <c r="AC875" i="3"/>
  <c r="AL875" i="3"/>
  <c r="AM875" i="3"/>
  <c r="AB876" i="3"/>
  <c r="AC876" i="3"/>
  <c r="AL876" i="3"/>
  <c r="AM876" i="3"/>
  <c r="AB877" i="3"/>
  <c r="AC877" i="3"/>
  <c r="AL877" i="3"/>
  <c r="AM877" i="3"/>
  <c r="AB878" i="3"/>
  <c r="AC878" i="3"/>
  <c r="AL878" i="3"/>
  <c r="AM878" i="3"/>
  <c r="AB879" i="3"/>
  <c r="AC879" i="3"/>
  <c r="AL879" i="3"/>
  <c r="AM879" i="3"/>
  <c r="AB880" i="3"/>
  <c r="AC880" i="3"/>
  <c r="AL880" i="3"/>
  <c r="AM880" i="3"/>
  <c r="AB881" i="3"/>
  <c r="AC881" i="3"/>
  <c r="AL881" i="3"/>
  <c r="AM881" i="3"/>
  <c r="AB882" i="3"/>
  <c r="AC882" i="3"/>
  <c r="AL882" i="3"/>
  <c r="AM882" i="3"/>
  <c r="AB883" i="3"/>
  <c r="AC883" i="3"/>
  <c r="AL883" i="3"/>
  <c r="AM883" i="3"/>
  <c r="AB884" i="3"/>
  <c r="AC884" i="3"/>
  <c r="AL884" i="3"/>
  <c r="AM884" i="3"/>
  <c r="AB885" i="3"/>
  <c r="AC885" i="3"/>
  <c r="AL885" i="3"/>
  <c r="AM885" i="3"/>
  <c r="AB886" i="3"/>
  <c r="AC886" i="3"/>
  <c r="AL886" i="3"/>
  <c r="AM886" i="3"/>
  <c r="AB887" i="3"/>
  <c r="AC887" i="3"/>
  <c r="AL887" i="3"/>
  <c r="AM887" i="3"/>
  <c r="AB888" i="3"/>
  <c r="AC888" i="3"/>
  <c r="AL888" i="3"/>
  <c r="AM888" i="3"/>
  <c r="AB889" i="3"/>
  <c r="AC889" i="3"/>
  <c r="AL889" i="3"/>
  <c r="AM889" i="3"/>
  <c r="AB890" i="3"/>
  <c r="AC890" i="3"/>
  <c r="AL890" i="3"/>
  <c r="AM890" i="3"/>
  <c r="AB891" i="3"/>
  <c r="AC891" i="3"/>
  <c r="AL891" i="3"/>
  <c r="AM891" i="3"/>
  <c r="AB892" i="3"/>
  <c r="AC892" i="3"/>
  <c r="AL892" i="3"/>
  <c r="AM892" i="3"/>
  <c r="AB893" i="3"/>
  <c r="AC893" i="3"/>
  <c r="AL893" i="3"/>
  <c r="AM893" i="3"/>
  <c r="AB894" i="3"/>
  <c r="AC894" i="3"/>
  <c r="AL894" i="3"/>
  <c r="AM894" i="3"/>
  <c r="AB895" i="3"/>
  <c r="AC895" i="3"/>
  <c r="AL895" i="3"/>
  <c r="AM895" i="3"/>
  <c r="AB896" i="3"/>
  <c r="AC896" i="3"/>
  <c r="AL896" i="3"/>
  <c r="AM896" i="3"/>
  <c r="AB897" i="3"/>
  <c r="AC897" i="3"/>
  <c r="AL897" i="3"/>
  <c r="AM897" i="3"/>
  <c r="AB898" i="3"/>
  <c r="AC898" i="3"/>
  <c r="AL898" i="3"/>
  <c r="AM898" i="3"/>
  <c r="AB899" i="3"/>
  <c r="AC899" i="3"/>
  <c r="AL899" i="3"/>
  <c r="AM899" i="3"/>
  <c r="AB900" i="3"/>
  <c r="AC900" i="3"/>
  <c r="AL900" i="3"/>
  <c r="AM900" i="3"/>
  <c r="AB901" i="3"/>
  <c r="AC901" i="3"/>
  <c r="AL901" i="3"/>
  <c r="AM901" i="3"/>
  <c r="AB902" i="3"/>
  <c r="AC902" i="3"/>
  <c r="AL902" i="3"/>
  <c r="AM902" i="3"/>
  <c r="AB903" i="3"/>
  <c r="AC903" i="3"/>
  <c r="AL903" i="3"/>
  <c r="AM903" i="3"/>
  <c r="AB904" i="3"/>
  <c r="AC904" i="3"/>
  <c r="AL904" i="3"/>
  <c r="AM904" i="3"/>
  <c r="AB905" i="3"/>
  <c r="AC905" i="3"/>
  <c r="AL905" i="3"/>
  <c r="AM905" i="3"/>
  <c r="AB906" i="3"/>
  <c r="AC906" i="3"/>
  <c r="AL906" i="3"/>
  <c r="AM906" i="3"/>
  <c r="AB907" i="3"/>
  <c r="AC907" i="3"/>
  <c r="AL907" i="3"/>
  <c r="AM907" i="3"/>
  <c r="AB908" i="3"/>
  <c r="AC908" i="3"/>
  <c r="AL908" i="3"/>
  <c r="AM908" i="3"/>
  <c r="AB909" i="3"/>
  <c r="AC909" i="3"/>
  <c r="AL909" i="3"/>
  <c r="AM909" i="3"/>
  <c r="AB910" i="3"/>
  <c r="AC910" i="3"/>
  <c r="AL910" i="3"/>
  <c r="AM910" i="3"/>
  <c r="AB911" i="3"/>
  <c r="AC911" i="3"/>
  <c r="AL911" i="3"/>
  <c r="AM911" i="3"/>
  <c r="AB912" i="3"/>
  <c r="AC912" i="3"/>
  <c r="AL912" i="3"/>
  <c r="AM912" i="3"/>
  <c r="AB913" i="3"/>
  <c r="AC913" i="3"/>
  <c r="AL913" i="3"/>
  <c r="AM913" i="3"/>
  <c r="AB914" i="3"/>
  <c r="AC914" i="3"/>
  <c r="AL914" i="3"/>
  <c r="AM914" i="3"/>
  <c r="AB915" i="3"/>
  <c r="AC915" i="3"/>
  <c r="AL915" i="3"/>
  <c r="AM915" i="3"/>
  <c r="AB916" i="3"/>
  <c r="AC916" i="3"/>
  <c r="AL916" i="3"/>
  <c r="AM916" i="3"/>
  <c r="AB917" i="3"/>
  <c r="AC917" i="3"/>
  <c r="AL917" i="3"/>
  <c r="AM917" i="3"/>
  <c r="AB918" i="3"/>
  <c r="AC918" i="3"/>
  <c r="AL918" i="3"/>
  <c r="AM918" i="3"/>
  <c r="AB919" i="3"/>
  <c r="AC919" i="3"/>
  <c r="AL919" i="3"/>
  <c r="AM919" i="3"/>
  <c r="AB920" i="3"/>
  <c r="AC920" i="3"/>
  <c r="AL920" i="3"/>
  <c r="AM920" i="3"/>
  <c r="AB921" i="3"/>
  <c r="AC921" i="3"/>
  <c r="AL921" i="3"/>
  <c r="AM921" i="3"/>
  <c r="AB922" i="3"/>
  <c r="AC922" i="3"/>
  <c r="AL922" i="3"/>
  <c r="AM922" i="3"/>
  <c r="AB923" i="3"/>
  <c r="AC923" i="3"/>
  <c r="AL923" i="3"/>
  <c r="AM923" i="3"/>
  <c r="AB924" i="3"/>
  <c r="AC924" i="3"/>
  <c r="AL924" i="3"/>
  <c r="AM924" i="3"/>
  <c r="AB925" i="3"/>
  <c r="AC925" i="3"/>
  <c r="AL925" i="3"/>
  <c r="AM925" i="3"/>
  <c r="AB927" i="3"/>
  <c r="AC927" i="3"/>
  <c r="AL927" i="3"/>
  <c r="AM927" i="3"/>
  <c r="AB926" i="3"/>
  <c r="AC926" i="3"/>
  <c r="AL926" i="3"/>
  <c r="AM926" i="3"/>
  <c r="AB928" i="3"/>
  <c r="AC928" i="3"/>
  <c r="AL928" i="3"/>
  <c r="AM928" i="3"/>
  <c r="AB929" i="3"/>
  <c r="AC929" i="3"/>
  <c r="AL929" i="3"/>
  <c r="AM929" i="3"/>
  <c r="AB930" i="3"/>
  <c r="AC930" i="3"/>
  <c r="AL930" i="3"/>
  <c r="AM930" i="3"/>
  <c r="AB931" i="3"/>
  <c r="AC931" i="3"/>
  <c r="AL931" i="3"/>
  <c r="AM931" i="3"/>
  <c r="AB932" i="3"/>
  <c r="AC932" i="3"/>
  <c r="AL932" i="3"/>
  <c r="AM932" i="3"/>
  <c r="AB933" i="3"/>
  <c r="AC933" i="3"/>
  <c r="AL933" i="3"/>
  <c r="AM933" i="3"/>
  <c r="AB934" i="3"/>
  <c r="AC934" i="3"/>
  <c r="AL934" i="3"/>
  <c r="AM934" i="3"/>
  <c r="AB935" i="3"/>
  <c r="AC935" i="3"/>
  <c r="AL935" i="3"/>
  <c r="AM935" i="3"/>
  <c r="AB936" i="3"/>
  <c r="AC936" i="3"/>
  <c r="AL936" i="3"/>
  <c r="AM936" i="3"/>
  <c r="AB937" i="3"/>
  <c r="AC937" i="3"/>
  <c r="AL937" i="3"/>
  <c r="AM937" i="3"/>
  <c r="AB938" i="3"/>
  <c r="AC938" i="3"/>
  <c r="AL938" i="3"/>
  <c r="AM938" i="3"/>
  <c r="AB939" i="3"/>
  <c r="AC939" i="3"/>
  <c r="AL939" i="3"/>
  <c r="AM939" i="3"/>
  <c r="AB940" i="3"/>
  <c r="AC940" i="3"/>
  <c r="AL940" i="3"/>
  <c r="AM940" i="3"/>
  <c r="AB941" i="3"/>
  <c r="AC941" i="3"/>
  <c r="AL941" i="3"/>
  <c r="AM941" i="3"/>
  <c r="AB942" i="3"/>
  <c r="AC942" i="3"/>
  <c r="AL942" i="3"/>
  <c r="AM942" i="3"/>
  <c r="AB943" i="3"/>
  <c r="AC943" i="3"/>
  <c r="AL943" i="3"/>
  <c r="AM943" i="3"/>
  <c r="AB944" i="3"/>
  <c r="AC944" i="3"/>
  <c r="AL944" i="3"/>
  <c r="AM944" i="3"/>
  <c r="AB945" i="3"/>
  <c r="AC945" i="3"/>
  <c r="AL945" i="3"/>
  <c r="AM945" i="3"/>
  <c r="AB946" i="3"/>
  <c r="AC946" i="3"/>
  <c r="AL946" i="3"/>
  <c r="AM946" i="3"/>
  <c r="AB947" i="3"/>
  <c r="AC947" i="3"/>
  <c r="AL947" i="3"/>
  <c r="AM947" i="3"/>
  <c r="AB948" i="3"/>
  <c r="AC948" i="3"/>
  <c r="AL948" i="3"/>
  <c r="AM948" i="3"/>
  <c r="AB949" i="3"/>
  <c r="AC949" i="3"/>
  <c r="AL949" i="3"/>
  <c r="AM949" i="3"/>
  <c r="AB950" i="3"/>
  <c r="AC950" i="3"/>
  <c r="AL950" i="3"/>
  <c r="AM950" i="3"/>
  <c r="AB951" i="3"/>
  <c r="AC951" i="3"/>
  <c r="AL951" i="3"/>
  <c r="AM951" i="3"/>
  <c r="AB952" i="3"/>
  <c r="AC952" i="3"/>
  <c r="AL952" i="3"/>
  <c r="AM952" i="3"/>
  <c r="AB953" i="3"/>
  <c r="AC953" i="3"/>
  <c r="AL953" i="3"/>
  <c r="AM953" i="3"/>
  <c r="AB954" i="3"/>
  <c r="AC954" i="3"/>
  <c r="AL954" i="3"/>
  <c r="AM954" i="3"/>
  <c r="AB955" i="3"/>
  <c r="AC955" i="3"/>
  <c r="AL955" i="3"/>
  <c r="AM955" i="3"/>
  <c r="AB956" i="3"/>
  <c r="AC956" i="3"/>
  <c r="AL956" i="3"/>
  <c r="AM956" i="3"/>
  <c r="AB957" i="3"/>
  <c r="AC957" i="3"/>
  <c r="AL957" i="3"/>
  <c r="AM957" i="3"/>
  <c r="AB958" i="3"/>
  <c r="AC958" i="3"/>
  <c r="AL958" i="3"/>
  <c r="AM958" i="3"/>
  <c r="AB959" i="3"/>
  <c r="AC959" i="3"/>
  <c r="AL959" i="3"/>
  <c r="AM959" i="3"/>
  <c r="AB960" i="3"/>
  <c r="AC960" i="3"/>
  <c r="AL960" i="3"/>
  <c r="AM960" i="3"/>
  <c r="AB961" i="3"/>
  <c r="AC961" i="3"/>
  <c r="AL961" i="3"/>
  <c r="AM961" i="3"/>
  <c r="AB962" i="3"/>
  <c r="AC962" i="3"/>
  <c r="AL962" i="3"/>
  <c r="AM962" i="3"/>
  <c r="AB963" i="3"/>
  <c r="AC963" i="3"/>
  <c r="AL963" i="3"/>
  <c r="AM963" i="3"/>
  <c r="AB964" i="3"/>
  <c r="AC964" i="3"/>
  <c r="AL964" i="3"/>
  <c r="AM964" i="3"/>
  <c r="AB965" i="3"/>
  <c r="AC965" i="3"/>
  <c r="AL965" i="3"/>
  <c r="AM965" i="3"/>
  <c r="AB966" i="3"/>
  <c r="AC966" i="3"/>
  <c r="AL966" i="3"/>
  <c r="AM966" i="3"/>
  <c r="AB967" i="3"/>
  <c r="AC967" i="3"/>
  <c r="AL967" i="3"/>
  <c r="AM967" i="3"/>
  <c r="AB968" i="3"/>
  <c r="AC968" i="3"/>
  <c r="AL968" i="3"/>
  <c r="AM968" i="3"/>
  <c r="AB969" i="3"/>
  <c r="AC969" i="3"/>
  <c r="AL969" i="3"/>
  <c r="AM969" i="3"/>
  <c r="AB970" i="3"/>
  <c r="AC970" i="3"/>
  <c r="AL970" i="3"/>
  <c r="AM970" i="3"/>
  <c r="AB971" i="3"/>
  <c r="AC971" i="3"/>
  <c r="AL971" i="3"/>
  <c r="AM971" i="3"/>
  <c r="AB972" i="3"/>
  <c r="AC972" i="3"/>
  <c r="AL972" i="3"/>
  <c r="AM972" i="3"/>
  <c r="AB973" i="3"/>
  <c r="AC973" i="3"/>
  <c r="AL973" i="3"/>
  <c r="AM973" i="3"/>
  <c r="AB974" i="3"/>
  <c r="AC974" i="3"/>
  <c r="AL974" i="3"/>
  <c r="AM974" i="3"/>
  <c r="AB975" i="3"/>
  <c r="AC975" i="3"/>
  <c r="AL975" i="3"/>
  <c r="AM975" i="3"/>
  <c r="AB976" i="3"/>
  <c r="AC976" i="3"/>
  <c r="AL976" i="3"/>
  <c r="AM976" i="3"/>
  <c r="AB977" i="3"/>
  <c r="AC977" i="3"/>
  <c r="AL977" i="3"/>
  <c r="AM977" i="3"/>
  <c r="AB978" i="3"/>
  <c r="AC978" i="3"/>
  <c r="AL978" i="3"/>
  <c r="AM978" i="3"/>
  <c r="AB979" i="3"/>
  <c r="AC979" i="3"/>
  <c r="AL979" i="3"/>
  <c r="AM979" i="3"/>
  <c r="AB980" i="3"/>
  <c r="AC980" i="3"/>
  <c r="AL980" i="3"/>
  <c r="AM980" i="3"/>
  <c r="AB981" i="3"/>
  <c r="AC981" i="3"/>
  <c r="AL981" i="3"/>
  <c r="AM981" i="3"/>
  <c r="AB982" i="3"/>
  <c r="AC982" i="3"/>
  <c r="AL982" i="3"/>
  <c r="AM982" i="3"/>
  <c r="AB983" i="3"/>
  <c r="AC983" i="3"/>
  <c r="AL983" i="3"/>
  <c r="AM983" i="3"/>
  <c r="AB984" i="3"/>
  <c r="AC984" i="3"/>
  <c r="AL984" i="3"/>
  <c r="AM984" i="3"/>
  <c r="AB985" i="3"/>
  <c r="AC985" i="3"/>
  <c r="AL985" i="3"/>
  <c r="AM985" i="3"/>
  <c r="AB986" i="3"/>
  <c r="AC986" i="3"/>
  <c r="AL986" i="3"/>
  <c r="AM986" i="3"/>
  <c r="AB987" i="3"/>
  <c r="AC987" i="3"/>
  <c r="AL987" i="3"/>
  <c r="AM987" i="3"/>
  <c r="AB988" i="3"/>
  <c r="AC988" i="3"/>
  <c r="AL988" i="3"/>
  <c r="AM988" i="3"/>
  <c r="AB989" i="3"/>
  <c r="AC989" i="3"/>
  <c r="AL989" i="3"/>
  <c r="AM989" i="3"/>
  <c r="AB990" i="3"/>
  <c r="AC990" i="3"/>
  <c r="AL990" i="3"/>
  <c r="AM990" i="3"/>
  <c r="AB991" i="3"/>
  <c r="AC991" i="3"/>
  <c r="AL991" i="3"/>
  <c r="AM991" i="3"/>
  <c r="AB992" i="3"/>
  <c r="AC992" i="3"/>
  <c r="AL992" i="3"/>
  <c r="AM992" i="3"/>
  <c r="AB993" i="3"/>
  <c r="AC993" i="3"/>
  <c r="AL993" i="3"/>
  <c r="AM993" i="3"/>
  <c r="AB994" i="3"/>
  <c r="AC994" i="3"/>
  <c r="AL994" i="3"/>
  <c r="AM994" i="3"/>
  <c r="AB995" i="3"/>
  <c r="AC995" i="3"/>
  <c r="AL995" i="3"/>
  <c r="AM995" i="3"/>
  <c r="AB996" i="3"/>
  <c r="AC996" i="3"/>
  <c r="AL996" i="3"/>
  <c r="AM996" i="3"/>
  <c r="AB997" i="3"/>
  <c r="AC997" i="3"/>
  <c r="AL997" i="3"/>
  <c r="AM997" i="3"/>
  <c r="AB998" i="3"/>
  <c r="AC998" i="3"/>
  <c r="AL998" i="3"/>
  <c r="AM998" i="3"/>
  <c r="AB999" i="3"/>
  <c r="AC999" i="3"/>
  <c r="AL999" i="3"/>
  <c r="AM999" i="3"/>
  <c r="AB1000" i="3"/>
  <c r="AC1000" i="3"/>
  <c r="AL1000" i="3"/>
  <c r="AM1000" i="3"/>
  <c r="AB1001" i="3"/>
  <c r="AC1001" i="3"/>
  <c r="AL1001" i="3"/>
  <c r="AM1001" i="3"/>
  <c r="AB1002" i="3"/>
  <c r="AC1002" i="3"/>
  <c r="AL1002" i="3"/>
  <c r="AM1002" i="3"/>
  <c r="AB1003" i="3"/>
  <c r="AC1003" i="3"/>
  <c r="AL1003" i="3"/>
  <c r="AM1003" i="3"/>
  <c r="AB1004" i="3"/>
  <c r="AC1004" i="3"/>
  <c r="AL1004" i="3"/>
  <c r="AM1004" i="3"/>
  <c r="AB1005" i="3"/>
  <c r="AC1005" i="3"/>
  <c r="AL1005" i="3"/>
  <c r="AM1005" i="3"/>
  <c r="AB1006" i="3"/>
  <c r="AC1006" i="3"/>
  <c r="AL1006" i="3"/>
  <c r="AM1006" i="3"/>
  <c r="AB1007" i="3"/>
  <c r="AC1007" i="3"/>
  <c r="AL1007" i="3"/>
  <c r="AM1007" i="3"/>
  <c r="AB1008" i="3"/>
  <c r="AC1008" i="3"/>
  <c r="AL1008" i="3"/>
  <c r="AM1008" i="3"/>
  <c r="AB1009" i="3"/>
  <c r="AC1009" i="3"/>
  <c r="AL1009" i="3"/>
  <c r="AM1009" i="3"/>
  <c r="AB1010" i="3"/>
  <c r="AC1010" i="3"/>
  <c r="AL1010" i="3"/>
  <c r="AM1010" i="3"/>
  <c r="AB1011" i="3"/>
  <c r="AC1011" i="3"/>
  <c r="AL1011" i="3"/>
  <c r="AM1011" i="3"/>
  <c r="AB1012" i="3"/>
  <c r="AC1012" i="3"/>
  <c r="AL1012" i="3"/>
  <c r="AM1012" i="3"/>
  <c r="AB1013" i="3"/>
  <c r="AC1013" i="3"/>
  <c r="AL1013" i="3"/>
  <c r="AM1013" i="3"/>
  <c r="AB1014" i="3"/>
  <c r="AC1014" i="3"/>
  <c r="AL1014" i="3"/>
  <c r="AM1014" i="3"/>
  <c r="AB1015" i="3"/>
  <c r="AC1015" i="3"/>
  <c r="AL1015" i="3"/>
  <c r="AM1015" i="3"/>
  <c r="AB1016" i="3"/>
  <c r="AC1016" i="3"/>
  <c r="AL1016" i="3"/>
  <c r="AM1016" i="3"/>
  <c r="AB1017" i="3"/>
  <c r="AC1017" i="3"/>
  <c r="AL1017" i="3"/>
  <c r="AM1017" i="3"/>
  <c r="AB1018" i="3"/>
  <c r="AC1018" i="3"/>
  <c r="AL1018" i="3"/>
  <c r="AM1018" i="3"/>
  <c r="AB1019" i="3"/>
  <c r="AC1019" i="3"/>
  <c r="AL1019" i="3"/>
  <c r="AM1019" i="3"/>
  <c r="AB1020" i="3"/>
  <c r="AC1020" i="3"/>
  <c r="AE1020" i="3"/>
  <c r="AF1020" i="3"/>
  <c r="AL1020" i="3"/>
  <c r="AM1020" i="3"/>
  <c r="AB1021" i="3"/>
  <c r="AC1021" i="3"/>
  <c r="AL1021" i="3"/>
  <c r="AM1021" i="3"/>
  <c r="AB1022" i="3"/>
  <c r="AC1022" i="3"/>
  <c r="AL1022" i="3"/>
  <c r="AM1022" i="3"/>
  <c r="AB1025" i="3"/>
  <c r="AC1025" i="3"/>
  <c r="AL1025" i="3"/>
  <c r="AM1025" i="3"/>
  <c r="AB1026" i="3"/>
  <c r="AC1026" i="3"/>
  <c r="AL1026" i="3"/>
  <c r="AM1026" i="3"/>
  <c r="AB1023" i="3"/>
  <c r="AC1023" i="3"/>
  <c r="AL1023" i="3"/>
  <c r="AM1023" i="3"/>
  <c r="AB1024" i="3"/>
  <c r="AC1024" i="3"/>
  <c r="AL1024" i="3"/>
  <c r="AM1024" i="3"/>
  <c r="AB1027" i="3"/>
  <c r="AC1027" i="3"/>
  <c r="AL1027" i="3"/>
  <c r="AM1027" i="3"/>
  <c r="AB1028" i="3"/>
  <c r="AC1028" i="3"/>
  <c r="AL1028" i="3"/>
  <c r="AM1028" i="3"/>
  <c r="AB1029" i="3"/>
  <c r="AC1029" i="3"/>
  <c r="AL1029" i="3"/>
  <c r="AM1029" i="3"/>
  <c r="AB1030" i="3"/>
  <c r="AC1030" i="3"/>
  <c r="AL1030" i="3"/>
  <c r="AM1030" i="3"/>
  <c r="AB1031" i="3"/>
  <c r="AC1031" i="3"/>
  <c r="AL1031" i="3"/>
  <c r="AM1031" i="3"/>
  <c r="AB1032" i="3"/>
  <c r="AC1032" i="3"/>
  <c r="AL1032" i="3"/>
  <c r="AM1032" i="3"/>
  <c r="AB1033" i="3"/>
  <c r="AC1033" i="3"/>
  <c r="AL1033" i="3"/>
  <c r="AM1033" i="3"/>
  <c r="AB1034" i="3"/>
  <c r="AC1034" i="3"/>
  <c r="AL1034" i="3"/>
  <c r="AM1034" i="3"/>
  <c r="AB1035" i="3"/>
  <c r="AC1035" i="3"/>
  <c r="AL1035" i="3"/>
  <c r="AM1035" i="3"/>
  <c r="AB1036" i="3"/>
  <c r="AC1036" i="3"/>
  <c r="AL1036" i="3"/>
  <c r="AM1036" i="3"/>
  <c r="AB1037" i="3"/>
  <c r="AC1037" i="3"/>
  <c r="AL1037" i="3"/>
  <c r="AM1037" i="3"/>
  <c r="AB1038" i="3"/>
  <c r="AC1038" i="3"/>
  <c r="AL1038" i="3"/>
  <c r="AM1038" i="3"/>
  <c r="AB1039" i="3"/>
  <c r="AC1039" i="3"/>
  <c r="AL1039" i="3"/>
  <c r="AM1039" i="3"/>
  <c r="AB1040" i="3"/>
  <c r="AC1040" i="3"/>
  <c r="AL1040" i="3"/>
  <c r="AM1040" i="3"/>
  <c r="AB1041" i="3"/>
  <c r="AC1041" i="3"/>
  <c r="AL1041" i="3"/>
  <c r="AM1041" i="3"/>
  <c r="AB1042" i="3"/>
  <c r="AC1042" i="3"/>
  <c r="AL1042" i="3"/>
  <c r="AM1042" i="3"/>
  <c r="AB1043" i="3"/>
  <c r="AC1043" i="3"/>
  <c r="AL1043" i="3"/>
  <c r="AM1043" i="3"/>
  <c r="AB1044" i="3"/>
  <c r="AC1044" i="3"/>
  <c r="AL1044" i="3"/>
  <c r="AM1044" i="3"/>
  <c r="AB1045" i="3"/>
  <c r="AC1045" i="3"/>
  <c r="AL1045" i="3"/>
  <c r="AM1045" i="3"/>
  <c r="AB1046" i="3"/>
  <c r="AC1046" i="3"/>
  <c r="AL1046" i="3"/>
  <c r="AM1046" i="3"/>
  <c r="AB1047" i="3"/>
  <c r="AC1047" i="3"/>
  <c r="AL1047" i="3"/>
  <c r="AM1047" i="3"/>
  <c r="AB1048" i="3"/>
  <c r="AC1048" i="3"/>
  <c r="AL1048" i="3"/>
  <c r="AM1048" i="3"/>
  <c r="AB1049" i="3"/>
  <c r="AC1049" i="3"/>
  <c r="AL1049" i="3"/>
  <c r="AM1049" i="3"/>
  <c r="AB1050" i="3"/>
  <c r="AC1050" i="3"/>
  <c r="AL1050" i="3"/>
  <c r="AM1050" i="3"/>
  <c r="AB1051" i="3"/>
  <c r="AC1051" i="3"/>
  <c r="AL1051" i="3"/>
  <c r="AM1051" i="3"/>
  <c r="AB1052" i="3"/>
  <c r="AC1052" i="3"/>
  <c r="AL1052" i="3"/>
  <c r="AM1052" i="3"/>
  <c r="AB1053" i="3"/>
  <c r="AC1053" i="3"/>
  <c r="AL1053" i="3"/>
  <c r="AM1053" i="3"/>
  <c r="AB1054" i="3"/>
  <c r="AC1054" i="3"/>
  <c r="AL1054" i="3"/>
  <c r="AM1054" i="3"/>
  <c r="AB1055" i="3"/>
  <c r="AC1055" i="3"/>
  <c r="AL1055" i="3"/>
  <c r="AM1055" i="3"/>
  <c r="AB1056" i="3"/>
  <c r="AC1056" i="3"/>
  <c r="AL1056" i="3"/>
  <c r="AM1056" i="3"/>
  <c r="AB1057" i="3"/>
  <c r="AC1057" i="3"/>
  <c r="AL1057" i="3"/>
  <c r="AM1057" i="3"/>
  <c r="AB1058" i="3"/>
  <c r="AC1058" i="3"/>
  <c r="AL1058" i="3"/>
  <c r="AM1058" i="3"/>
  <c r="AB1059" i="3"/>
  <c r="AC1059" i="3"/>
  <c r="AL1059" i="3"/>
  <c r="AM1059" i="3"/>
  <c r="AB1060" i="3"/>
  <c r="AC1060" i="3"/>
  <c r="AL1060" i="3"/>
  <c r="AM1060" i="3"/>
  <c r="AB1061" i="3"/>
  <c r="AC1061" i="3"/>
  <c r="AL1061" i="3"/>
  <c r="AM1061" i="3"/>
  <c r="AB662" i="3"/>
  <c r="AC662" i="3"/>
  <c r="AL662" i="3"/>
  <c r="AM662" i="3"/>
  <c r="AB663" i="3"/>
  <c r="AC663" i="3"/>
  <c r="AL663" i="3"/>
  <c r="AM663" i="3"/>
  <c r="AB1062" i="3"/>
  <c r="AC1062" i="3"/>
  <c r="AL1062" i="3"/>
  <c r="AM1062" i="3"/>
  <c r="AB1063" i="3"/>
  <c r="AC1063" i="3"/>
  <c r="AL1063" i="3"/>
  <c r="AM1063" i="3"/>
  <c r="AB1064" i="3"/>
  <c r="AC1064" i="3"/>
  <c r="AL1064" i="3"/>
  <c r="AM1064" i="3"/>
  <c r="AB1065" i="3"/>
  <c r="AC1065" i="3"/>
  <c r="AL1065" i="3"/>
  <c r="AM1065" i="3"/>
  <c r="AB1066" i="3"/>
  <c r="AC1066" i="3"/>
  <c r="AL1066" i="3"/>
  <c r="AM1066" i="3"/>
  <c r="AB1067" i="3"/>
  <c r="AC1067" i="3"/>
  <c r="AL1067" i="3"/>
  <c r="AM1067" i="3"/>
  <c r="AB1068" i="3"/>
  <c r="AC1068" i="3"/>
  <c r="AL1068" i="3"/>
  <c r="AM1068" i="3"/>
  <c r="AB1069" i="3"/>
  <c r="AC1069" i="3"/>
  <c r="AL1069" i="3"/>
  <c r="AM1069" i="3"/>
  <c r="AB1070" i="3"/>
  <c r="AC1070" i="3"/>
  <c r="AL1070" i="3"/>
  <c r="AM1070" i="3"/>
  <c r="AB1071" i="3"/>
  <c r="AC1071" i="3"/>
  <c r="AL1071" i="3"/>
  <c r="AM1071" i="3"/>
  <c r="AB1072" i="3"/>
  <c r="AC1072" i="3"/>
  <c r="AL1072" i="3"/>
  <c r="AM1072" i="3"/>
  <c r="AB1073" i="3"/>
  <c r="AC1073" i="3"/>
  <c r="AL1073" i="3"/>
  <c r="AM1073" i="3"/>
  <c r="AB1074" i="3"/>
  <c r="AC1074" i="3"/>
  <c r="AL1074" i="3"/>
  <c r="AM1074" i="3"/>
  <c r="AB1075" i="3"/>
  <c r="AC1075" i="3"/>
  <c r="AL1075" i="3"/>
  <c r="AM1075" i="3"/>
  <c r="AB1076" i="3"/>
  <c r="AC1076" i="3"/>
  <c r="AL1076" i="3"/>
  <c r="AM1076" i="3"/>
  <c r="AB1077" i="3"/>
  <c r="AC1077" i="3"/>
  <c r="AL1077" i="3"/>
  <c r="AM1077" i="3"/>
  <c r="AB1078" i="3"/>
  <c r="AC1078" i="3"/>
  <c r="AL1078" i="3"/>
  <c r="AM1078" i="3"/>
  <c r="AB1079" i="3"/>
  <c r="AC1079" i="3"/>
  <c r="AL1079" i="3"/>
  <c r="AM1079" i="3"/>
  <c r="AB1080" i="3"/>
  <c r="AC1080" i="3"/>
  <c r="AL1080" i="3"/>
  <c r="AM1080" i="3"/>
  <c r="AB1081" i="3"/>
  <c r="AC1081" i="3"/>
  <c r="AL1081" i="3"/>
  <c r="AM1081" i="3"/>
  <c r="AB1082" i="3"/>
  <c r="AC1082" i="3"/>
  <c r="AL1082" i="3"/>
  <c r="AM1082" i="3"/>
  <c r="AB1083" i="3"/>
  <c r="AC1083" i="3"/>
  <c r="AL1083" i="3"/>
  <c r="AM1083" i="3"/>
  <c r="AB1084" i="3"/>
  <c r="AC1084" i="3"/>
  <c r="AL1084" i="3"/>
  <c r="AM1084" i="3"/>
  <c r="AB1085" i="3"/>
  <c r="AC1085" i="3"/>
  <c r="AL1085" i="3"/>
  <c r="AM1085" i="3"/>
  <c r="AB1086" i="3"/>
  <c r="AC1086" i="3"/>
  <c r="AL1086" i="3"/>
  <c r="AM1086" i="3"/>
  <c r="AB1087" i="3"/>
  <c r="AC1087" i="3"/>
  <c r="AL1087" i="3"/>
  <c r="AM1087" i="3"/>
  <c r="AB1088" i="3"/>
  <c r="AC1088" i="3"/>
  <c r="AL1088" i="3"/>
  <c r="AM1088" i="3"/>
  <c r="AB1089" i="3"/>
  <c r="AC1089" i="3"/>
  <c r="AL1089" i="3"/>
  <c r="AM1089" i="3"/>
  <c r="AB1090" i="3"/>
  <c r="AC1090" i="3"/>
  <c r="AL1090" i="3"/>
  <c r="AM1090" i="3"/>
  <c r="AB1091" i="3"/>
  <c r="AC1091" i="3"/>
  <c r="AL1091" i="3"/>
  <c r="AM1091" i="3"/>
  <c r="AB1092" i="3"/>
  <c r="AC1092" i="3"/>
  <c r="AL1092" i="3"/>
  <c r="AM1092" i="3"/>
  <c r="AB1367" i="3"/>
  <c r="AC1367" i="3"/>
  <c r="AL1367" i="3"/>
  <c r="AM1367" i="3"/>
  <c r="AB1093" i="3"/>
  <c r="AC1093" i="3"/>
  <c r="AL1093" i="3"/>
  <c r="AM1093" i="3"/>
  <c r="AB1094" i="3"/>
  <c r="AC1094" i="3"/>
  <c r="AL1094" i="3"/>
  <c r="AM1094" i="3"/>
  <c r="AB1095" i="3"/>
  <c r="AC1095" i="3"/>
  <c r="AL1095" i="3"/>
  <c r="AM1095" i="3"/>
  <c r="AB1096" i="3"/>
  <c r="AC1096" i="3"/>
  <c r="AL1096" i="3"/>
  <c r="AM1096" i="3"/>
  <c r="AB1097" i="3"/>
  <c r="AC1097" i="3"/>
  <c r="AL1097" i="3"/>
  <c r="AM1097" i="3"/>
  <c r="AB1098" i="3"/>
  <c r="AC1098" i="3"/>
  <c r="AL1098" i="3"/>
  <c r="AM1098" i="3"/>
  <c r="AB1099" i="3"/>
  <c r="AC1099" i="3"/>
  <c r="AL1099" i="3"/>
  <c r="AM1099" i="3"/>
  <c r="AB1100" i="3"/>
  <c r="AC1100" i="3"/>
  <c r="AL1100" i="3"/>
  <c r="AM1100" i="3"/>
  <c r="AB1101" i="3"/>
  <c r="AC1101" i="3"/>
  <c r="AL1101" i="3"/>
  <c r="AM1101" i="3"/>
  <c r="AB1102" i="3"/>
  <c r="AC1102" i="3"/>
  <c r="AL1102" i="3"/>
  <c r="AM1102" i="3"/>
  <c r="AB1103" i="3"/>
  <c r="AC1103" i="3"/>
  <c r="AL1103" i="3"/>
  <c r="AM1103" i="3"/>
  <c r="AB1104" i="3"/>
  <c r="AC1104" i="3"/>
  <c r="AL1104" i="3"/>
  <c r="AM1104" i="3"/>
  <c r="AB1105" i="3"/>
  <c r="AC1105" i="3"/>
  <c r="AL1105" i="3"/>
  <c r="AM1105" i="3"/>
  <c r="AB1106" i="3"/>
  <c r="AC1106" i="3"/>
  <c r="AL1106" i="3"/>
  <c r="AM1106" i="3"/>
  <c r="AB1107" i="3"/>
  <c r="AC1107" i="3"/>
  <c r="AL1107" i="3"/>
  <c r="AM1107" i="3"/>
  <c r="AB1108" i="3"/>
  <c r="AC1108" i="3"/>
  <c r="AL1108" i="3"/>
  <c r="AM1108" i="3"/>
  <c r="AB1109" i="3"/>
  <c r="AC1109" i="3"/>
  <c r="AL1109" i="3"/>
  <c r="AM1109" i="3"/>
  <c r="AB1110" i="3"/>
  <c r="AC1110" i="3"/>
  <c r="AL1110" i="3"/>
  <c r="AM1110" i="3"/>
  <c r="AB1111" i="3"/>
  <c r="AC1111" i="3"/>
  <c r="AL1111" i="3"/>
  <c r="AM1111" i="3"/>
  <c r="AB1112" i="3"/>
  <c r="AC1112" i="3"/>
  <c r="AL1112" i="3"/>
  <c r="AM1112" i="3"/>
  <c r="AB1113" i="3"/>
  <c r="AC1113" i="3"/>
  <c r="AL1113" i="3"/>
  <c r="AM1113" i="3"/>
  <c r="AB1114" i="3"/>
  <c r="AC1114" i="3"/>
  <c r="AL1114" i="3"/>
  <c r="AM1114" i="3"/>
  <c r="AB1115" i="3"/>
  <c r="AC1115" i="3"/>
  <c r="AL1115" i="3"/>
  <c r="AM1115" i="3"/>
  <c r="AB1116" i="3"/>
  <c r="AC1116" i="3"/>
  <c r="AL1116" i="3"/>
  <c r="AM1116" i="3"/>
  <c r="AB1117" i="3"/>
  <c r="AC1117" i="3"/>
  <c r="AL1117" i="3"/>
  <c r="AM1117" i="3"/>
  <c r="AB1118" i="3"/>
  <c r="AC1118" i="3"/>
  <c r="AL1118" i="3"/>
  <c r="AM1118" i="3"/>
  <c r="AB1119" i="3"/>
  <c r="AC1119" i="3"/>
  <c r="AL1119" i="3"/>
  <c r="AM1119" i="3"/>
  <c r="AB1120" i="3"/>
  <c r="AC1120" i="3"/>
  <c r="AL1120" i="3"/>
  <c r="AM1120" i="3"/>
  <c r="AB1121" i="3"/>
  <c r="AC1121" i="3"/>
  <c r="AL1121" i="3"/>
  <c r="AM1121" i="3"/>
  <c r="AB1122" i="3"/>
  <c r="AC1122" i="3"/>
  <c r="AL1122" i="3"/>
  <c r="AM1122" i="3"/>
  <c r="AB1123" i="3"/>
  <c r="AC1123" i="3"/>
  <c r="AL1123" i="3"/>
  <c r="AM1123" i="3"/>
  <c r="AB1124" i="3"/>
  <c r="AC1124" i="3"/>
  <c r="AL1124" i="3"/>
  <c r="AM1124" i="3"/>
  <c r="AB1125" i="3"/>
  <c r="AC1125" i="3"/>
  <c r="AL1125" i="3"/>
  <c r="AM1125" i="3"/>
  <c r="AB1126" i="3"/>
  <c r="AC1126" i="3"/>
  <c r="AL1126" i="3"/>
  <c r="AM1126" i="3"/>
  <c r="AB1127" i="3"/>
  <c r="AC1127" i="3"/>
  <c r="AL1127" i="3"/>
  <c r="AM1127" i="3"/>
  <c r="AB1128" i="3"/>
  <c r="AC1128" i="3"/>
  <c r="AL1128" i="3"/>
  <c r="AM1128" i="3"/>
  <c r="AB1129" i="3"/>
  <c r="AC1129" i="3"/>
  <c r="AL1129" i="3"/>
  <c r="AM1129" i="3"/>
  <c r="AB1130" i="3"/>
  <c r="AC1130" i="3"/>
  <c r="AL1130" i="3"/>
  <c r="AM1130" i="3"/>
  <c r="AB1131" i="3"/>
  <c r="AC1131" i="3"/>
  <c r="AL1131" i="3"/>
  <c r="AM1131" i="3"/>
  <c r="AB1132" i="3"/>
  <c r="AC1132" i="3"/>
  <c r="AL1132" i="3"/>
  <c r="AM1132" i="3"/>
  <c r="AB1133" i="3"/>
  <c r="AC1133" i="3"/>
  <c r="AL1133" i="3"/>
  <c r="AM1133" i="3"/>
  <c r="AB1134" i="3"/>
  <c r="AC1134" i="3"/>
  <c r="AL1134" i="3"/>
  <c r="AM1134" i="3"/>
  <c r="AB1135" i="3"/>
  <c r="AC1135" i="3"/>
  <c r="AL1135" i="3"/>
  <c r="AM1135" i="3"/>
  <c r="AB1136" i="3"/>
  <c r="AC1136" i="3"/>
  <c r="AL1136" i="3"/>
  <c r="AM1136" i="3"/>
  <c r="AB1137" i="3"/>
  <c r="AC1137" i="3"/>
  <c r="AL1137" i="3"/>
  <c r="AM1137" i="3"/>
  <c r="AB1138" i="3"/>
  <c r="AC1138" i="3"/>
  <c r="AL1138" i="3"/>
  <c r="AM1138" i="3"/>
  <c r="AB1139" i="3"/>
  <c r="AC1139" i="3"/>
  <c r="AL1139" i="3"/>
  <c r="AM1139" i="3"/>
  <c r="AB1140" i="3"/>
  <c r="AC1140" i="3"/>
  <c r="AL1140" i="3"/>
  <c r="AM1140" i="3"/>
  <c r="AB1141" i="3"/>
  <c r="AC1141" i="3"/>
  <c r="AL1141" i="3"/>
  <c r="AM1141" i="3"/>
  <c r="AB1142" i="3"/>
  <c r="AC1142" i="3"/>
  <c r="AL1142" i="3"/>
  <c r="AM1142" i="3"/>
  <c r="AB1143" i="3"/>
  <c r="AC1143" i="3"/>
  <c r="AL1143" i="3"/>
  <c r="AM1143" i="3"/>
  <c r="AB1144" i="3"/>
  <c r="AC1144" i="3"/>
  <c r="AL1144" i="3"/>
  <c r="AM1144" i="3"/>
  <c r="AB1145" i="3"/>
  <c r="AC1145" i="3"/>
  <c r="AL1145" i="3"/>
  <c r="AM1145" i="3"/>
  <c r="AB1146" i="3"/>
  <c r="AC1146" i="3"/>
  <c r="AL1146" i="3"/>
  <c r="AM1146" i="3"/>
  <c r="AB1147" i="3"/>
  <c r="AC1147" i="3"/>
  <c r="AL1147" i="3"/>
  <c r="AM1147" i="3"/>
  <c r="AB1148" i="3"/>
  <c r="AC1148" i="3"/>
  <c r="AL1148" i="3"/>
  <c r="AM1148" i="3"/>
  <c r="AB1149" i="3"/>
  <c r="AC1149" i="3"/>
  <c r="AL1149" i="3"/>
  <c r="AM1149" i="3"/>
  <c r="AB1150" i="3"/>
  <c r="AC1150" i="3"/>
  <c r="AL1150" i="3"/>
  <c r="AM1150" i="3"/>
  <c r="AB1151" i="3"/>
  <c r="AC1151" i="3"/>
  <c r="AL1151" i="3"/>
  <c r="AM1151" i="3"/>
  <c r="AB1152" i="3"/>
  <c r="AC1152" i="3"/>
  <c r="AL1152" i="3"/>
  <c r="AM1152" i="3"/>
  <c r="AB1153" i="3"/>
  <c r="AC1153" i="3"/>
  <c r="AL1153" i="3"/>
  <c r="AM1153" i="3"/>
  <c r="AB1154" i="3"/>
  <c r="AC1154" i="3"/>
  <c r="AL1154" i="3"/>
  <c r="AM1154" i="3"/>
  <c r="AB1155" i="3"/>
  <c r="AC1155" i="3"/>
  <c r="AL1155" i="3"/>
  <c r="AM1155" i="3"/>
  <c r="AB1156" i="3"/>
  <c r="AC1156" i="3"/>
  <c r="AL1156" i="3"/>
  <c r="AM1156" i="3"/>
  <c r="AB1157" i="3"/>
  <c r="AC1157" i="3"/>
  <c r="AL1157" i="3"/>
  <c r="AM1157" i="3"/>
  <c r="AB1158" i="3"/>
  <c r="AC1158" i="3"/>
  <c r="AL1158" i="3"/>
  <c r="AM1158" i="3"/>
  <c r="AB1159" i="3"/>
  <c r="AC1159" i="3"/>
  <c r="AL1159" i="3"/>
  <c r="AM1159" i="3"/>
  <c r="AB1160" i="3"/>
  <c r="AC1160" i="3"/>
  <c r="AL1160" i="3"/>
  <c r="AM1160" i="3"/>
  <c r="AB1161" i="3"/>
  <c r="AC1161" i="3"/>
  <c r="AL1161" i="3"/>
  <c r="AM1161" i="3"/>
  <c r="AB1162" i="3"/>
  <c r="AC1162" i="3"/>
  <c r="AL1162" i="3"/>
  <c r="AM1162" i="3"/>
  <c r="AB1163" i="3"/>
  <c r="AC1163" i="3"/>
  <c r="AL1163" i="3"/>
  <c r="AM1163" i="3"/>
  <c r="AB1164" i="3"/>
  <c r="AC1164" i="3"/>
  <c r="AL1164" i="3"/>
  <c r="AM1164" i="3"/>
  <c r="AB1165" i="3"/>
  <c r="AC1165" i="3"/>
  <c r="AL1165" i="3"/>
  <c r="AM1165" i="3"/>
  <c r="AB1166" i="3"/>
  <c r="AC1166" i="3"/>
  <c r="AL1166" i="3"/>
  <c r="AM1166" i="3"/>
  <c r="AB1167" i="3"/>
  <c r="AC1167" i="3"/>
  <c r="AL1167" i="3"/>
  <c r="AM1167" i="3"/>
  <c r="AB1168" i="3"/>
  <c r="AC1168" i="3"/>
  <c r="AL1168" i="3"/>
  <c r="AM1168" i="3"/>
  <c r="AB1169" i="3"/>
  <c r="AC1169" i="3"/>
  <c r="AL1169" i="3"/>
  <c r="AM1169" i="3"/>
  <c r="AB1170" i="3"/>
  <c r="AC1170" i="3"/>
  <c r="AL1170" i="3"/>
  <c r="AM1170" i="3"/>
  <c r="AB1171" i="3"/>
  <c r="AC1171" i="3"/>
  <c r="AL1171" i="3"/>
  <c r="AM1171" i="3"/>
  <c r="AB1172" i="3"/>
  <c r="AC1172" i="3"/>
  <c r="AL1172" i="3"/>
  <c r="AM1172" i="3"/>
  <c r="AB1173" i="3"/>
  <c r="AC1173" i="3"/>
  <c r="AL1173" i="3"/>
  <c r="AM1173" i="3"/>
  <c r="AB1174" i="3"/>
  <c r="AC1174" i="3"/>
  <c r="AL1174" i="3"/>
  <c r="AM1174" i="3"/>
  <c r="AB1175" i="3"/>
  <c r="AC1175" i="3"/>
  <c r="AL1175" i="3"/>
  <c r="AM1175" i="3"/>
  <c r="AB1176" i="3"/>
  <c r="AC1176" i="3"/>
  <c r="AL1176" i="3"/>
  <c r="AM1176" i="3"/>
  <c r="AB1177" i="3"/>
  <c r="AC1177" i="3"/>
  <c r="AL1177" i="3"/>
  <c r="AM1177" i="3"/>
  <c r="AB1178" i="3"/>
  <c r="AC1178" i="3"/>
  <c r="AL1178" i="3"/>
  <c r="AM1178" i="3"/>
  <c r="AB1179" i="3"/>
  <c r="AC1179" i="3"/>
  <c r="AL1179" i="3"/>
  <c r="AM1179" i="3"/>
  <c r="AB1180" i="3"/>
  <c r="AC1180" i="3"/>
  <c r="AL1180" i="3"/>
  <c r="AM1180" i="3"/>
  <c r="AB1181" i="3"/>
  <c r="AC1181" i="3"/>
  <c r="AL1181" i="3"/>
  <c r="AM1181" i="3"/>
  <c r="AB1182" i="3"/>
  <c r="AC1182" i="3"/>
  <c r="AL1182" i="3"/>
  <c r="AM1182" i="3"/>
  <c r="AB1183" i="3"/>
  <c r="AC1183" i="3"/>
  <c r="AL1183" i="3"/>
  <c r="AM1183" i="3"/>
  <c r="AB1184" i="3"/>
  <c r="AC1184" i="3"/>
  <c r="AL1184" i="3"/>
  <c r="AM1184" i="3"/>
  <c r="AB1185" i="3"/>
  <c r="AC1185" i="3"/>
  <c r="AL1185" i="3"/>
  <c r="AM1185" i="3"/>
  <c r="AB1186" i="3"/>
  <c r="AC1186" i="3"/>
  <c r="AL1186" i="3"/>
  <c r="AM1186" i="3"/>
  <c r="AB1187" i="3"/>
  <c r="AC1187" i="3"/>
  <c r="AL1187" i="3"/>
  <c r="AM1187" i="3"/>
  <c r="AB1188" i="3"/>
  <c r="AC1188" i="3"/>
  <c r="AL1188" i="3"/>
  <c r="AM1188" i="3"/>
  <c r="AB1189" i="3"/>
  <c r="AC1189" i="3"/>
  <c r="AL1189" i="3"/>
  <c r="AM1189" i="3"/>
  <c r="AB1190" i="3"/>
  <c r="AC1190" i="3"/>
  <c r="AL1190" i="3"/>
  <c r="AM1190" i="3"/>
  <c r="AB1191" i="3"/>
  <c r="AC1191" i="3"/>
  <c r="AL1191" i="3"/>
  <c r="AM1191" i="3"/>
  <c r="AB1192" i="3"/>
  <c r="AC1192" i="3"/>
  <c r="AL1192" i="3"/>
  <c r="AM1192" i="3"/>
  <c r="AB1193" i="3"/>
  <c r="AC1193" i="3"/>
  <c r="AL1193" i="3"/>
  <c r="AM1193" i="3"/>
  <c r="AB1194" i="3"/>
  <c r="AC1194" i="3"/>
  <c r="AL1194" i="3"/>
  <c r="AM1194" i="3"/>
  <c r="AB1195" i="3"/>
  <c r="AC1195" i="3"/>
  <c r="AL1195" i="3"/>
  <c r="AM1195" i="3"/>
  <c r="AB1196" i="3"/>
  <c r="AC1196" i="3"/>
  <c r="AL1196" i="3"/>
  <c r="AM1196" i="3"/>
  <c r="AB1197" i="3"/>
  <c r="AC1197" i="3"/>
  <c r="AL1197" i="3"/>
  <c r="AM1197" i="3"/>
  <c r="AB1198" i="3"/>
  <c r="AC1198" i="3"/>
  <c r="AL1198" i="3"/>
  <c r="AM1198" i="3"/>
  <c r="AB1199" i="3"/>
  <c r="AC1199" i="3"/>
  <c r="AL1199" i="3"/>
  <c r="AM1199" i="3"/>
  <c r="AB1200" i="3"/>
  <c r="AC1200" i="3"/>
  <c r="AL1200" i="3"/>
  <c r="AM1200" i="3"/>
  <c r="AB1201" i="3"/>
  <c r="AC1201" i="3"/>
  <c r="AL1201" i="3"/>
  <c r="AM1201" i="3"/>
  <c r="AB1202" i="3"/>
  <c r="AC1202" i="3"/>
  <c r="AL1202" i="3"/>
  <c r="AM1202" i="3"/>
  <c r="AB1203" i="3"/>
  <c r="AC1203" i="3"/>
  <c r="AL1203" i="3"/>
  <c r="AM1203" i="3"/>
  <c r="AB1204" i="3"/>
  <c r="AC1204" i="3"/>
  <c r="AL1204" i="3"/>
  <c r="AM1204" i="3"/>
  <c r="AB1205" i="3"/>
  <c r="AC1205" i="3"/>
  <c r="AL1205" i="3"/>
  <c r="AM1205" i="3"/>
  <c r="AB1206" i="3"/>
  <c r="AC1206" i="3"/>
  <c r="AL1206" i="3"/>
  <c r="AM1206" i="3"/>
  <c r="AB1207" i="3"/>
  <c r="AC1207" i="3"/>
  <c r="AL1207" i="3"/>
  <c r="AM1207" i="3"/>
  <c r="AB1208" i="3"/>
  <c r="AC1208" i="3"/>
  <c r="AE1208" i="3"/>
  <c r="AF1208" i="3"/>
  <c r="AL1208" i="3"/>
  <c r="AM1208" i="3"/>
  <c r="AB1209" i="3"/>
  <c r="AC1209" i="3"/>
  <c r="AL1209" i="3"/>
  <c r="AM1209" i="3"/>
  <c r="AB1211" i="3"/>
  <c r="AC1211" i="3"/>
  <c r="AL1211" i="3"/>
  <c r="AM1211" i="3"/>
  <c r="AB1210" i="3"/>
  <c r="AC1210" i="3"/>
  <c r="AL1210" i="3"/>
  <c r="AM1210" i="3"/>
  <c r="AB1212" i="3"/>
  <c r="AC1212" i="3"/>
  <c r="AL1212" i="3"/>
  <c r="AM1212" i="3"/>
  <c r="AB1213" i="3"/>
  <c r="AC1213" i="3"/>
  <c r="AL1213" i="3"/>
  <c r="AM1213" i="3"/>
  <c r="AB1214" i="3"/>
  <c r="AC1214" i="3"/>
  <c r="AL1214" i="3"/>
  <c r="AM1214" i="3"/>
  <c r="AB1215" i="3"/>
  <c r="AC1215" i="3"/>
  <c r="AL1215" i="3"/>
  <c r="AM1215" i="3"/>
  <c r="AB1216" i="3"/>
  <c r="AC1216" i="3"/>
  <c r="AL1216" i="3"/>
  <c r="AM1216" i="3"/>
  <c r="AB1217" i="3"/>
  <c r="AC1217" i="3"/>
  <c r="AL1217" i="3"/>
  <c r="AM1217" i="3"/>
  <c r="AB1218" i="3"/>
  <c r="AC1218" i="3"/>
  <c r="AL1218" i="3"/>
  <c r="AM1218" i="3"/>
  <c r="AB1219" i="3"/>
  <c r="AC1219" i="3"/>
  <c r="AL1219" i="3"/>
  <c r="AM1219" i="3"/>
  <c r="AB1220" i="3"/>
  <c r="AC1220" i="3"/>
  <c r="AL1220" i="3"/>
  <c r="AM1220" i="3"/>
  <c r="AB1221" i="3"/>
  <c r="AC1221" i="3"/>
  <c r="AL1221" i="3"/>
  <c r="AM1221" i="3"/>
  <c r="AB1222" i="3"/>
  <c r="AC1222" i="3"/>
  <c r="AL1222" i="3"/>
  <c r="AM1222" i="3"/>
  <c r="AB1223" i="3"/>
  <c r="AC1223" i="3"/>
  <c r="AL1223" i="3"/>
  <c r="AM1223" i="3"/>
  <c r="AB1224" i="3"/>
  <c r="AC1224" i="3"/>
  <c r="AL1224" i="3"/>
  <c r="AM1224" i="3"/>
  <c r="AB1225" i="3"/>
  <c r="AC1225" i="3"/>
  <c r="AL1225" i="3"/>
  <c r="AM1225" i="3"/>
  <c r="AB1226" i="3"/>
  <c r="AC1226" i="3"/>
  <c r="AL1226" i="3"/>
  <c r="AM1226" i="3"/>
  <c r="AB1227" i="3"/>
  <c r="AC1227" i="3"/>
  <c r="AL1227" i="3"/>
  <c r="AM1227" i="3"/>
  <c r="AB1228" i="3"/>
  <c r="AC1228" i="3"/>
  <c r="AL1228" i="3"/>
  <c r="AM1228" i="3"/>
  <c r="AB1229" i="3"/>
  <c r="AC1229" i="3"/>
  <c r="AL1229" i="3"/>
  <c r="AM1229" i="3"/>
  <c r="AB1230" i="3"/>
  <c r="AC1230" i="3"/>
  <c r="AL1230" i="3"/>
  <c r="AM1230" i="3"/>
  <c r="AB1231" i="3"/>
  <c r="AC1231" i="3"/>
  <c r="AL1231" i="3"/>
  <c r="AM1231" i="3"/>
  <c r="AB1232" i="3"/>
  <c r="AC1232" i="3"/>
  <c r="AL1232" i="3"/>
  <c r="AM1232" i="3"/>
  <c r="AB1233" i="3"/>
  <c r="AC1233" i="3"/>
  <c r="AL1233" i="3"/>
  <c r="AM1233" i="3"/>
  <c r="AB1234" i="3"/>
  <c r="AC1234" i="3"/>
  <c r="AL1234" i="3"/>
  <c r="AM1234" i="3"/>
  <c r="AB1236" i="3"/>
  <c r="AC1236" i="3"/>
  <c r="AL1236" i="3"/>
  <c r="AM1236" i="3"/>
  <c r="AB1235" i="3"/>
  <c r="AC1235" i="3"/>
  <c r="AL1235" i="3"/>
  <c r="AM1235" i="3"/>
  <c r="AB1237" i="3"/>
  <c r="AC1237" i="3"/>
  <c r="AL1237" i="3"/>
  <c r="AM1237" i="3"/>
  <c r="AB1238" i="3"/>
  <c r="AC1238" i="3"/>
  <c r="AL1238" i="3"/>
  <c r="AM1238" i="3"/>
  <c r="AB1239" i="3"/>
  <c r="AC1239" i="3"/>
  <c r="AL1239" i="3"/>
  <c r="AM1239" i="3"/>
  <c r="AB1240" i="3"/>
  <c r="AC1240" i="3"/>
  <c r="AL1240" i="3"/>
  <c r="AM1240" i="3"/>
  <c r="AB1241" i="3"/>
  <c r="AC1241" i="3"/>
  <c r="AL1241" i="3"/>
  <c r="AM1241" i="3"/>
  <c r="AB1242" i="3"/>
  <c r="AC1242" i="3"/>
  <c r="AL1242" i="3"/>
  <c r="AM1242" i="3"/>
  <c r="AB1243" i="3"/>
  <c r="AC1243" i="3"/>
  <c r="AL1243" i="3"/>
  <c r="AM1243" i="3"/>
  <c r="AB1244" i="3"/>
  <c r="AC1244" i="3"/>
  <c r="AL1244" i="3"/>
  <c r="AM1244" i="3"/>
  <c r="AB1245" i="3"/>
  <c r="AC1245" i="3"/>
  <c r="AL1245" i="3"/>
  <c r="AM1245" i="3"/>
  <c r="AB1246" i="3"/>
  <c r="AC1246" i="3"/>
  <c r="AL1246" i="3"/>
  <c r="AM1246" i="3"/>
  <c r="AB1247" i="3"/>
  <c r="AC1247" i="3"/>
  <c r="AL1247" i="3"/>
  <c r="AM1247" i="3"/>
  <c r="AB1248" i="3"/>
  <c r="AC1248" i="3"/>
  <c r="AL1248" i="3"/>
  <c r="AM1248" i="3"/>
  <c r="AB1249" i="3"/>
  <c r="AC1249" i="3"/>
  <c r="AL1249" i="3"/>
  <c r="AM1249" i="3"/>
  <c r="AB1250" i="3"/>
  <c r="AC1250" i="3"/>
  <c r="AL1250" i="3"/>
  <c r="AM1250" i="3"/>
  <c r="AB1251" i="3"/>
  <c r="AC1251" i="3"/>
  <c r="AL1251" i="3"/>
  <c r="AM1251" i="3"/>
  <c r="AB1252" i="3"/>
  <c r="AC1252" i="3"/>
  <c r="AL1252" i="3"/>
  <c r="AM1252" i="3"/>
  <c r="AB1253" i="3"/>
  <c r="AC1253" i="3"/>
  <c r="AL1253" i="3"/>
  <c r="AM1253" i="3"/>
  <c r="AB1254" i="3"/>
  <c r="AC1254" i="3"/>
  <c r="AL1254" i="3"/>
  <c r="AM1254" i="3"/>
  <c r="AB1255" i="3"/>
  <c r="AC1255" i="3"/>
  <c r="AL1255" i="3"/>
  <c r="AM1255" i="3"/>
  <c r="AB1256" i="3"/>
  <c r="AC1256" i="3"/>
  <c r="AL1256" i="3"/>
  <c r="AM1256" i="3"/>
  <c r="AB1257" i="3"/>
  <c r="AC1257" i="3"/>
  <c r="AL1257" i="3"/>
  <c r="AM1257" i="3"/>
  <c r="AB1258" i="3"/>
  <c r="AC1258" i="3"/>
  <c r="AL1258" i="3"/>
  <c r="AM1258" i="3"/>
  <c r="AB1259" i="3"/>
  <c r="AC1259" i="3"/>
  <c r="AL1259" i="3"/>
  <c r="AM1259" i="3"/>
  <c r="AB1260" i="3"/>
  <c r="AC1260" i="3"/>
  <c r="AL1260" i="3"/>
  <c r="AM1260" i="3"/>
  <c r="AB1261" i="3"/>
  <c r="AC1261" i="3"/>
  <c r="AL1261" i="3"/>
  <c r="AM1261" i="3"/>
  <c r="AB1262" i="3"/>
  <c r="AC1262" i="3"/>
  <c r="AL1262" i="3"/>
  <c r="AM1262" i="3"/>
  <c r="AB1263" i="3"/>
  <c r="AC1263" i="3"/>
  <c r="AL1263" i="3"/>
  <c r="AM1263" i="3"/>
  <c r="AB1264" i="3"/>
  <c r="AC1264" i="3"/>
  <c r="AL1264" i="3"/>
  <c r="AM1264" i="3"/>
  <c r="AB1265" i="3"/>
  <c r="AC1265" i="3"/>
  <c r="AL1265" i="3"/>
  <c r="AM1265" i="3"/>
  <c r="AB1266" i="3"/>
  <c r="AC1266" i="3"/>
  <c r="AL1266" i="3"/>
  <c r="AM1266" i="3"/>
  <c r="AB1267" i="3"/>
  <c r="AC1267" i="3"/>
  <c r="AL1267" i="3"/>
  <c r="AM1267" i="3"/>
  <c r="AB1268" i="3"/>
  <c r="AC1268" i="3"/>
  <c r="AL1268" i="3"/>
  <c r="AM1268" i="3"/>
  <c r="AB1269" i="3"/>
  <c r="AC1269" i="3"/>
  <c r="AL1269" i="3"/>
  <c r="AM1269" i="3"/>
  <c r="AB1270" i="3"/>
  <c r="AC1270" i="3"/>
  <c r="AL1270" i="3"/>
  <c r="AM1270" i="3"/>
  <c r="AB1271" i="3"/>
  <c r="AC1271" i="3"/>
  <c r="AL1271" i="3"/>
  <c r="AM1271" i="3"/>
  <c r="AB1272" i="3"/>
  <c r="AC1272" i="3"/>
  <c r="AL1272" i="3"/>
  <c r="AM1272" i="3"/>
  <c r="AB1273" i="3"/>
  <c r="AC1273" i="3"/>
  <c r="AL1273" i="3"/>
  <c r="AM1273" i="3"/>
  <c r="AB1274" i="3"/>
  <c r="AC1274" i="3"/>
  <c r="AL1274" i="3"/>
  <c r="AM1274" i="3"/>
  <c r="AB1275" i="3"/>
  <c r="AC1275" i="3"/>
  <c r="AL1275" i="3"/>
  <c r="AM1275" i="3"/>
  <c r="AB1276" i="3"/>
  <c r="AC1276" i="3"/>
  <c r="AL1276" i="3"/>
  <c r="AM1276" i="3"/>
  <c r="AB1277" i="3"/>
  <c r="AC1277" i="3"/>
  <c r="AL1277" i="3"/>
  <c r="AM1277" i="3"/>
  <c r="AB1278" i="3"/>
  <c r="AC1278" i="3"/>
  <c r="AL1278" i="3"/>
  <c r="AM1278" i="3"/>
  <c r="AB1279" i="3"/>
  <c r="AC1279" i="3"/>
  <c r="AL1279" i="3"/>
  <c r="AM1279" i="3"/>
  <c r="AB1280" i="3"/>
  <c r="AC1280" i="3"/>
  <c r="AL1280" i="3"/>
  <c r="AM1280" i="3"/>
  <c r="AB1281" i="3"/>
  <c r="AC1281" i="3"/>
  <c r="AL1281" i="3"/>
  <c r="AM1281" i="3"/>
  <c r="AB1282" i="3"/>
  <c r="AC1282" i="3"/>
  <c r="AL1282" i="3"/>
  <c r="AM1282" i="3"/>
  <c r="AB1283" i="3"/>
  <c r="AC1283" i="3"/>
  <c r="AL1283" i="3"/>
  <c r="AM1283" i="3"/>
  <c r="AB1284" i="3"/>
  <c r="AC1284" i="3"/>
  <c r="AL1284" i="3"/>
  <c r="AM1284" i="3"/>
  <c r="AB1285" i="3"/>
  <c r="AC1285" i="3"/>
  <c r="AL1285" i="3"/>
  <c r="AM1285" i="3"/>
  <c r="AB1286" i="3"/>
  <c r="AC1286" i="3"/>
  <c r="AL1286" i="3"/>
  <c r="AM1286" i="3"/>
  <c r="AB1287" i="3"/>
  <c r="AC1287" i="3"/>
  <c r="AL1287" i="3"/>
  <c r="AM1287" i="3"/>
  <c r="AB1288" i="3"/>
  <c r="AC1288" i="3"/>
  <c r="AL1288" i="3"/>
  <c r="AM1288" i="3"/>
  <c r="AB1289" i="3"/>
  <c r="AC1289" i="3"/>
  <c r="AL1289" i="3"/>
  <c r="AM1289" i="3"/>
  <c r="AB1290" i="3"/>
  <c r="AC1290" i="3"/>
  <c r="AL1290" i="3"/>
  <c r="AM1290" i="3"/>
  <c r="AB1291" i="3"/>
  <c r="AC1291" i="3"/>
  <c r="AL1291" i="3"/>
  <c r="AM1291" i="3"/>
  <c r="AB1292" i="3"/>
  <c r="AC1292" i="3"/>
  <c r="AL1292" i="3"/>
  <c r="AM1292" i="3"/>
  <c r="AB1293" i="3"/>
  <c r="AC1293" i="3"/>
  <c r="AL1293" i="3"/>
  <c r="AM1293" i="3"/>
  <c r="AB1294" i="3"/>
  <c r="AC1294" i="3"/>
  <c r="AL1294" i="3"/>
  <c r="AM1294" i="3"/>
  <c r="AB1295" i="3"/>
  <c r="AC1295" i="3"/>
  <c r="AL1295" i="3"/>
  <c r="AM1295" i="3"/>
  <c r="AB1296" i="3"/>
  <c r="AC1296" i="3"/>
  <c r="AL1296" i="3"/>
  <c r="AM1296" i="3"/>
  <c r="AB1297" i="3"/>
  <c r="AC1297" i="3"/>
  <c r="AL1297" i="3"/>
  <c r="AM1297" i="3"/>
  <c r="AB1298" i="3"/>
  <c r="AC1298" i="3"/>
  <c r="AL1298" i="3"/>
  <c r="AM1298" i="3"/>
  <c r="AB1299" i="3"/>
  <c r="AC1299" i="3"/>
  <c r="AL1299" i="3"/>
  <c r="AM1299" i="3"/>
  <c r="AB1300" i="3"/>
  <c r="AC1300" i="3"/>
  <c r="AL1300" i="3"/>
  <c r="AM1300" i="3"/>
  <c r="AB1301" i="3"/>
  <c r="AC1301" i="3"/>
  <c r="AL1301" i="3"/>
  <c r="AM1301" i="3"/>
  <c r="AB1302" i="3"/>
  <c r="AC1302" i="3"/>
  <c r="AL1302" i="3"/>
  <c r="AM1302" i="3"/>
  <c r="AB1303" i="3"/>
  <c r="AC1303" i="3"/>
  <c r="AL1303" i="3"/>
  <c r="AM1303" i="3"/>
  <c r="AB1304" i="3"/>
  <c r="AC1304" i="3"/>
  <c r="AL1304" i="3"/>
  <c r="AM1304" i="3"/>
  <c r="AB1305" i="3"/>
  <c r="AC1305" i="3"/>
  <c r="AL1305" i="3"/>
  <c r="AM1305" i="3"/>
  <c r="AB1306" i="3"/>
  <c r="AC1306" i="3"/>
  <c r="AL1306" i="3"/>
  <c r="AM1306" i="3"/>
  <c r="AB1307" i="3"/>
  <c r="AC1307" i="3"/>
  <c r="AL1307" i="3"/>
  <c r="AM1307" i="3"/>
  <c r="AB1308" i="3"/>
  <c r="AC1308" i="3"/>
  <c r="AL1308" i="3"/>
  <c r="AM1308" i="3"/>
  <c r="AB1309" i="3"/>
  <c r="AC1309" i="3"/>
  <c r="AL1309" i="3"/>
  <c r="AM1309" i="3"/>
  <c r="AB1310" i="3"/>
  <c r="AC1310" i="3"/>
  <c r="AL1310" i="3"/>
  <c r="AM1310" i="3"/>
  <c r="AB1311" i="3"/>
  <c r="AC1311" i="3"/>
  <c r="AL1311" i="3"/>
  <c r="AM1311" i="3"/>
  <c r="AB1312" i="3"/>
  <c r="AC1312" i="3"/>
  <c r="AL1312" i="3"/>
  <c r="AM1312" i="3"/>
  <c r="AB1313" i="3"/>
  <c r="AC1313" i="3"/>
  <c r="AL1313" i="3"/>
  <c r="AM1313" i="3"/>
  <c r="AB1314" i="3"/>
  <c r="AC1314" i="3"/>
  <c r="AL1314" i="3"/>
  <c r="AM1314" i="3"/>
  <c r="AB1315" i="3"/>
  <c r="AC1315" i="3"/>
  <c r="AL1315" i="3"/>
  <c r="AM1315" i="3"/>
  <c r="AB1316" i="3"/>
  <c r="AC1316" i="3"/>
  <c r="AL1316" i="3"/>
  <c r="AM1316" i="3"/>
  <c r="AB1317" i="3"/>
  <c r="AC1317" i="3"/>
  <c r="AL1317" i="3"/>
  <c r="AM1317" i="3"/>
  <c r="AB1318" i="3"/>
  <c r="AC1318" i="3"/>
  <c r="AL1318" i="3"/>
  <c r="AM1318" i="3"/>
  <c r="AB1319" i="3"/>
  <c r="AC1319" i="3"/>
  <c r="AL1319" i="3"/>
  <c r="AM1319" i="3"/>
  <c r="AB1320" i="3"/>
  <c r="AC1320" i="3"/>
  <c r="AL1320" i="3"/>
  <c r="AM1320" i="3"/>
  <c r="AB1321" i="3"/>
  <c r="AC1321" i="3"/>
  <c r="AL1321" i="3"/>
  <c r="AM1321" i="3"/>
  <c r="AB1322" i="3"/>
  <c r="AC1322" i="3"/>
  <c r="AL1322" i="3"/>
  <c r="AM1322" i="3"/>
  <c r="AB1323" i="3"/>
  <c r="AC1323" i="3"/>
  <c r="AL1323" i="3"/>
  <c r="AM1323" i="3"/>
  <c r="AB1324" i="3"/>
  <c r="AC1324" i="3"/>
  <c r="AL1324" i="3"/>
  <c r="AM1324" i="3"/>
  <c r="AB1325" i="3"/>
  <c r="AC1325" i="3"/>
  <c r="AL1325" i="3"/>
  <c r="AM1325" i="3"/>
  <c r="AB1326" i="3"/>
  <c r="AC1326" i="3"/>
  <c r="AL1326" i="3"/>
  <c r="AM1326" i="3"/>
  <c r="AB1327" i="3"/>
  <c r="AC1327" i="3"/>
  <c r="AL1327" i="3"/>
  <c r="AM1327" i="3"/>
  <c r="AB1328" i="3"/>
  <c r="AC1328" i="3"/>
  <c r="AL1328" i="3"/>
  <c r="AM1328" i="3"/>
  <c r="AB1329" i="3"/>
  <c r="AC1329" i="3"/>
  <c r="AL1329" i="3"/>
  <c r="AM1329" i="3"/>
  <c r="AB1330" i="3"/>
  <c r="AC1330" i="3"/>
  <c r="AL1330" i="3"/>
  <c r="AM1330" i="3"/>
  <c r="AB1331" i="3"/>
  <c r="AC1331" i="3"/>
  <c r="AL1331" i="3"/>
  <c r="AM1331" i="3"/>
  <c r="AB1332" i="3"/>
  <c r="AC1332" i="3"/>
  <c r="AL1332" i="3"/>
  <c r="AM1332" i="3"/>
  <c r="AB1333" i="3"/>
  <c r="AC1333" i="3"/>
  <c r="AL1333" i="3"/>
  <c r="AM1333" i="3"/>
  <c r="AB1334" i="3"/>
  <c r="AC1334" i="3"/>
  <c r="AL1334" i="3"/>
  <c r="AM1334" i="3"/>
  <c r="AB1335" i="3"/>
  <c r="AC1335" i="3"/>
  <c r="AL1335" i="3"/>
  <c r="AM1335" i="3"/>
  <c r="AB1336" i="3"/>
  <c r="AC1336" i="3"/>
  <c r="AL1336" i="3"/>
  <c r="AM1336" i="3"/>
  <c r="AB1337" i="3"/>
  <c r="AC1337" i="3"/>
  <c r="AL1337" i="3"/>
  <c r="AM1337" i="3"/>
  <c r="AB1338" i="3"/>
  <c r="AC1338" i="3"/>
  <c r="AL1338" i="3"/>
  <c r="AM1338" i="3"/>
  <c r="AB1339" i="3"/>
  <c r="AC1339" i="3"/>
  <c r="AL1339" i="3"/>
  <c r="AM1339" i="3"/>
  <c r="AB1340" i="3"/>
  <c r="AC1340" i="3"/>
  <c r="AL1340" i="3"/>
  <c r="AM1340" i="3"/>
  <c r="AB1341" i="3"/>
  <c r="AC1341" i="3"/>
  <c r="AL1341" i="3"/>
  <c r="AM1341" i="3"/>
  <c r="AB1342" i="3"/>
  <c r="AC1342" i="3"/>
  <c r="AL1342" i="3"/>
  <c r="AM1342" i="3"/>
  <c r="AB1343" i="3"/>
  <c r="AC1343" i="3"/>
  <c r="AL1343" i="3"/>
  <c r="AM1343" i="3"/>
  <c r="AB1344" i="3"/>
  <c r="AC1344" i="3"/>
  <c r="AL1344" i="3"/>
  <c r="AM1344" i="3"/>
  <c r="AB1345" i="3"/>
  <c r="AC1345" i="3"/>
  <c r="AL1345" i="3"/>
  <c r="AM1345" i="3"/>
  <c r="AB1346" i="3"/>
  <c r="AC1346" i="3"/>
  <c r="AL1346" i="3"/>
  <c r="AM1346" i="3"/>
  <c r="AB1347" i="3"/>
  <c r="AC1347" i="3"/>
  <c r="AL1347" i="3"/>
  <c r="AM1347" i="3"/>
  <c r="AB1348" i="3"/>
  <c r="AC1348" i="3"/>
  <c r="AL1348" i="3"/>
  <c r="AM1348" i="3"/>
  <c r="AB1349" i="3"/>
  <c r="AC1349" i="3"/>
  <c r="AL1349" i="3"/>
  <c r="AM1349" i="3"/>
  <c r="AB1350" i="3"/>
  <c r="AC1350" i="3"/>
  <c r="AL1350" i="3"/>
  <c r="AM1350" i="3"/>
  <c r="AB1351" i="3"/>
  <c r="AC1351" i="3"/>
  <c r="AL1351" i="3"/>
  <c r="AM1351" i="3"/>
  <c r="AB1352" i="3"/>
  <c r="AC1352" i="3"/>
  <c r="AL1352" i="3"/>
  <c r="AM1352" i="3"/>
  <c r="AB1353" i="3"/>
  <c r="AC1353" i="3"/>
  <c r="AL1353" i="3"/>
  <c r="AM1353" i="3"/>
  <c r="AB1354" i="3"/>
  <c r="AC1354" i="3"/>
  <c r="AL1354" i="3"/>
  <c r="AM1354" i="3"/>
  <c r="AB1355" i="3"/>
  <c r="AC1355" i="3"/>
  <c r="AL1355" i="3"/>
  <c r="AM1355" i="3"/>
  <c r="AB1356" i="3"/>
  <c r="AC1356" i="3"/>
  <c r="AL1356" i="3"/>
  <c r="AM1356" i="3"/>
  <c r="AB1357" i="3"/>
  <c r="AC1357" i="3"/>
  <c r="AL1357" i="3"/>
  <c r="AM1357" i="3"/>
  <c r="AB1358" i="3"/>
  <c r="AC1358" i="3"/>
  <c r="AL1358" i="3"/>
  <c r="AM1358" i="3"/>
  <c r="AB1359" i="3"/>
  <c r="AC1359" i="3"/>
  <c r="AL1359" i="3"/>
  <c r="AM1359" i="3"/>
  <c r="AB1360" i="3"/>
  <c r="AC1360" i="3"/>
  <c r="AL1360" i="3"/>
  <c r="AM1360" i="3"/>
  <c r="AB1361" i="3"/>
  <c r="AC1361" i="3"/>
  <c r="AL1361" i="3"/>
  <c r="AM1361" i="3"/>
  <c r="AB1362" i="3"/>
  <c r="AC1362" i="3"/>
  <c r="AL1362" i="3"/>
  <c r="AM1362" i="3"/>
  <c r="AB1363" i="3"/>
  <c r="AC1363" i="3"/>
  <c r="AL1363" i="3"/>
  <c r="AM1363" i="3"/>
  <c r="AB1364" i="3"/>
  <c r="AC1364" i="3"/>
  <c r="AL1364" i="3"/>
  <c r="AM1364" i="3"/>
  <c r="AB1365" i="3"/>
  <c r="AC1365" i="3"/>
  <c r="AL1365" i="3"/>
  <c r="AM1365" i="3"/>
  <c r="AB1366" i="3"/>
  <c r="AC1366" i="3"/>
  <c r="AL1366" i="3"/>
  <c r="AM1366" i="3"/>
  <c r="AB1369" i="3"/>
  <c r="AC1369" i="3"/>
  <c r="AL1369" i="3"/>
  <c r="AM1369" i="3"/>
  <c r="AB1370" i="3"/>
  <c r="AC1370" i="3"/>
  <c r="AL1370" i="3"/>
  <c r="AM1370" i="3"/>
  <c r="AB1371" i="3"/>
  <c r="AC1371" i="3"/>
  <c r="AL1371" i="3"/>
  <c r="AM1371" i="3"/>
  <c r="AB1372" i="3"/>
  <c r="AC1372" i="3"/>
  <c r="AL1372" i="3"/>
  <c r="AM1372" i="3"/>
  <c r="AB1373" i="3"/>
  <c r="AC1373" i="3"/>
  <c r="AL1373" i="3"/>
  <c r="AM1373" i="3"/>
  <c r="AB1374" i="3"/>
  <c r="AC1374" i="3"/>
  <c r="AL1374" i="3"/>
  <c r="AM1374" i="3"/>
  <c r="AB1375" i="3"/>
  <c r="AC1375" i="3"/>
  <c r="AL1375" i="3"/>
  <c r="AM1375" i="3"/>
  <c r="AB1376" i="3"/>
  <c r="AC1376" i="3"/>
  <c r="AL1376" i="3"/>
  <c r="AM1376" i="3"/>
  <c r="AB1377" i="3"/>
  <c r="AC1377" i="3"/>
  <c r="AL1377" i="3"/>
  <c r="AM1377" i="3"/>
  <c r="AB1378" i="3"/>
  <c r="AC1378" i="3"/>
  <c r="AL1378" i="3"/>
  <c r="AM1378" i="3"/>
  <c r="AB1379" i="3"/>
  <c r="AC1379" i="3"/>
  <c r="AL1379" i="3"/>
  <c r="AM1379" i="3"/>
  <c r="AB1380" i="3"/>
  <c r="AC1380" i="3"/>
  <c r="AL1380" i="3"/>
  <c r="AM1380" i="3"/>
  <c r="AB1381" i="3"/>
  <c r="AC1381" i="3"/>
  <c r="AL1381" i="3"/>
  <c r="AM1381" i="3"/>
  <c r="AB1383" i="3"/>
  <c r="AC1383" i="3"/>
  <c r="AL1383" i="3"/>
  <c r="AM1383" i="3"/>
  <c r="AB1384" i="3"/>
  <c r="AC1384" i="3"/>
  <c r="AL1384" i="3"/>
  <c r="AM1384" i="3"/>
  <c r="AB1385" i="3"/>
  <c r="AC1385" i="3"/>
  <c r="AL1385" i="3"/>
  <c r="AM1385" i="3"/>
  <c r="AB1386" i="3"/>
  <c r="AC1386" i="3"/>
  <c r="AL1386" i="3"/>
  <c r="AM1386" i="3"/>
  <c r="AB1387" i="3"/>
  <c r="AC1387" i="3"/>
  <c r="AL1387" i="3"/>
  <c r="AM1387" i="3"/>
  <c r="AB1388" i="3"/>
  <c r="AC1388" i="3"/>
  <c r="AL1388" i="3"/>
  <c r="AM1388" i="3"/>
  <c r="AB1389" i="3"/>
  <c r="AC1389" i="3"/>
  <c r="AL1389" i="3"/>
  <c r="AM1389" i="3"/>
  <c r="AB1390" i="3"/>
  <c r="AC1390" i="3"/>
  <c r="AL1390" i="3"/>
  <c r="AM1390" i="3"/>
  <c r="AB1435" i="3"/>
  <c r="AC1435" i="3"/>
  <c r="AL1435" i="3"/>
  <c r="AM1435" i="3"/>
  <c r="AB1391" i="3"/>
  <c r="AC1391" i="3"/>
  <c r="AL1391" i="3"/>
  <c r="AM1391" i="3"/>
  <c r="AB1392" i="3"/>
  <c r="AC1392" i="3"/>
  <c r="AL1392" i="3"/>
  <c r="AM1392" i="3"/>
  <c r="AB1393" i="3"/>
  <c r="AC1393" i="3"/>
  <c r="AL1393" i="3"/>
  <c r="AM1393" i="3"/>
  <c r="AB1395" i="3"/>
  <c r="AC1395" i="3"/>
  <c r="AL1395" i="3"/>
  <c r="AM1395" i="3"/>
  <c r="AB1396" i="3"/>
  <c r="AC1396" i="3"/>
  <c r="AL1396" i="3"/>
  <c r="AM1396" i="3"/>
  <c r="AB1397" i="3"/>
  <c r="AC1397" i="3"/>
  <c r="AL1397" i="3"/>
  <c r="AM1397" i="3"/>
  <c r="AB1398" i="3"/>
  <c r="AC1398" i="3"/>
  <c r="AL1398" i="3"/>
  <c r="AM1398" i="3"/>
  <c r="AB1399" i="3"/>
  <c r="AC1399" i="3"/>
  <c r="AL1399" i="3"/>
  <c r="AM1399" i="3"/>
  <c r="AB1400" i="3"/>
  <c r="AC1400" i="3"/>
  <c r="AL1400" i="3"/>
  <c r="AM1400" i="3"/>
  <c r="AB1401" i="3"/>
  <c r="AC1401" i="3"/>
  <c r="AL1401" i="3"/>
  <c r="AM1401" i="3"/>
  <c r="AB1403" i="3"/>
  <c r="AC1403" i="3"/>
  <c r="AL1403" i="3"/>
  <c r="AM1403" i="3"/>
  <c r="AB1404" i="3"/>
  <c r="AC1404" i="3"/>
  <c r="AL1404" i="3"/>
  <c r="AM1404" i="3"/>
  <c r="AB1405" i="3"/>
  <c r="AC1405" i="3"/>
  <c r="AL1405" i="3"/>
  <c r="AM1405" i="3"/>
  <c r="AB1406" i="3"/>
  <c r="AC1406" i="3"/>
  <c r="AL1406" i="3"/>
  <c r="AM1406" i="3"/>
  <c r="AB1407" i="3"/>
  <c r="AC1407" i="3"/>
  <c r="AL1407" i="3"/>
  <c r="AM1407" i="3"/>
  <c r="AB1408" i="3"/>
  <c r="AC1408" i="3"/>
  <c r="AL1408" i="3"/>
  <c r="AM1408" i="3"/>
  <c r="AB1409" i="3"/>
  <c r="AC1409" i="3"/>
  <c r="AL1409" i="3"/>
  <c r="AM1409" i="3"/>
  <c r="AB1410" i="3"/>
  <c r="AC1410" i="3"/>
  <c r="AL1410" i="3"/>
  <c r="AM1410" i="3"/>
  <c r="AB1411" i="3"/>
  <c r="AC1411" i="3"/>
  <c r="AL1411" i="3"/>
  <c r="AM1411" i="3"/>
  <c r="AB1412" i="3"/>
  <c r="AC1412" i="3"/>
  <c r="AL1412" i="3"/>
  <c r="AM1412" i="3"/>
  <c r="AB1413" i="3"/>
  <c r="AC1413" i="3"/>
  <c r="AL1413" i="3"/>
  <c r="AM1413" i="3"/>
  <c r="AB1414" i="3"/>
  <c r="AC1414" i="3"/>
  <c r="AL1414" i="3"/>
  <c r="AM1414" i="3"/>
  <c r="AB1415" i="3"/>
  <c r="AC1415" i="3"/>
  <c r="AL1415" i="3"/>
  <c r="AM1415" i="3"/>
  <c r="AB1417" i="3"/>
  <c r="AC1417" i="3"/>
  <c r="AL1417" i="3"/>
  <c r="AM1417" i="3"/>
  <c r="AB1418" i="3"/>
  <c r="AC1418" i="3"/>
  <c r="AL1418" i="3"/>
  <c r="AM1418" i="3"/>
  <c r="AB1419" i="3"/>
  <c r="AC1419" i="3"/>
  <c r="AL1419" i="3"/>
  <c r="AM1419" i="3"/>
  <c r="AB1420" i="3"/>
  <c r="AC1420" i="3"/>
  <c r="AL1420" i="3"/>
  <c r="AM1420" i="3"/>
  <c r="AB1421" i="3"/>
  <c r="AC1421" i="3"/>
  <c r="AL1421" i="3"/>
  <c r="AM1421" i="3"/>
  <c r="AB1422" i="3"/>
  <c r="AC1422" i="3"/>
  <c r="AL1422" i="3"/>
  <c r="AM1422" i="3"/>
  <c r="AB1423" i="3"/>
  <c r="AC1423" i="3"/>
  <c r="AL1423" i="3"/>
  <c r="AM1423" i="3"/>
  <c r="AB1424" i="3"/>
  <c r="AC1424" i="3"/>
  <c r="AL1424" i="3"/>
  <c r="AM1424" i="3"/>
  <c r="AB1425" i="3"/>
  <c r="AC1425" i="3"/>
  <c r="AL1425" i="3"/>
  <c r="AM1425" i="3"/>
  <c r="AB1426" i="3"/>
  <c r="AC1426" i="3"/>
  <c r="AL1426" i="3"/>
  <c r="AM1426" i="3"/>
  <c r="AB1427" i="3"/>
  <c r="AC1427" i="3"/>
  <c r="AL1427" i="3"/>
  <c r="AM1427" i="3"/>
  <c r="AB1428" i="3"/>
  <c r="AC1428" i="3"/>
  <c r="AL1428" i="3"/>
  <c r="AM1428" i="3"/>
  <c r="AB1429" i="3"/>
  <c r="AC1429" i="3"/>
  <c r="AL1429" i="3"/>
  <c r="AM1429" i="3"/>
  <c r="AB1430" i="3"/>
  <c r="AC1430" i="3"/>
  <c r="AL1430" i="3"/>
  <c r="AM1430" i="3"/>
  <c r="AB1432" i="3"/>
  <c r="AC1432" i="3"/>
  <c r="AL1432" i="3"/>
  <c r="AM1432" i="3"/>
  <c r="AB1433" i="3"/>
  <c r="AC1433" i="3"/>
  <c r="AL1433" i="3"/>
  <c r="AM1433" i="3"/>
  <c r="AB1434" i="3"/>
  <c r="AC1434" i="3"/>
  <c r="AL1434" i="3"/>
  <c r="AM1434" i="3"/>
  <c r="AB1436" i="3"/>
  <c r="AC1436" i="3"/>
  <c r="AL1436" i="3"/>
  <c r="AM1436" i="3"/>
  <c r="AB1437" i="3"/>
  <c r="AC1437" i="3"/>
  <c r="AL1437" i="3"/>
  <c r="AM1437" i="3"/>
  <c r="AB1438" i="3"/>
  <c r="AC1438" i="3"/>
  <c r="AL1438" i="3"/>
  <c r="AM1438" i="3"/>
  <c r="AB1439" i="3"/>
  <c r="AC1439" i="3"/>
  <c r="AL1439" i="3"/>
  <c r="AM1439" i="3"/>
  <c r="AB1440" i="3"/>
  <c r="AC1440" i="3"/>
  <c r="AL1440" i="3"/>
  <c r="AM1440" i="3"/>
  <c r="AB1441" i="3"/>
  <c r="AC1441" i="3"/>
  <c r="AL1441" i="3"/>
  <c r="AM1441" i="3"/>
  <c r="AB1445" i="3"/>
  <c r="AC1445" i="3"/>
  <c r="AL1445" i="3"/>
  <c r="AM1445" i="3"/>
  <c r="AB1443" i="3"/>
  <c r="AC1443" i="3"/>
  <c r="AL1443" i="3"/>
  <c r="AM1443" i="3"/>
  <c r="AB1444" i="3"/>
  <c r="AC1444" i="3"/>
  <c r="AL1444" i="3"/>
  <c r="AM1444" i="3"/>
  <c r="AB1446" i="3"/>
  <c r="AC1446" i="3"/>
  <c r="AL1446" i="3"/>
  <c r="AM1446" i="3"/>
  <c r="AB1447" i="3"/>
  <c r="AC1447" i="3"/>
  <c r="AL1447" i="3"/>
  <c r="AM1447" i="3"/>
  <c r="AB1448" i="3"/>
  <c r="AC1448" i="3"/>
  <c r="AL1448" i="3"/>
  <c r="AM1448" i="3"/>
  <c r="AB1449" i="3"/>
  <c r="AC1449" i="3"/>
  <c r="AL1449" i="3"/>
  <c r="AM1449" i="3"/>
  <c r="AB1450" i="3"/>
  <c r="AC1450" i="3"/>
  <c r="AL1450" i="3"/>
  <c r="AM1450" i="3"/>
  <c r="AB1452" i="3"/>
  <c r="AC1452" i="3"/>
  <c r="AL1452" i="3"/>
  <c r="AM1452" i="3"/>
  <c r="AB1453" i="3"/>
  <c r="AC1453" i="3"/>
  <c r="AL1453" i="3"/>
  <c r="AM1453" i="3"/>
  <c r="AB1454" i="3"/>
  <c r="AC1454" i="3"/>
  <c r="AL1454" i="3"/>
  <c r="AM1454" i="3"/>
  <c r="AB1455" i="3"/>
  <c r="AC1455" i="3"/>
  <c r="AL1455" i="3"/>
  <c r="AM1455" i="3"/>
  <c r="AB1456" i="3"/>
  <c r="AC1456" i="3"/>
  <c r="AL1456" i="3"/>
  <c r="AM1456" i="3"/>
  <c r="AB1457" i="3"/>
  <c r="AC1457" i="3"/>
  <c r="AL1457" i="3"/>
  <c r="AM1457" i="3"/>
  <c r="AB1458" i="3"/>
  <c r="AC1458" i="3"/>
  <c r="AL1458" i="3"/>
  <c r="AM1458" i="3"/>
  <c r="AB1460" i="3"/>
  <c r="AC1460" i="3"/>
  <c r="AL1460" i="3"/>
  <c r="AM1460" i="3"/>
  <c r="AB1461" i="3"/>
  <c r="AC1461" i="3"/>
  <c r="AL1461" i="3"/>
  <c r="AM1461" i="3"/>
  <c r="AB1462" i="3"/>
  <c r="AC1462" i="3"/>
  <c r="AL1462" i="3"/>
  <c r="AM1462" i="3"/>
  <c r="AB1463" i="3"/>
  <c r="AC1463" i="3"/>
  <c r="AL1463" i="3"/>
  <c r="AM1463" i="3"/>
  <c r="AB1464" i="3"/>
  <c r="AC1464" i="3"/>
  <c r="AL1464" i="3"/>
  <c r="AM1464" i="3"/>
  <c r="AB1465" i="3"/>
  <c r="AC1465" i="3"/>
  <c r="AL1465" i="3"/>
  <c r="AM1465" i="3"/>
  <c r="AB1466" i="3"/>
  <c r="AC1466" i="3"/>
  <c r="AL1466" i="3"/>
  <c r="AM1466" i="3"/>
  <c r="AB1467" i="3"/>
  <c r="AC1467" i="3"/>
  <c r="AL1467" i="3"/>
  <c r="AM1467" i="3"/>
  <c r="AB1468" i="3"/>
  <c r="AC1468" i="3"/>
  <c r="AL1468" i="3"/>
  <c r="AM1468" i="3"/>
  <c r="AB1470" i="3"/>
  <c r="AC1470" i="3"/>
  <c r="AL1470" i="3"/>
  <c r="AM1470" i="3"/>
  <c r="AB1471" i="3"/>
  <c r="AC1471" i="3"/>
  <c r="AL1471" i="3"/>
  <c r="AM1471" i="3"/>
  <c r="AB1472" i="3"/>
  <c r="AC1472" i="3"/>
  <c r="AL1472" i="3"/>
  <c r="AM1472" i="3"/>
  <c r="AB1473" i="3"/>
  <c r="AC1473" i="3"/>
  <c r="AL1473" i="3"/>
  <c r="AM1473" i="3"/>
  <c r="AB1474" i="3"/>
  <c r="AC1474" i="3"/>
  <c r="AL1474" i="3"/>
  <c r="AM1474" i="3"/>
  <c r="AB1475" i="3"/>
  <c r="AC1475" i="3"/>
  <c r="AL1475" i="3"/>
  <c r="AM1475" i="3"/>
  <c r="AB1476" i="3"/>
  <c r="AC1476" i="3"/>
  <c r="AL1476" i="3"/>
  <c r="AM1476" i="3"/>
  <c r="AB1477" i="3"/>
  <c r="AC1477" i="3"/>
  <c r="AL1477" i="3"/>
  <c r="AM1477" i="3"/>
  <c r="AB1478" i="3"/>
  <c r="AC1478" i="3"/>
  <c r="AL1478" i="3"/>
  <c r="AM1478" i="3"/>
  <c r="AB1479" i="3"/>
  <c r="AC1479" i="3"/>
  <c r="AL1479" i="3"/>
  <c r="AM1479" i="3"/>
  <c r="AB1480" i="3"/>
  <c r="AC1480" i="3"/>
  <c r="AL1480" i="3"/>
  <c r="AM1480" i="3"/>
  <c r="AB1481" i="3"/>
  <c r="AC1481" i="3"/>
  <c r="AL1481" i="3"/>
  <c r="AM1481" i="3"/>
  <c r="AB1482" i="3"/>
  <c r="AC1482" i="3"/>
  <c r="AL1482" i="3"/>
  <c r="AM1482" i="3"/>
  <c r="AB1485" i="3"/>
  <c r="AC1485" i="3"/>
  <c r="AL1485" i="3"/>
  <c r="AM1485" i="3"/>
  <c r="AB1486" i="3"/>
  <c r="AC1486" i="3"/>
  <c r="AL1486" i="3"/>
  <c r="AM1486" i="3"/>
  <c r="AB1487" i="3"/>
  <c r="AC1487" i="3"/>
  <c r="AL1487" i="3"/>
  <c r="AM1487" i="3"/>
  <c r="AB1488" i="3"/>
  <c r="AC1488" i="3"/>
  <c r="AL1488" i="3"/>
  <c r="AM1488" i="3"/>
  <c r="AB1489" i="3"/>
  <c r="AC1489" i="3"/>
  <c r="AL1489" i="3"/>
  <c r="AM1489" i="3"/>
  <c r="AB1490" i="3"/>
  <c r="AC1490" i="3"/>
  <c r="AL1490" i="3"/>
  <c r="AM1490" i="3"/>
  <c r="AB1491" i="3"/>
  <c r="AC1491" i="3"/>
  <c r="AL1491" i="3"/>
  <c r="AM1491" i="3"/>
  <c r="AB1492" i="3"/>
  <c r="AC1492" i="3"/>
  <c r="AL1492" i="3"/>
  <c r="AM1492" i="3"/>
  <c r="AB1493" i="3"/>
  <c r="AC1493" i="3"/>
  <c r="AL1493" i="3"/>
  <c r="AM1493" i="3"/>
  <c r="AB1494" i="3"/>
  <c r="AC1494" i="3"/>
  <c r="AL1494" i="3"/>
  <c r="AM1494" i="3"/>
  <c r="AB1495" i="3"/>
  <c r="AC1495" i="3"/>
  <c r="AL1495" i="3"/>
  <c r="AM1495" i="3"/>
  <c r="AB1496" i="3"/>
  <c r="AC1496" i="3"/>
  <c r="AL1496" i="3"/>
  <c r="AM1496" i="3"/>
  <c r="AB1497" i="3"/>
  <c r="AC1497" i="3"/>
  <c r="AL1497" i="3"/>
  <c r="AM1497" i="3"/>
  <c r="AB1498" i="3"/>
  <c r="AC1498" i="3"/>
  <c r="AL1498" i="3"/>
  <c r="AM1498" i="3"/>
  <c r="AB1499" i="3"/>
  <c r="AC1499" i="3"/>
  <c r="AL1499" i="3"/>
  <c r="AM1499" i="3"/>
  <c r="AB1500" i="3"/>
  <c r="AC1500" i="3"/>
  <c r="AL1500" i="3"/>
  <c r="AM1500" i="3"/>
  <c r="AB1501" i="3"/>
  <c r="AC1501" i="3"/>
  <c r="AL1501" i="3"/>
  <c r="AM1501" i="3"/>
  <c r="AB1502" i="3"/>
  <c r="AC1502" i="3"/>
  <c r="AL1502" i="3"/>
  <c r="AM1502" i="3"/>
  <c r="AB1503" i="3"/>
  <c r="AC1503" i="3"/>
  <c r="AL1503" i="3"/>
  <c r="AM1503" i="3"/>
  <c r="AB1504" i="3"/>
  <c r="AC1504" i="3"/>
  <c r="AL1504" i="3"/>
  <c r="AM1504" i="3"/>
  <c r="AB1505" i="3"/>
  <c r="AC1505" i="3"/>
  <c r="AL1505" i="3"/>
  <c r="AM1505" i="3"/>
  <c r="AB1506" i="3"/>
  <c r="AC1506" i="3"/>
  <c r="AL1506" i="3"/>
  <c r="AM1506" i="3"/>
  <c r="AB1509" i="3"/>
  <c r="AC1509" i="3"/>
  <c r="AL1509" i="3"/>
  <c r="AM1509" i="3"/>
  <c r="AB1510" i="3"/>
  <c r="AC1510" i="3"/>
  <c r="AL1510" i="3"/>
  <c r="AM1510" i="3"/>
  <c r="AB1511" i="3"/>
  <c r="AC1511" i="3"/>
  <c r="AL1511" i="3"/>
  <c r="AM1511" i="3"/>
  <c r="AB1512" i="3"/>
  <c r="AC1512" i="3"/>
  <c r="AL1512" i="3"/>
  <c r="AM1512" i="3"/>
  <c r="AB1513" i="3"/>
  <c r="AC1513" i="3"/>
  <c r="AL1513" i="3"/>
  <c r="AM1513" i="3"/>
  <c r="AB1514" i="3"/>
  <c r="AC1514" i="3"/>
  <c r="AL1514" i="3"/>
  <c r="AM1514" i="3"/>
  <c r="AB1515" i="3"/>
  <c r="AC1515" i="3"/>
  <c r="AL1515" i="3"/>
  <c r="AM1515" i="3"/>
  <c r="AB1516" i="3"/>
  <c r="AC1516" i="3"/>
  <c r="AL1516" i="3"/>
  <c r="AM1516" i="3"/>
  <c r="AB1517" i="3"/>
  <c r="AC1517" i="3"/>
  <c r="AL1517" i="3"/>
  <c r="AM1517" i="3"/>
  <c r="AB1518" i="3"/>
  <c r="AC1518" i="3"/>
  <c r="AL1518" i="3"/>
  <c r="AM1518" i="3"/>
  <c r="AB1519" i="3"/>
  <c r="AC1519" i="3"/>
  <c r="AL1519" i="3"/>
  <c r="AM1519" i="3"/>
  <c r="AB1520" i="3"/>
  <c r="AC1520" i="3"/>
  <c r="AL1520" i="3"/>
  <c r="AM1520" i="3"/>
  <c r="AB1521" i="3"/>
  <c r="AC1521" i="3"/>
  <c r="AL1521" i="3"/>
  <c r="AM1521" i="3"/>
  <c r="AB1522" i="3"/>
  <c r="AC1522" i="3"/>
  <c r="AL1522" i="3"/>
  <c r="AM1522" i="3"/>
  <c r="AB1525" i="3"/>
  <c r="AC1525" i="3"/>
  <c r="AL1525" i="3"/>
  <c r="AM1525" i="3"/>
  <c r="AB1526" i="3"/>
  <c r="AC1526" i="3"/>
  <c r="AL1526" i="3"/>
  <c r="AM1526" i="3"/>
  <c r="AB1527" i="3"/>
  <c r="AC1527" i="3"/>
  <c r="AL1527" i="3"/>
  <c r="AM1527" i="3"/>
  <c r="AB1528" i="3"/>
  <c r="AC1528" i="3"/>
  <c r="AL1528" i="3"/>
  <c r="AM1528" i="3"/>
  <c r="AB1529" i="3"/>
  <c r="AC1529" i="3"/>
  <c r="AL1529" i="3"/>
  <c r="AM1529" i="3"/>
  <c r="AB1530" i="3"/>
  <c r="AC1530" i="3"/>
  <c r="AL1530" i="3"/>
  <c r="AM1530" i="3"/>
  <c r="AB1531" i="3"/>
  <c r="AC1531" i="3"/>
  <c r="AL1531" i="3"/>
  <c r="AM1531" i="3"/>
  <c r="AB1532" i="3"/>
  <c r="AC1532" i="3"/>
  <c r="AL1532" i="3"/>
  <c r="AM1532" i="3"/>
  <c r="AB1533" i="3"/>
  <c r="AC1533" i="3"/>
  <c r="AL1533" i="3"/>
  <c r="AM1533" i="3"/>
  <c r="AB1534" i="3"/>
  <c r="AC1534" i="3"/>
  <c r="AL1534" i="3"/>
  <c r="AM1534" i="3"/>
  <c r="AB1536" i="3"/>
  <c r="AC1536" i="3"/>
  <c r="AL1536" i="3"/>
  <c r="AM1536" i="3"/>
  <c r="AB1535" i="3"/>
  <c r="AC1535" i="3"/>
  <c r="AL1535" i="3"/>
  <c r="AM1535" i="3"/>
  <c r="AB1537" i="3"/>
  <c r="AC1537" i="3"/>
  <c r="AL1537" i="3"/>
  <c r="AM1537" i="3"/>
  <c r="AB1538" i="3"/>
  <c r="AC1538" i="3"/>
  <c r="AL1538" i="3"/>
  <c r="AM1538" i="3"/>
  <c r="AB1539" i="3"/>
  <c r="AC1539" i="3"/>
  <c r="AL1539" i="3"/>
  <c r="AM1539" i="3"/>
  <c r="AB1540" i="3"/>
  <c r="AC1540" i="3"/>
  <c r="AL1540" i="3"/>
  <c r="AM1540" i="3"/>
  <c r="AB1543" i="3"/>
  <c r="AC1543" i="3"/>
  <c r="AL1543" i="3"/>
  <c r="AM1543" i="3"/>
  <c r="AB1544" i="3"/>
  <c r="AC1544" i="3"/>
  <c r="AL1544" i="3"/>
  <c r="AM1544" i="3"/>
  <c r="AB1545" i="3"/>
  <c r="AC1545" i="3"/>
  <c r="AL1545" i="3"/>
  <c r="AM1545" i="3"/>
  <c r="AB1546" i="3"/>
  <c r="AC1546" i="3"/>
  <c r="AL1546" i="3"/>
  <c r="AM1546" i="3"/>
  <c r="AB1547" i="3"/>
  <c r="AC1547" i="3"/>
  <c r="AL1547" i="3"/>
  <c r="AM1547" i="3"/>
  <c r="AB1548" i="3"/>
  <c r="AC1548" i="3"/>
  <c r="AL1548" i="3"/>
  <c r="AM1548" i="3"/>
  <c r="AB1549" i="3"/>
  <c r="AC1549" i="3"/>
  <c r="AL1549" i="3"/>
  <c r="AM1549" i="3"/>
  <c r="AB1550" i="3"/>
  <c r="AC1550" i="3"/>
  <c r="AL1550" i="3"/>
  <c r="AM1550" i="3"/>
  <c r="AB1551" i="3"/>
  <c r="AC1551" i="3"/>
  <c r="AL1551" i="3"/>
  <c r="AM1551" i="3"/>
  <c r="AB1554" i="3"/>
  <c r="AC1554" i="3"/>
  <c r="AL1554" i="3"/>
  <c r="AM1554" i="3"/>
  <c r="AB1555" i="3"/>
  <c r="AC1555" i="3"/>
  <c r="AL1555" i="3"/>
  <c r="AM1555" i="3"/>
  <c r="AB1556" i="3"/>
  <c r="AC1556" i="3"/>
  <c r="AL1556" i="3"/>
  <c r="AM1556" i="3"/>
  <c r="AB1557" i="3"/>
  <c r="AC1557" i="3"/>
  <c r="AL1557" i="3"/>
  <c r="AM1557" i="3"/>
  <c r="AB1558" i="3"/>
  <c r="AC1558" i="3"/>
  <c r="AL1558" i="3"/>
  <c r="AM1558" i="3"/>
  <c r="AB1559" i="3"/>
  <c r="AC1559" i="3"/>
  <c r="AL1559" i="3"/>
  <c r="AM1559" i="3"/>
  <c r="AB1560" i="3"/>
  <c r="AC1560" i="3"/>
  <c r="AL1560" i="3"/>
  <c r="AM1560" i="3"/>
  <c r="AB1561" i="3"/>
  <c r="AC1561" i="3"/>
  <c r="AL1561" i="3"/>
  <c r="AM1561" i="3"/>
  <c r="AB1562" i="3"/>
  <c r="AC1562" i="3"/>
  <c r="AL1562" i="3"/>
  <c r="AM1562" i="3"/>
  <c r="AB1563" i="3"/>
  <c r="AC1563" i="3"/>
  <c r="AL1563" i="3"/>
  <c r="AM1563" i="3"/>
  <c r="AB1564" i="3"/>
  <c r="AC1564" i="3"/>
  <c r="AL1564" i="3"/>
  <c r="AM1564" i="3"/>
  <c r="AB1565" i="3"/>
  <c r="AC1565" i="3"/>
  <c r="AL1565" i="3"/>
  <c r="AM1565" i="3"/>
  <c r="AB1567" i="3"/>
  <c r="AC1567" i="3"/>
  <c r="AL1567" i="3"/>
  <c r="AM1567" i="3"/>
  <c r="AB1568" i="3"/>
  <c r="AC1568" i="3"/>
  <c r="AL1568" i="3"/>
  <c r="AM1568" i="3"/>
  <c r="AB1569" i="3"/>
  <c r="AC1569" i="3"/>
  <c r="AL1569" i="3"/>
  <c r="AM1569" i="3"/>
  <c r="AB1570" i="3"/>
  <c r="AC1570" i="3"/>
  <c r="AL1570" i="3"/>
  <c r="AM1570" i="3"/>
  <c r="AB1571" i="3"/>
  <c r="AC1571" i="3"/>
  <c r="AL1571" i="3"/>
  <c r="AM1571" i="3"/>
  <c r="AB1572" i="3"/>
  <c r="AC1572" i="3"/>
  <c r="AL1572" i="3"/>
  <c r="AM1572" i="3"/>
  <c r="AB1573" i="3"/>
  <c r="AC1573" i="3"/>
  <c r="AL1573" i="3"/>
  <c r="AM1573" i="3"/>
  <c r="AB1574" i="3"/>
  <c r="AC1574" i="3"/>
  <c r="AL1574" i="3"/>
  <c r="AM1574" i="3"/>
  <c r="AB1575" i="3"/>
  <c r="AC1575" i="3"/>
  <c r="AL1575" i="3"/>
  <c r="AM1575" i="3"/>
  <c r="AB1576" i="3"/>
  <c r="AC1576" i="3"/>
  <c r="AL1576" i="3"/>
  <c r="AM1576" i="3"/>
  <c r="AB1577" i="3"/>
  <c r="AC1577" i="3"/>
  <c r="AL1577" i="3"/>
  <c r="AM1577" i="3"/>
  <c r="AB1579" i="3"/>
  <c r="AC1579" i="3"/>
  <c r="AL1579" i="3"/>
  <c r="AM1579" i="3"/>
  <c r="AB1580" i="3"/>
  <c r="AC1580" i="3"/>
  <c r="AL1580" i="3"/>
  <c r="AM1580" i="3"/>
  <c r="AB1581" i="3"/>
  <c r="AC1581" i="3"/>
  <c r="AL1581" i="3"/>
  <c r="AM1581" i="3"/>
  <c r="AB1582" i="3"/>
  <c r="AC1582" i="3"/>
  <c r="AL1582" i="3"/>
  <c r="AM1582" i="3"/>
  <c r="AB1583" i="3"/>
  <c r="AC1583" i="3"/>
  <c r="AL1583" i="3"/>
  <c r="AM1583" i="3"/>
  <c r="AB1584" i="3"/>
  <c r="AC1584" i="3"/>
  <c r="AL1584" i="3"/>
  <c r="AM1584" i="3"/>
  <c r="AB1585" i="3"/>
  <c r="AC1585" i="3"/>
  <c r="AL1585" i="3"/>
  <c r="AM1585" i="3"/>
  <c r="AB1586" i="3"/>
  <c r="AC1586" i="3"/>
  <c r="AL1586" i="3"/>
  <c r="AM1586" i="3"/>
  <c r="AB1587" i="3"/>
  <c r="AC1587" i="3"/>
  <c r="AL1587" i="3"/>
  <c r="AM1587" i="3"/>
  <c r="AB1588" i="3"/>
  <c r="AC1588" i="3"/>
  <c r="AL1588" i="3"/>
  <c r="AM1588" i="3"/>
  <c r="AB1589" i="3"/>
  <c r="AC1589" i="3"/>
  <c r="AL1589" i="3"/>
  <c r="AM1589" i="3"/>
  <c r="AB1591" i="3"/>
  <c r="AC1591" i="3"/>
  <c r="AL1591" i="3"/>
  <c r="AM1591" i="3"/>
  <c r="AB1592" i="3"/>
  <c r="AC1592" i="3"/>
  <c r="AL1592" i="3"/>
  <c r="AM1592" i="3"/>
  <c r="AB1593" i="3"/>
  <c r="AC1593" i="3"/>
  <c r="AL1593" i="3"/>
  <c r="AM1593" i="3"/>
  <c r="AB1594" i="3"/>
  <c r="AC1594" i="3"/>
  <c r="AL1594" i="3"/>
  <c r="AM1594" i="3"/>
  <c r="AB1595" i="3"/>
  <c r="AC1595" i="3"/>
  <c r="AL1595" i="3"/>
  <c r="AM1595" i="3"/>
  <c r="AB1596" i="3"/>
  <c r="AC1596" i="3"/>
  <c r="AL1596" i="3"/>
  <c r="AM1596" i="3"/>
  <c r="AB1597" i="3"/>
  <c r="AC1597" i="3"/>
  <c r="AL1597" i="3"/>
  <c r="AM1597" i="3"/>
  <c r="AB1598" i="3"/>
  <c r="AC1598" i="3"/>
  <c r="AL1598" i="3"/>
  <c r="AM1598" i="3"/>
  <c r="AB1599" i="3"/>
  <c r="AC1599" i="3"/>
  <c r="AL1599" i="3"/>
  <c r="AM1599" i="3"/>
  <c r="AB1600" i="3"/>
  <c r="AC1600" i="3"/>
  <c r="AL1600" i="3"/>
  <c r="AM1600" i="3"/>
  <c r="AB1601" i="3"/>
  <c r="AC1601" i="3"/>
  <c r="AL1601" i="3"/>
  <c r="AM1601" i="3"/>
  <c r="AB1603" i="3"/>
  <c r="AC1603" i="3"/>
  <c r="AL1603" i="3"/>
  <c r="AM1603" i="3"/>
  <c r="AB1604" i="3"/>
  <c r="AC1604" i="3"/>
  <c r="AL1604" i="3"/>
  <c r="AM1604" i="3"/>
  <c r="AB1605" i="3"/>
  <c r="AC1605" i="3"/>
  <c r="AL1605" i="3"/>
  <c r="AM1605" i="3"/>
  <c r="AB1606" i="3"/>
  <c r="AC1606" i="3"/>
  <c r="AL1606" i="3"/>
  <c r="AM1606" i="3"/>
  <c r="AB1607" i="3"/>
  <c r="AC1607" i="3"/>
  <c r="AL1607" i="3"/>
  <c r="AM1607" i="3"/>
  <c r="AB1608" i="3"/>
  <c r="AC1608" i="3"/>
  <c r="AL1608" i="3"/>
  <c r="AM1608" i="3"/>
  <c r="AB1609" i="3"/>
  <c r="AC1609" i="3"/>
  <c r="AL1609" i="3"/>
  <c r="AM1609" i="3"/>
  <c r="AB1610" i="3"/>
  <c r="AC1610" i="3"/>
  <c r="AL1610" i="3"/>
  <c r="AM1610" i="3"/>
  <c r="AB1611" i="3"/>
  <c r="AC1611" i="3"/>
  <c r="AL1611" i="3"/>
  <c r="AM1611" i="3"/>
  <c r="AB1612" i="3"/>
  <c r="AC1612" i="3"/>
  <c r="AL1612" i="3"/>
  <c r="AM1612" i="3"/>
  <c r="AB1613" i="3"/>
  <c r="AC1613" i="3"/>
  <c r="AL1613" i="3"/>
  <c r="AM1613" i="3"/>
  <c r="AB1616" i="3"/>
  <c r="AC1616" i="3"/>
  <c r="AL1616" i="3"/>
  <c r="AM1616" i="3"/>
  <c r="AB1617" i="3"/>
  <c r="AC1617" i="3"/>
  <c r="AL1617" i="3"/>
  <c r="AM1617" i="3"/>
  <c r="AB1618" i="3"/>
  <c r="AC1618" i="3"/>
  <c r="AL1618" i="3"/>
  <c r="AM1618" i="3"/>
  <c r="AB1619" i="3"/>
  <c r="AC1619" i="3"/>
  <c r="AL1619" i="3"/>
  <c r="AM1619" i="3"/>
  <c r="AB1620" i="3"/>
  <c r="AC1620" i="3"/>
  <c r="AL1620" i="3"/>
  <c r="AM1620" i="3"/>
  <c r="AB1621" i="3"/>
  <c r="AC1621" i="3"/>
  <c r="AL1621" i="3"/>
  <c r="AM1621" i="3"/>
  <c r="AB1623" i="3"/>
  <c r="AC1623" i="3"/>
  <c r="AL1623" i="3"/>
  <c r="AM1623" i="3"/>
  <c r="AB1624" i="3"/>
  <c r="AC1624" i="3"/>
  <c r="AL1624" i="3"/>
  <c r="AM1624" i="3"/>
  <c r="AB1625" i="3"/>
  <c r="AC1625" i="3"/>
  <c r="AL1625" i="3"/>
  <c r="AM1625" i="3"/>
  <c r="AB1626" i="3"/>
  <c r="AC1626" i="3"/>
  <c r="AL1626" i="3"/>
  <c r="AM1626" i="3"/>
  <c r="AB1627" i="3"/>
  <c r="AC1627" i="3"/>
  <c r="AL1627" i="3"/>
  <c r="AM1627" i="3"/>
  <c r="AB1628" i="3"/>
  <c r="AC1628" i="3"/>
  <c r="AL1628" i="3"/>
  <c r="AM1628" i="3"/>
  <c r="AB1629" i="3"/>
  <c r="AC1629" i="3"/>
  <c r="AL1629" i="3"/>
  <c r="AM1629" i="3"/>
  <c r="AB1630" i="3"/>
  <c r="AC1630" i="3"/>
  <c r="AL1630" i="3"/>
  <c r="AM1630" i="3"/>
  <c r="AB1632" i="3"/>
  <c r="AC1632" i="3"/>
  <c r="AL1632" i="3"/>
  <c r="AM1632" i="3"/>
  <c r="AB1633" i="3"/>
  <c r="AC1633" i="3"/>
  <c r="AL1633" i="3"/>
  <c r="AM1633" i="3"/>
  <c r="AB1634" i="3"/>
  <c r="AC1634" i="3"/>
  <c r="AL1634" i="3"/>
  <c r="AM1634" i="3"/>
  <c r="AB1635" i="3"/>
  <c r="AC1635" i="3"/>
  <c r="AL1635" i="3"/>
  <c r="AM1635" i="3"/>
  <c r="AB1636" i="3"/>
  <c r="AC1636" i="3"/>
  <c r="AL1636" i="3"/>
  <c r="AM1636" i="3"/>
  <c r="AB1637" i="3"/>
  <c r="AC1637" i="3"/>
  <c r="AL1637" i="3"/>
  <c r="AM1637" i="3"/>
  <c r="AB1639" i="3"/>
  <c r="AC1639" i="3"/>
  <c r="AL1639" i="3"/>
  <c r="AM1639" i="3"/>
  <c r="AB1640" i="3"/>
  <c r="AC1640" i="3"/>
  <c r="AL1640" i="3"/>
  <c r="AM1640" i="3"/>
  <c r="AB1641" i="3"/>
  <c r="AC1641" i="3"/>
  <c r="AL1641" i="3"/>
  <c r="AM1641" i="3"/>
  <c r="AB1642" i="3"/>
  <c r="AC1642" i="3"/>
  <c r="AL1642" i="3"/>
  <c r="AM1642" i="3"/>
  <c r="AB1643" i="3"/>
  <c r="AC1643" i="3"/>
  <c r="AL1643" i="3"/>
  <c r="AM1643" i="3"/>
  <c r="AB1644" i="3"/>
  <c r="AC1644" i="3"/>
  <c r="AL1644" i="3"/>
  <c r="AM1644" i="3"/>
  <c r="AB1645" i="3"/>
  <c r="AC1645" i="3"/>
  <c r="AL1645" i="3"/>
  <c r="AM1645" i="3"/>
  <c r="AB1646" i="3"/>
  <c r="AC1646" i="3"/>
  <c r="AL1646" i="3"/>
  <c r="AM1646" i="3"/>
  <c r="AB1647" i="3"/>
  <c r="AC1647" i="3"/>
  <c r="AL1647" i="3"/>
  <c r="AM1647" i="3"/>
  <c r="AB1648" i="3"/>
  <c r="AC1648" i="3"/>
  <c r="AL1648" i="3"/>
  <c r="AM1648" i="3"/>
  <c r="AB1649" i="3"/>
  <c r="AC1649" i="3"/>
  <c r="AL1649" i="3"/>
  <c r="AM1649" i="3"/>
  <c r="AB1651" i="3"/>
  <c r="AC1651" i="3"/>
  <c r="AL1651" i="3"/>
  <c r="AM1651" i="3"/>
  <c r="AB1652" i="3"/>
  <c r="AC1652" i="3"/>
  <c r="AL1652" i="3"/>
  <c r="AM1652" i="3"/>
  <c r="AB1653" i="3"/>
  <c r="AC1653" i="3"/>
  <c r="AL1653" i="3"/>
  <c r="AM1653" i="3"/>
  <c r="AB1654" i="3"/>
  <c r="AC1654" i="3"/>
  <c r="AL1654" i="3"/>
  <c r="AM1654" i="3"/>
  <c r="AB1656" i="3"/>
  <c r="AC1656" i="3"/>
  <c r="AL1656" i="3"/>
  <c r="AM1656" i="3"/>
  <c r="AB1657" i="3"/>
  <c r="AC1657" i="3"/>
  <c r="AL1657" i="3"/>
  <c r="AM1657" i="3"/>
  <c r="AB1658" i="3"/>
  <c r="AC1658" i="3"/>
  <c r="AL1658" i="3"/>
  <c r="AM1658" i="3"/>
  <c r="AB1659" i="3"/>
  <c r="AC1659" i="3"/>
  <c r="AL1659" i="3"/>
  <c r="AM1659" i="3"/>
  <c r="AB1661" i="3"/>
  <c r="AC1661" i="3"/>
  <c r="AL1661" i="3"/>
  <c r="AM1661" i="3"/>
  <c r="AB1662" i="3"/>
  <c r="AC1662" i="3"/>
  <c r="AL1662" i="3"/>
  <c r="AM1662" i="3"/>
  <c r="AB1663" i="3"/>
  <c r="AC1663" i="3"/>
  <c r="AL1663" i="3"/>
  <c r="AM1663" i="3"/>
  <c r="AB1664" i="3"/>
  <c r="AC1664" i="3"/>
  <c r="AL1664" i="3"/>
  <c r="AM1664" i="3"/>
  <c r="AB1665" i="3"/>
  <c r="AC1665" i="3"/>
  <c r="AL1665" i="3"/>
  <c r="AM1665" i="3"/>
  <c r="AB1666" i="3"/>
  <c r="AC1666" i="3"/>
  <c r="AL1666" i="3"/>
  <c r="AM1666" i="3"/>
  <c r="AB1667" i="3"/>
  <c r="AC1667" i="3"/>
  <c r="AL1667" i="3"/>
  <c r="AM1667" i="3"/>
  <c r="AB1668" i="3"/>
  <c r="AC1668" i="3"/>
  <c r="AL1668" i="3"/>
  <c r="AM1668" i="3"/>
  <c r="AB1669" i="3"/>
  <c r="AC1669" i="3"/>
  <c r="AL1669" i="3"/>
  <c r="AM1669" i="3"/>
  <c r="AB1670" i="3"/>
  <c r="AC1670" i="3"/>
  <c r="AL1670" i="3"/>
  <c r="AM1670" i="3"/>
  <c r="AB1671" i="3"/>
  <c r="AC1671" i="3"/>
  <c r="AL1671" i="3"/>
  <c r="AM1671" i="3"/>
  <c r="AB1672" i="3"/>
  <c r="AC1672" i="3"/>
  <c r="AL1672" i="3"/>
  <c r="AM1672" i="3"/>
  <c r="AB1673" i="3"/>
  <c r="AC1673" i="3"/>
  <c r="AL1673" i="3"/>
  <c r="AM1673" i="3"/>
  <c r="AB1676" i="3"/>
  <c r="AC1676" i="3"/>
  <c r="AL1676" i="3"/>
  <c r="AM1676" i="3"/>
  <c r="AB1677" i="3"/>
  <c r="AC1677" i="3"/>
  <c r="AL1677" i="3"/>
  <c r="AM1677" i="3"/>
  <c r="AB1678" i="3"/>
  <c r="AC1678" i="3"/>
  <c r="AL1678" i="3"/>
  <c r="AM1678" i="3"/>
  <c r="AB1679" i="3"/>
  <c r="AC1679" i="3"/>
  <c r="AL1679" i="3"/>
  <c r="AM1679" i="3"/>
  <c r="AB1680" i="3"/>
  <c r="AC1680" i="3"/>
  <c r="AL1680" i="3"/>
  <c r="AM1680" i="3"/>
  <c r="AB1681" i="3"/>
  <c r="AC1681" i="3"/>
  <c r="AL1681" i="3"/>
  <c r="AM1681" i="3"/>
  <c r="AB1682" i="3"/>
  <c r="AC1682" i="3"/>
  <c r="AL1682" i="3"/>
  <c r="AM1682" i="3"/>
  <c r="AB1683" i="3"/>
  <c r="AC1683" i="3"/>
  <c r="AL1683" i="3"/>
  <c r="AM1683" i="3"/>
  <c r="AB1684" i="3"/>
  <c r="AC1684" i="3"/>
  <c r="AL1684" i="3"/>
  <c r="AM1684" i="3"/>
  <c r="AB1685" i="3"/>
  <c r="AC1685" i="3"/>
  <c r="AL1685" i="3"/>
  <c r="AM1685" i="3"/>
  <c r="AB1686" i="3"/>
  <c r="AC1686" i="3"/>
  <c r="AL1686" i="3"/>
  <c r="AM1686" i="3"/>
  <c r="AB1687" i="3"/>
  <c r="AC1687" i="3"/>
  <c r="AL1687" i="3"/>
  <c r="AM1687" i="3"/>
  <c r="AB1688" i="3"/>
  <c r="AC1688" i="3"/>
  <c r="AL1688" i="3"/>
  <c r="AM1688" i="3"/>
  <c r="AB1689" i="3"/>
  <c r="AC1689" i="3"/>
  <c r="AL1689" i="3"/>
  <c r="AM1689" i="3"/>
  <c r="AB1691" i="3"/>
  <c r="AC1691" i="3"/>
  <c r="AL1691" i="3"/>
  <c r="AM1691" i="3"/>
  <c r="AB1692" i="3"/>
  <c r="AC1692" i="3"/>
  <c r="AL1692" i="3"/>
  <c r="AM1692" i="3"/>
  <c r="AB1693" i="3"/>
  <c r="AC1693" i="3"/>
  <c r="AL1693" i="3"/>
  <c r="AM1693" i="3"/>
  <c r="AB1694" i="3"/>
  <c r="AC1694" i="3"/>
  <c r="AL1694" i="3"/>
  <c r="AM1694" i="3"/>
  <c r="AB1697" i="3"/>
  <c r="AC1697" i="3"/>
  <c r="AL1697" i="3"/>
  <c r="AM1697" i="3"/>
  <c r="AB1698" i="3"/>
  <c r="AC1698" i="3"/>
  <c r="AL1698" i="3"/>
  <c r="AM1698" i="3"/>
  <c r="AB1699" i="3"/>
  <c r="AC1699" i="3"/>
  <c r="AL1699" i="3"/>
  <c r="AM1699" i="3"/>
  <c r="AB1700" i="3"/>
  <c r="AC1700" i="3"/>
  <c r="AL1700" i="3"/>
  <c r="AM1700" i="3"/>
  <c r="AB1701" i="3"/>
  <c r="AC1701" i="3"/>
  <c r="AL1701" i="3"/>
  <c r="AM1701" i="3"/>
  <c r="AB1702" i="3"/>
  <c r="AC1702" i="3"/>
  <c r="AL1702" i="3"/>
  <c r="AM1702" i="3"/>
  <c r="AB1703" i="3"/>
  <c r="AC1703" i="3"/>
  <c r="AL1703" i="3"/>
  <c r="AM1703" i="3"/>
  <c r="AB1704" i="3"/>
  <c r="AC1704" i="3"/>
  <c r="AL1704" i="3"/>
  <c r="AM1704" i="3"/>
  <c r="AB1705" i="3"/>
  <c r="AC1705" i="3"/>
  <c r="AL1705" i="3"/>
  <c r="AM1705" i="3"/>
  <c r="AB1706" i="3"/>
  <c r="AC1706" i="3"/>
  <c r="AB1708" i="3"/>
  <c r="AC1708" i="3"/>
  <c r="AL1708" i="3"/>
  <c r="AM1708" i="3"/>
  <c r="AB1709" i="3"/>
  <c r="AC1709" i="3"/>
  <c r="AL1709" i="3"/>
  <c r="AM1709" i="3"/>
  <c r="AB1710" i="3"/>
  <c r="AC1710" i="3"/>
  <c r="AL1710" i="3"/>
  <c r="AM1710" i="3"/>
  <c r="AB1711" i="3"/>
  <c r="AC1711" i="3"/>
  <c r="AL1711" i="3"/>
  <c r="AM1711" i="3"/>
  <c r="AB1712" i="3"/>
  <c r="AC1712" i="3"/>
  <c r="AL1712" i="3"/>
  <c r="AM1712" i="3"/>
  <c r="AB1713" i="3"/>
  <c r="AC1713" i="3"/>
  <c r="AL1713" i="3"/>
  <c r="AM1713" i="3"/>
  <c r="AB1714" i="3"/>
  <c r="AC1714" i="3"/>
  <c r="AL1714" i="3"/>
  <c r="AM1714" i="3"/>
  <c r="AB1715" i="3"/>
  <c r="AC1715" i="3"/>
  <c r="AL1715" i="3"/>
  <c r="AM1715" i="3"/>
  <c r="AB1716" i="3"/>
  <c r="AC1716" i="3"/>
  <c r="AL1716" i="3"/>
  <c r="AM1716" i="3"/>
  <c r="AB1718" i="3"/>
  <c r="AC1718" i="3"/>
  <c r="AL1718" i="3"/>
  <c r="AM1718" i="3"/>
  <c r="AB1719" i="3"/>
  <c r="AC1719" i="3"/>
  <c r="AL1719" i="3"/>
  <c r="AM1719" i="3"/>
  <c r="AB1720" i="3"/>
  <c r="AC1720" i="3"/>
  <c r="AL1720" i="3"/>
  <c r="AM1720" i="3"/>
  <c r="AB1721" i="3"/>
  <c r="AC1721" i="3"/>
  <c r="AL1721" i="3"/>
  <c r="AM1721" i="3"/>
  <c r="AB1722" i="3"/>
  <c r="AC1722" i="3"/>
  <c r="AL1722" i="3"/>
  <c r="AM1722" i="3"/>
  <c r="AB1723" i="3"/>
  <c r="AC1723" i="3"/>
  <c r="AL1723" i="3"/>
  <c r="AM1723" i="3"/>
  <c r="AB1724" i="3"/>
  <c r="AC1724" i="3"/>
  <c r="AL1724" i="3"/>
  <c r="AM1724" i="3"/>
  <c r="AB1725" i="3"/>
  <c r="AC1725" i="3"/>
  <c r="AL1725" i="3"/>
  <c r="AM1725" i="3"/>
  <c r="AB1726" i="3"/>
  <c r="AC1726" i="3"/>
  <c r="AL1726" i="3"/>
  <c r="AM1726" i="3"/>
  <c r="AB1727" i="3"/>
  <c r="AC1727" i="3"/>
  <c r="AL1727" i="3"/>
  <c r="AM1727" i="3"/>
  <c r="AB1728" i="3"/>
  <c r="AC1728" i="3"/>
  <c r="AL1728" i="3"/>
  <c r="AM1728" i="3"/>
  <c r="AB1730" i="3"/>
  <c r="AC1730" i="3"/>
  <c r="AL1730" i="3"/>
  <c r="AM1730" i="3"/>
  <c r="AB1732" i="3"/>
  <c r="AC1732" i="3"/>
  <c r="AL1732" i="3"/>
  <c r="AM1732" i="3"/>
  <c r="AB1733" i="3"/>
  <c r="AC1733" i="3"/>
  <c r="AL1733" i="3"/>
  <c r="AM1733" i="3"/>
  <c r="AB1734" i="3"/>
  <c r="AC1734" i="3"/>
  <c r="AL1734" i="3"/>
  <c r="AM1734" i="3"/>
  <c r="AB1735" i="3"/>
  <c r="AC1735" i="3"/>
  <c r="AL1735" i="3"/>
  <c r="AM1735" i="3"/>
  <c r="AB1736" i="3"/>
  <c r="AC1736" i="3"/>
  <c r="AL1736" i="3"/>
  <c r="AM1736" i="3"/>
  <c r="AB1737" i="3"/>
  <c r="AC1737" i="3"/>
  <c r="AL1737" i="3"/>
  <c r="AM1737" i="3"/>
  <c r="AB1738" i="3"/>
  <c r="AC1738" i="3"/>
  <c r="AL1738" i="3"/>
  <c r="AM1738" i="3"/>
  <c r="AB1739" i="3"/>
  <c r="AC1739" i="3"/>
  <c r="AL1739" i="3"/>
  <c r="AM1739" i="3"/>
  <c r="AC1740" i="3"/>
  <c r="AL1740" i="3"/>
  <c r="AM1740" i="3"/>
  <c r="AB271" i="3"/>
  <c r="AC271" i="3"/>
  <c r="AL271" i="3"/>
  <c r="AN271" i="3" s="1"/>
  <c r="AB1368" i="3"/>
  <c r="AC1368" i="3"/>
  <c r="AL1368" i="3"/>
  <c r="AM1368" i="3"/>
  <c r="AB1382" i="3"/>
  <c r="AC1382" i="3"/>
  <c r="AL1382" i="3"/>
  <c r="AM1382" i="3"/>
  <c r="AB1394" i="3"/>
  <c r="AC1394" i="3"/>
  <c r="AL1394" i="3"/>
  <c r="AM1394" i="3"/>
  <c r="AB1402" i="3"/>
  <c r="AC1402" i="3"/>
  <c r="AL1402" i="3"/>
  <c r="AM1402" i="3"/>
  <c r="AB1416" i="3"/>
  <c r="AC1416" i="3"/>
  <c r="AL1416" i="3"/>
  <c r="AM1416" i="3"/>
  <c r="AB1431" i="3"/>
  <c r="AC1431" i="3"/>
  <c r="AL1431" i="3"/>
  <c r="AM1431" i="3"/>
  <c r="AB1451" i="3"/>
  <c r="AC1451" i="3"/>
  <c r="AL1451" i="3"/>
  <c r="AM1451" i="3"/>
  <c r="AB1459" i="3"/>
  <c r="AC1459" i="3"/>
  <c r="AL1459" i="3"/>
  <c r="AM1459" i="3"/>
  <c r="AB1469" i="3"/>
  <c r="AC1469" i="3"/>
  <c r="AL1469" i="3"/>
  <c r="AM1469" i="3"/>
  <c r="AB1483" i="3"/>
  <c r="AC1483" i="3"/>
  <c r="AL1483" i="3"/>
  <c r="AM1483" i="3"/>
  <c r="AB1484" i="3"/>
  <c r="AC1484" i="3"/>
  <c r="AL1484" i="3"/>
  <c r="AM1484" i="3"/>
  <c r="AB1507" i="3"/>
  <c r="AC1507" i="3"/>
  <c r="AL1507" i="3"/>
  <c r="AM1507" i="3"/>
  <c r="AB1508" i="3"/>
  <c r="AC1508" i="3"/>
  <c r="AL1508" i="3"/>
  <c r="AM1508" i="3"/>
  <c r="AB1524" i="3"/>
  <c r="AC1524" i="3"/>
  <c r="AL1524" i="3"/>
  <c r="AM1524" i="3"/>
  <c r="AB1542" i="3"/>
  <c r="AC1542" i="3"/>
  <c r="AL1542" i="3"/>
  <c r="AM1542" i="3"/>
  <c r="AB1553" i="3"/>
  <c r="AC1553" i="3"/>
  <c r="AL1553" i="3"/>
  <c r="AM1553" i="3"/>
  <c r="AB1566" i="3"/>
  <c r="AC1566" i="3"/>
  <c r="AL1566" i="3"/>
  <c r="AM1566" i="3"/>
  <c r="AB1578" i="3"/>
  <c r="AC1578" i="3"/>
  <c r="AL1578" i="3"/>
  <c r="AM1578" i="3"/>
  <c r="AB1590" i="3"/>
  <c r="AC1590" i="3"/>
  <c r="AL1590" i="3"/>
  <c r="AM1590" i="3"/>
  <c r="AB1602" i="3"/>
  <c r="AC1602" i="3"/>
  <c r="AL1602" i="3"/>
  <c r="AM1602" i="3"/>
  <c r="AB1614" i="3"/>
  <c r="AC1614" i="3"/>
  <c r="AL1614" i="3"/>
  <c r="AM1614" i="3"/>
  <c r="AB1615" i="3"/>
  <c r="AC1615" i="3"/>
  <c r="AL1615" i="3"/>
  <c r="AM1615" i="3"/>
  <c r="AB1622" i="3"/>
  <c r="AC1622" i="3"/>
  <c r="AL1622" i="3"/>
  <c r="AM1622" i="3"/>
  <c r="AB1631" i="3"/>
  <c r="AC1631" i="3"/>
  <c r="AL1631" i="3"/>
  <c r="AM1631" i="3"/>
  <c r="AB1638" i="3"/>
  <c r="AC1638" i="3"/>
  <c r="AL1638" i="3"/>
  <c r="AM1638" i="3"/>
  <c r="AB1650" i="3"/>
  <c r="AC1650" i="3"/>
  <c r="AL1650" i="3"/>
  <c r="AM1650" i="3"/>
  <c r="AB1674" i="3"/>
  <c r="AC1674" i="3"/>
  <c r="AL1674" i="3"/>
  <c r="AM1674" i="3"/>
  <c r="AB1675" i="3"/>
  <c r="AC1675" i="3"/>
  <c r="AL1675" i="3"/>
  <c r="AM1675" i="3"/>
  <c r="AB1690" i="3"/>
  <c r="AC1690" i="3"/>
  <c r="AL1690" i="3"/>
  <c r="AM1690" i="3"/>
  <c r="AB1695" i="3"/>
  <c r="AC1695" i="3"/>
  <c r="AL1695" i="3"/>
  <c r="AM1695" i="3"/>
  <c r="AB1696" i="3"/>
  <c r="AC1696" i="3"/>
  <c r="AL1696" i="3"/>
  <c r="AM1696" i="3"/>
  <c r="AB1707" i="3"/>
  <c r="AC1707" i="3"/>
  <c r="AL1707" i="3"/>
  <c r="AM1707" i="3"/>
  <c r="AB1717" i="3"/>
  <c r="AC1717" i="3"/>
  <c r="AL1717" i="3"/>
  <c r="AM1717" i="3"/>
  <c r="AB1731" i="3"/>
  <c r="AC1731" i="3"/>
  <c r="AL1731" i="3"/>
  <c r="AM1731" i="3"/>
  <c r="AN284" i="3" l="1"/>
  <c r="AN283" i="3"/>
  <c r="AN282" i="3"/>
  <c r="AN303" i="3"/>
  <c r="AB295" i="3"/>
  <c r="AN289" i="3"/>
  <c r="AN288" i="3"/>
  <c r="AN291" i="3"/>
  <c r="AN290" i="3"/>
  <c r="AN294" i="3"/>
  <c r="AN292" i="3"/>
  <c r="AN299" i="3"/>
  <c r="AN1282" i="3"/>
  <c r="AN293" i="3"/>
  <c r="AN295" i="3"/>
  <c r="AN296" i="3"/>
  <c r="AN830" i="3"/>
  <c r="AN301" i="3"/>
  <c r="AN298" i="3"/>
  <c r="AN297" i="3"/>
  <c r="AN1244" i="3"/>
  <c r="AN387" i="3"/>
  <c r="AN1419" i="3"/>
  <c r="AN1172" i="3"/>
  <c r="AN481" i="3"/>
  <c r="AN585" i="3"/>
  <c r="AN1416" i="3"/>
  <c r="AN1004" i="3"/>
  <c r="AN1605" i="3"/>
  <c r="AN1581" i="3"/>
  <c r="AN1505" i="3"/>
  <c r="AN377" i="3"/>
  <c r="AN1477" i="3"/>
  <c r="AN1440" i="3"/>
  <c r="AN300" i="3"/>
  <c r="AN1566" i="3"/>
  <c r="AN1672" i="3"/>
  <c r="AN1635" i="3"/>
  <c r="AN1623" i="3"/>
  <c r="AN953" i="3"/>
  <c r="AN920" i="3"/>
  <c r="AN887" i="3"/>
  <c r="AN1736" i="3"/>
  <c r="AN1479" i="3"/>
  <c r="AN985" i="3"/>
  <c r="AN593" i="3"/>
  <c r="AN466" i="3"/>
  <c r="AN1192" i="3"/>
  <c r="AN452" i="3"/>
  <c r="AN1424" i="3"/>
  <c r="AN318" i="3"/>
  <c r="AN780" i="3"/>
  <c r="AN496" i="3"/>
  <c r="AN667" i="3"/>
  <c r="AN598" i="3"/>
  <c r="AN490" i="3"/>
  <c r="AN1552" i="3"/>
  <c r="AN412" i="3"/>
  <c r="AN1021" i="3"/>
  <c r="AN1103" i="3"/>
  <c r="AN1645" i="3"/>
  <c r="AN1610" i="3"/>
  <c r="AN1595" i="3"/>
  <c r="AN784" i="3"/>
  <c r="AN685" i="3"/>
  <c r="AN674" i="3"/>
  <c r="AN1604" i="3"/>
  <c r="AN1266" i="3"/>
  <c r="AN1214" i="3"/>
  <c r="AN1117" i="3"/>
  <c r="AN1410" i="3"/>
  <c r="AN1329" i="3"/>
  <c r="AN841" i="3"/>
  <c r="AN822" i="3"/>
  <c r="AN811" i="3"/>
  <c r="AN439" i="3"/>
  <c r="AN1541" i="3"/>
  <c r="AN1488" i="3"/>
  <c r="AN810" i="3"/>
  <c r="AN485" i="3"/>
  <c r="AN1523" i="3"/>
  <c r="AN892" i="3"/>
  <c r="AN1739" i="3"/>
  <c r="AN861" i="3"/>
  <c r="AN1562" i="3"/>
  <c r="AN1667" i="3"/>
  <c r="AN1726" i="3"/>
  <c r="AN1506" i="3"/>
  <c r="AN1315" i="3"/>
  <c r="AN1184" i="3"/>
  <c r="AN1129" i="3"/>
  <c r="AN836" i="3"/>
  <c r="AN806" i="3"/>
  <c r="AN497" i="3"/>
  <c r="AN379" i="3"/>
  <c r="AN853" i="3"/>
  <c r="AN1588" i="3"/>
  <c r="AN1712" i="3"/>
  <c r="AN494" i="3"/>
  <c r="AN312" i="3"/>
  <c r="AN900" i="3"/>
  <c r="AN1052" i="3"/>
  <c r="AN488" i="3"/>
  <c r="AN450" i="3"/>
  <c r="AN1125" i="3"/>
  <c r="AN355" i="3"/>
  <c r="AN1629" i="3"/>
  <c r="AN1617" i="3"/>
  <c r="AN1019" i="3"/>
  <c r="AN762" i="3"/>
  <c r="AN503" i="3"/>
  <c r="AN422" i="3"/>
  <c r="AN306" i="3"/>
  <c r="AN1571" i="3"/>
  <c r="AN1520" i="3"/>
  <c r="AN1338" i="3"/>
  <c r="AN797" i="3"/>
  <c r="AN615" i="3"/>
  <c r="AN604" i="3"/>
  <c r="AN1707" i="3"/>
  <c r="AN1382" i="3"/>
  <c r="AN1310" i="3"/>
  <c r="AN1018" i="3"/>
  <c r="AN966" i="3"/>
  <c r="AN911" i="3"/>
  <c r="AN876" i="3"/>
  <c r="AN846" i="3"/>
  <c r="AN775" i="3"/>
  <c r="AN729" i="3"/>
  <c r="AN698" i="3"/>
  <c r="AN582" i="3"/>
  <c r="AN402" i="3"/>
  <c r="AN802" i="3"/>
  <c r="AN606" i="3"/>
  <c r="AN347" i="3"/>
  <c r="AN324" i="3"/>
  <c r="AN1573" i="3"/>
  <c r="AN432" i="3"/>
  <c r="AN499" i="3"/>
  <c r="AN1649" i="3"/>
  <c r="AN1719" i="3"/>
  <c r="AN943" i="3"/>
  <c r="AN815" i="3"/>
  <c r="AN744" i="3"/>
  <c r="AN731" i="3"/>
  <c r="AN720" i="3"/>
  <c r="AN700" i="3"/>
  <c r="AN562" i="3"/>
  <c r="AN442" i="3"/>
  <c r="AN1276" i="3"/>
  <c r="AN651" i="3"/>
  <c r="AN501" i="3"/>
  <c r="AN474" i="3"/>
  <c r="AN1708" i="3"/>
  <c r="AN1070" i="3"/>
  <c r="AN1010" i="3"/>
  <c r="AN1542" i="3"/>
  <c r="AN1692" i="3"/>
  <c r="AN1681" i="3"/>
  <c r="AN1546" i="3"/>
  <c r="AN1533" i="3"/>
  <c r="AN1305" i="3"/>
  <c r="AN1223" i="3"/>
  <c r="AN1207" i="3"/>
  <c r="AN697" i="3"/>
  <c r="AN657" i="3"/>
  <c r="AN565" i="3"/>
  <c r="AN364" i="3"/>
  <c r="AN328" i="3"/>
  <c r="AN1507" i="3"/>
  <c r="AN1585" i="3"/>
  <c r="AN1460" i="3"/>
  <c r="AN1434" i="3"/>
  <c r="AN1261" i="3"/>
  <c r="AN1231" i="3"/>
  <c r="AN1024" i="3"/>
  <c r="AN573" i="3"/>
  <c r="AN429" i="3"/>
  <c r="AN507" i="3"/>
  <c r="AN626" i="3"/>
  <c r="AN618" i="3"/>
  <c r="AN898" i="3"/>
  <c r="AN1727" i="3"/>
  <c r="AN1474" i="3"/>
  <c r="AN1674" i="3"/>
  <c r="AN1093" i="3"/>
  <c r="AN552" i="3"/>
  <c r="AN1715" i="3"/>
  <c r="AN523" i="3"/>
  <c r="AN1590" i="3"/>
  <c r="AN1181" i="3"/>
  <c r="AN1086" i="3"/>
  <c r="AN1317" i="3"/>
  <c r="AN1265" i="3"/>
  <c r="AN1254" i="3"/>
  <c r="AN742" i="3"/>
  <c r="AN419" i="3"/>
  <c r="AN518" i="3"/>
  <c r="AN1348" i="3"/>
  <c r="AN1195" i="3"/>
  <c r="AN1347" i="3"/>
  <c r="AN1303" i="3"/>
  <c r="AN1211" i="3"/>
  <c r="AN1057" i="3"/>
  <c r="AN620" i="3"/>
  <c r="AN454" i="3"/>
  <c r="AN337" i="3"/>
  <c r="AN540" i="3"/>
  <c r="AN1694" i="3"/>
  <c r="AN1630" i="3"/>
  <c r="AN958" i="3"/>
  <c r="AN1724" i="3"/>
  <c r="AN575" i="3"/>
  <c r="AN1716" i="3"/>
  <c r="AN1609" i="3"/>
  <c r="AN1600" i="3"/>
  <c r="AN1535" i="3"/>
  <c r="AN1499" i="3"/>
  <c r="AN662" i="3"/>
  <c r="AN1032" i="3"/>
  <c r="AN929" i="3"/>
  <c r="AN628" i="3"/>
  <c r="AN560" i="3"/>
  <c r="AN505" i="3"/>
  <c r="AN304" i="3"/>
  <c r="AN1579" i="3"/>
  <c r="AN833" i="3"/>
  <c r="AN701" i="3"/>
  <c r="AN692" i="3"/>
  <c r="AN583" i="3"/>
  <c r="AN542" i="3"/>
  <c r="AN689" i="3"/>
  <c r="AN528" i="3"/>
  <c r="AN464" i="3"/>
  <c r="AN397" i="3"/>
  <c r="AN1680" i="3"/>
  <c r="AN1153" i="3"/>
  <c r="AN1050" i="3"/>
  <c r="AN1039" i="3"/>
  <c r="AN890" i="3"/>
  <c r="AN1710" i="3"/>
  <c r="AN1593" i="3"/>
  <c r="AN1558" i="3"/>
  <c r="AN1468" i="3"/>
  <c r="AN1456" i="3"/>
  <c r="AN1226" i="3"/>
  <c r="AN955" i="3"/>
  <c r="AN706" i="3"/>
  <c r="AN558" i="3"/>
  <c r="AN525" i="3"/>
  <c r="AN509" i="3"/>
  <c r="AN437" i="3"/>
  <c r="AN1095" i="3"/>
  <c r="AN971" i="3"/>
  <c r="AN944" i="3"/>
  <c r="AN933" i="3"/>
  <c r="AN808" i="3"/>
  <c r="AN641" i="3"/>
  <c r="AN380" i="3"/>
  <c r="AN375" i="3"/>
  <c r="AN1598" i="3"/>
  <c r="AN1152" i="3"/>
  <c r="AN1017" i="3"/>
  <c r="AN843" i="3"/>
  <c r="AN773" i="3"/>
  <c r="AN683" i="3"/>
  <c r="AN664" i="3"/>
  <c r="AN415" i="3"/>
  <c r="AN1670" i="3"/>
  <c r="AN889" i="3"/>
  <c r="AN708" i="3"/>
  <c r="AN595" i="3"/>
  <c r="AN463" i="3"/>
  <c r="AN1687" i="3"/>
  <c r="AN1583" i="3"/>
  <c r="AN1412" i="3"/>
  <c r="AN1127" i="3"/>
  <c r="AN716" i="3"/>
  <c r="AN611" i="3"/>
  <c r="AN1704" i="3"/>
  <c r="AN1548" i="3"/>
  <c r="AN1607" i="3"/>
  <c r="AN1277" i="3"/>
  <c r="AN1312" i="3"/>
  <c r="AN1409" i="3"/>
  <c r="AN1361" i="3"/>
  <c r="AN1298" i="3"/>
  <c r="AN1268" i="3"/>
  <c r="AN1241" i="3"/>
  <c r="AN1113" i="3"/>
  <c r="AN907" i="3"/>
  <c r="AN899" i="3"/>
  <c r="AN764" i="3"/>
  <c r="AN753" i="3"/>
  <c r="AN732" i="3"/>
  <c r="AN690" i="3"/>
  <c r="AN608" i="3"/>
  <c r="AN430" i="3"/>
  <c r="AN395" i="3"/>
  <c r="AN353" i="3"/>
  <c r="AN311" i="3"/>
  <c r="AN1631" i="3"/>
  <c r="AN1296" i="3"/>
  <c r="AN1647" i="3"/>
  <c r="AN1353" i="3"/>
  <c r="AN1334" i="3"/>
  <c r="AN1731" i="3"/>
  <c r="AN1400" i="3"/>
  <c r="AN1389" i="3"/>
  <c r="AN1342" i="3"/>
  <c r="AN1591" i="3"/>
  <c r="AN1273" i="3"/>
  <c r="AN1257" i="3"/>
  <c r="AN1110" i="3"/>
  <c r="AN1081" i="3"/>
  <c r="AN785" i="3"/>
  <c r="AN777" i="3"/>
  <c r="AN707" i="3"/>
  <c r="AN687" i="3"/>
  <c r="AN655" i="3"/>
  <c r="AN586" i="3"/>
  <c r="AN462" i="3"/>
  <c r="AN435" i="3"/>
  <c r="AN368" i="3"/>
  <c r="AN1614" i="3"/>
  <c r="AN1459" i="3"/>
  <c r="AN1730" i="3"/>
  <c r="AN1522" i="3"/>
  <c r="AN1490" i="3"/>
  <c r="AN1251" i="3"/>
  <c r="AN1055" i="3"/>
  <c r="AN821" i="3"/>
  <c r="AN743" i="3"/>
  <c r="AN709" i="3"/>
  <c r="AN693" i="3"/>
  <c r="AN630" i="3"/>
  <c r="AN617" i="3"/>
  <c r="AN609" i="3"/>
  <c r="AN476" i="3"/>
  <c r="AN327" i="3"/>
  <c r="AN308" i="3"/>
  <c r="AN1650" i="3"/>
  <c r="AN1532" i="3"/>
  <c r="AN1498" i="3"/>
  <c r="AN1472" i="3"/>
  <c r="AN1423" i="3"/>
  <c r="AN1414" i="3"/>
  <c r="AN1299" i="3"/>
  <c r="AN1272" i="3"/>
  <c r="AN1105" i="3"/>
  <c r="AN1085" i="3"/>
  <c r="AN1074" i="3"/>
  <c r="AN1066" i="3"/>
  <c r="AN829" i="3"/>
  <c r="AN818" i="3"/>
  <c r="AN648" i="3"/>
  <c r="AN465" i="3"/>
  <c r="AN386" i="3"/>
  <c r="AN373" i="3"/>
  <c r="AN1696" i="3"/>
  <c r="AN1483" i="3"/>
  <c r="AN1714" i="3"/>
  <c r="AN1550" i="3"/>
  <c r="AN1529" i="3"/>
  <c r="AN1516" i="3"/>
  <c r="AN1438" i="3"/>
  <c r="AN1234" i="3"/>
  <c r="AN1205" i="3"/>
  <c r="AN1137" i="3"/>
  <c r="AN1090" i="3"/>
  <c r="AN1063" i="3"/>
  <c r="AN1009" i="3"/>
  <c r="AN960" i="3"/>
  <c r="AN834" i="3"/>
  <c r="AN756" i="3"/>
  <c r="AN745" i="3"/>
  <c r="AN569" i="3"/>
  <c r="AN561" i="3"/>
  <c r="AN553" i="3"/>
  <c r="AN550" i="3"/>
  <c r="AN486" i="3"/>
  <c r="AN470" i="3"/>
  <c r="AN457" i="3"/>
  <c r="AN399" i="3"/>
  <c r="AN378" i="3"/>
  <c r="AN332" i="3"/>
  <c r="AN319" i="3"/>
  <c r="AN329" i="3"/>
  <c r="AN1402" i="3"/>
  <c r="AN1646" i="3"/>
  <c r="AN1634" i="3"/>
  <c r="AN1621" i="3"/>
  <c r="AN1597" i="3"/>
  <c r="AN1462" i="3"/>
  <c r="AN1360" i="3"/>
  <c r="AN1339" i="3"/>
  <c r="AN1331" i="3"/>
  <c r="AN1320" i="3"/>
  <c r="AN1309" i="3"/>
  <c r="AN1301" i="3"/>
  <c r="AN1293" i="3"/>
  <c r="AN1271" i="3"/>
  <c r="AN1156" i="3"/>
  <c r="AN1104" i="3"/>
  <c r="AN995" i="3"/>
  <c r="AN984" i="3"/>
  <c r="AN973" i="3"/>
  <c r="AN952" i="3"/>
  <c r="AN863" i="3"/>
  <c r="AN855" i="3"/>
  <c r="AN847" i="3"/>
  <c r="AN839" i="3"/>
  <c r="AN828" i="3"/>
  <c r="AN650" i="3"/>
  <c r="AN600" i="3"/>
  <c r="AN587" i="3"/>
  <c r="AN571" i="3"/>
  <c r="AN520" i="3"/>
  <c r="AN483" i="3"/>
  <c r="AN441" i="3"/>
  <c r="AN334" i="3"/>
  <c r="AN1387" i="3"/>
  <c r="AN1196" i="3"/>
  <c r="AN1188" i="3"/>
  <c r="AN1150" i="3"/>
  <c r="AN1139" i="3"/>
  <c r="AN941" i="3"/>
  <c r="AN922" i="3"/>
  <c r="AN852" i="3"/>
  <c r="AN766" i="3"/>
  <c r="AN665" i="3"/>
  <c r="AN576" i="3"/>
  <c r="AN459" i="3"/>
  <c r="AN425" i="3"/>
  <c r="AN406" i="3"/>
  <c r="AN339" i="3"/>
  <c r="AN978" i="3"/>
  <c r="AN946" i="3"/>
  <c r="AN787" i="3"/>
  <c r="AN779" i="3"/>
  <c r="AN718" i="3"/>
  <c r="AN694" i="3"/>
  <c r="AN670" i="3"/>
  <c r="AN652" i="3"/>
  <c r="AN530" i="3"/>
  <c r="AN506" i="3"/>
  <c r="AN498" i="3"/>
  <c r="AN451" i="3"/>
  <c r="AN1693" i="3"/>
  <c r="AN1700" i="3"/>
  <c r="AN1404" i="3"/>
  <c r="AN1391" i="3"/>
  <c r="AN1230" i="3"/>
  <c r="AN1210" i="3"/>
  <c r="AN1201" i="3"/>
  <c r="AN1193" i="3"/>
  <c r="AN1177" i="3"/>
  <c r="AN1166" i="3"/>
  <c r="AN1083" i="3"/>
  <c r="AN1005" i="3"/>
  <c r="AN997" i="3"/>
  <c r="AN986" i="3"/>
  <c r="AN916" i="3"/>
  <c r="AN795" i="3"/>
  <c r="AN589" i="3"/>
  <c r="AN527" i="3"/>
  <c r="AN453" i="3"/>
  <c r="AN384" i="3"/>
  <c r="AN336" i="3"/>
  <c r="AN1336" i="3"/>
  <c r="AN1685" i="3"/>
  <c r="AN1705" i="3"/>
  <c r="AN1676" i="3"/>
  <c r="AN1538" i="3"/>
  <c r="AN1504" i="3"/>
  <c r="AN1493" i="3"/>
  <c r="AN1452" i="3"/>
  <c r="AN1246" i="3"/>
  <c r="AN1238" i="3"/>
  <c r="AN1138" i="3"/>
  <c r="AN1002" i="3"/>
  <c r="AN940" i="3"/>
  <c r="AN754" i="3"/>
  <c r="AN696" i="3"/>
  <c r="AN578" i="3"/>
  <c r="AN567" i="3"/>
  <c r="AN532" i="3"/>
  <c r="AN516" i="3"/>
  <c r="AN495" i="3"/>
  <c r="AN479" i="3"/>
  <c r="AN461" i="3"/>
  <c r="AN448" i="3"/>
  <c r="AN389" i="3"/>
  <c r="AN341" i="3"/>
  <c r="AN338" i="3"/>
  <c r="AN1526" i="3"/>
  <c r="AN1128" i="3"/>
  <c r="AN1033" i="3"/>
  <c r="AN1287" i="3"/>
  <c r="AN1253" i="3"/>
  <c r="AN1168" i="3"/>
  <c r="AN1553" i="3"/>
  <c r="AN1738" i="3"/>
  <c r="AN1569" i="3"/>
  <c r="AN1511" i="3"/>
  <c r="AN1372" i="3"/>
  <c r="AN1285" i="3"/>
  <c r="AN1219" i="3"/>
  <c r="AN1190" i="3"/>
  <c r="AN1126" i="3"/>
  <c r="AN1107" i="3"/>
  <c r="AN938" i="3"/>
  <c r="AN874" i="3"/>
  <c r="AN782" i="3"/>
  <c r="AN705" i="3"/>
  <c r="AN699" i="3"/>
  <c r="AN635" i="3"/>
  <c r="AN446" i="3"/>
  <c r="AN1537" i="3"/>
  <c r="AN1346" i="3"/>
  <c r="AN1333" i="3"/>
  <c r="AN1306" i="3"/>
  <c r="AN1264" i="3"/>
  <c r="AN1243" i="3"/>
  <c r="AN1174" i="3"/>
  <c r="AN1155" i="3"/>
  <c r="AN1147" i="3"/>
  <c r="AN1123" i="3"/>
  <c r="AN1115" i="3"/>
  <c r="AN1096" i="3"/>
  <c r="AN1079" i="3"/>
  <c r="AN1036" i="3"/>
  <c r="AN1028" i="3"/>
  <c r="AN1007" i="3"/>
  <c r="AN983" i="3"/>
  <c r="AN975" i="3"/>
  <c r="AN868" i="3"/>
  <c r="AN823" i="3"/>
  <c r="AN769" i="3"/>
  <c r="AN627" i="3"/>
  <c r="AN619" i="3"/>
  <c r="AN443" i="3"/>
  <c r="AN420" i="3"/>
  <c r="AN313" i="3"/>
  <c r="AN1495" i="3"/>
  <c r="AN1369" i="3"/>
  <c r="AN1120" i="3"/>
  <c r="AN988" i="3"/>
  <c r="AN964" i="3"/>
  <c r="AN951" i="3"/>
  <c r="AN747" i="3"/>
  <c r="AN739" i="3"/>
  <c r="AN730" i="3"/>
  <c r="AN646" i="3"/>
  <c r="AN637" i="3"/>
  <c r="AN629" i="3"/>
  <c r="AN616" i="3"/>
  <c r="AN428" i="3"/>
  <c r="AN417" i="3"/>
  <c r="AN401" i="3"/>
  <c r="AN360" i="3"/>
  <c r="AN305" i="3"/>
  <c r="AN1519" i="3"/>
  <c r="AN1351" i="3"/>
  <c r="AN1740" i="3"/>
  <c r="AN1503" i="3"/>
  <c r="AN1274" i="3"/>
  <c r="AN1695" i="3"/>
  <c r="AN1539" i="3"/>
  <c r="AN1510" i="3"/>
  <c r="AN1176" i="3"/>
  <c r="AN977" i="3"/>
  <c r="AN390" i="3"/>
  <c r="AN316" i="3"/>
  <c r="AN307" i="3"/>
  <c r="AN1393" i="3"/>
  <c r="AN1240" i="3"/>
  <c r="AN1544" i="3"/>
  <c r="AN1602" i="3"/>
  <c r="AN1642" i="3"/>
  <c r="AN1549" i="3"/>
  <c r="AN1383" i="3"/>
  <c r="AN993" i="3"/>
  <c r="AN862" i="3"/>
  <c r="AN1518" i="3"/>
  <c r="AN1332" i="3"/>
  <c r="AN1292" i="3"/>
  <c r="AN1263" i="3"/>
  <c r="AN1255" i="3"/>
  <c r="AN1242" i="3"/>
  <c r="AN1215" i="3"/>
  <c r="AN1146" i="3"/>
  <c r="AN1078" i="3"/>
  <c r="AN1062" i="3"/>
  <c r="AN1046" i="3"/>
  <c r="AN1035" i="3"/>
  <c r="AN1006" i="3"/>
  <c r="AN1001" i="3"/>
  <c r="AN982" i="3"/>
  <c r="AN974" i="3"/>
  <c r="AN878" i="3"/>
  <c r="AN870" i="3"/>
  <c r="AN786" i="3"/>
  <c r="AN761" i="3"/>
  <c r="AN727" i="3"/>
  <c r="AN719" i="3"/>
  <c r="AN714" i="3"/>
  <c r="AN654" i="3"/>
  <c r="AN472" i="3"/>
  <c r="AN340" i="3"/>
  <c r="AN333" i="3"/>
  <c r="AN322" i="3"/>
  <c r="AN1578" i="3"/>
  <c r="AN1557" i="3"/>
  <c r="AN1163" i="3"/>
  <c r="AN1136" i="3"/>
  <c r="AN1513" i="3"/>
  <c r="AN1279" i="3"/>
  <c r="AN1340" i="3"/>
  <c r="AN763" i="3"/>
  <c r="AN1458" i="3"/>
  <c r="AN1401" i="3"/>
  <c r="AN1366" i="3"/>
  <c r="AN1556" i="3"/>
  <c r="AN1481" i="3"/>
  <c r="AN1467" i="3"/>
  <c r="AN1446" i="3"/>
  <c r="AN1437" i="3"/>
  <c r="AN1376" i="3"/>
  <c r="AN1363" i="3"/>
  <c r="AN1355" i="3"/>
  <c r="AN1289" i="3"/>
  <c r="AN1281" i="3"/>
  <c r="AN1202" i="3"/>
  <c r="AN1194" i="3"/>
  <c r="AN1178" i="3"/>
  <c r="AN1170" i="3"/>
  <c r="AN1119" i="3"/>
  <c r="AN1056" i="3"/>
  <c r="AN1051" i="3"/>
  <c r="AN1043" i="3"/>
  <c r="AN1026" i="3"/>
  <c r="AN987" i="3"/>
  <c r="AN891" i="3"/>
  <c r="AN886" i="3"/>
  <c r="AN867" i="3"/>
  <c r="AN864" i="3"/>
  <c r="AN859" i="3"/>
  <c r="AN666" i="3"/>
  <c r="AN639" i="3"/>
  <c r="AN623" i="3"/>
  <c r="AN513" i="3"/>
  <c r="AN345" i="3"/>
  <c r="AN1622" i="3"/>
  <c r="AN1547" i="3"/>
  <c r="AN1364" i="3"/>
  <c r="AN1322" i="3"/>
  <c r="AN1232" i="3"/>
  <c r="AN1733" i="3"/>
  <c r="AN1554" i="3"/>
  <c r="AN1435" i="3"/>
  <c r="AN1160" i="3"/>
  <c r="AN1133" i="3"/>
  <c r="AN1073" i="3"/>
  <c r="AN1012" i="3"/>
  <c r="AN996" i="3"/>
  <c r="AN961" i="3"/>
  <c r="AN905" i="3"/>
  <c r="AN1638" i="3"/>
  <c r="AN1568" i="3"/>
  <c r="AN1471" i="3"/>
  <c r="AN1413" i="3"/>
  <c r="AN1284" i="3"/>
  <c r="AN1189" i="3"/>
  <c r="AN1030" i="3"/>
  <c r="AN534" i="3"/>
  <c r="AN1657" i="3"/>
  <c r="AN1494" i="3"/>
  <c r="AN1388" i="3"/>
  <c r="AN1345" i="3"/>
  <c r="AN1725" i="3"/>
  <c r="AN1732" i="3"/>
  <c r="AN1691" i="3"/>
  <c r="AN1663" i="3"/>
  <c r="AN1575" i="3"/>
  <c r="AN1561" i="3"/>
  <c r="AN1551" i="3"/>
  <c r="AN1530" i="3"/>
  <c r="AN1512" i="3"/>
  <c r="AN1509" i="3"/>
  <c r="AN1496" i="3"/>
  <c r="AN1473" i="3"/>
  <c r="AN1455" i="3"/>
  <c r="AN1445" i="3"/>
  <c r="AN1429" i="3"/>
  <c r="AN1415" i="3"/>
  <c r="AN1407" i="3"/>
  <c r="AN1398" i="3"/>
  <c r="AN1395" i="3"/>
  <c r="AN1390" i="3"/>
  <c r="AN1385" i="3"/>
  <c r="AN1326" i="3"/>
  <c r="AN1307" i="3"/>
  <c r="AN1294" i="3"/>
  <c r="AN1228" i="3"/>
  <c r="AN1209" i="3"/>
  <c r="AN1199" i="3"/>
  <c r="AN1183" i="3"/>
  <c r="AN1175" i="3"/>
  <c r="AN1100" i="3"/>
  <c r="AN1088" i="3"/>
  <c r="AN1064" i="3"/>
  <c r="AN947" i="3"/>
  <c r="AN939" i="3"/>
  <c r="AN931" i="3"/>
  <c r="AN896" i="3"/>
  <c r="AN883" i="3"/>
  <c r="AN875" i="3"/>
  <c r="AN856" i="3"/>
  <c r="AN840" i="3"/>
  <c r="AN819" i="3"/>
  <c r="AN814" i="3"/>
  <c r="AN783" i="3"/>
  <c r="AN644" i="3"/>
  <c r="AN554" i="3"/>
  <c r="AN405" i="3"/>
  <c r="AN392" i="3"/>
  <c r="AN359" i="3"/>
  <c r="AN342" i="3"/>
  <c r="AN330" i="3"/>
  <c r="AN1675" i="3"/>
  <c r="AN1658" i="3"/>
  <c r="AN1636" i="3"/>
  <c r="AN1314" i="3"/>
  <c r="AN1248" i="3"/>
  <c r="AN1015" i="3"/>
  <c r="AN1651" i="3"/>
  <c r="AN1386" i="3"/>
  <c r="AN1041" i="3"/>
  <c r="AN932" i="3"/>
  <c r="AN1661" i="3"/>
  <c r="AN1559" i="3"/>
  <c r="AN1528" i="3"/>
  <c r="AN1396" i="3"/>
  <c r="AN1237" i="3"/>
  <c r="AN873" i="3"/>
  <c r="AN854" i="3"/>
  <c r="AN771" i="3"/>
  <c r="AN1476" i="3"/>
  <c r="AN1431" i="3"/>
  <c r="AN1737" i="3"/>
  <c r="AN1668" i="3"/>
  <c r="AN1619" i="3"/>
  <c r="AN1567" i="3"/>
  <c r="AN1058" i="3"/>
  <c r="AN1053" i="3"/>
  <c r="AN1008" i="3"/>
  <c r="AN1003" i="3"/>
  <c r="AN992" i="3"/>
  <c r="AN936" i="3"/>
  <c r="AN901" i="3"/>
  <c r="AN893" i="3"/>
  <c r="AN888" i="3"/>
  <c r="AN880" i="3"/>
  <c r="AN845" i="3"/>
  <c r="AN824" i="3"/>
  <c r="AN572" i="3"/>
  <c r="AN564" i="3"/>
  <c r="AN559" i="3"/>
  <c r="AN541" i="3"/>
  <c r="AN492" i="3"/>
  <c r="AN487" i="3"/>
  <c r="AN482" i="3"/>
  <c r="AN366" i="3"/>
  <c r="AN1654" i="3"/>
  <c r="AN1534" i="3"/>
  <c r="AN1377" i="3"/>
  <c r="AN1356" i="3"/>
  <c r="AN1374" i="3"/>
  <c r="AN1141" i="3"/>
  <c r="AN1101" i="3"/>
  <c r="AN849" i="3"/>
  <c r="AN937" i="3"/>
  <c r="AN1698" i="3"/>
  <c r="AN1683" i="3"/>
  <c r="AN1673" i="3"/>
  <c r="AN1394" i="3"/>
  <c r="AN1734" i="3"/>
  <c r="AN1625" i="3"/>
  <c r="AN1606" i="3"/>
  <c r="AN1572" i="3"/>
  <c r="AN1545" i="3"/>
  <c r="AN1517" i="3"/>
  <c r="AN1485" i="3"/>
  <c r="AN1426" i="3"/>
  <c r="AN1418" i="3"/>
  <c r="AN1375" i="3"/>
  <c r="AN1365" i="3"/>
  <c r="AN1291" i="3"/>
  <c r="AN1225" i="3"/>
  <c r="AN1204" i="3"/>
  <c r="AN1185" i="3"/>
  <c r="AN1180" i="3"/>
  <c r="AN1161" i="3"/>
  <c r="AN1077" i="3"/>
  <c r="AN663" i="3"/>
  <c r="AN1000" i="3"/>
  <c r="AN965" i="3"/>
  <c r="AN909" i="3"/>
  <c r="AN885" i="3"/>
  <c r="AN877" i="3"/>
  <c r="AN869" i="3"/>
  <c r="AN816" i="3"/>
  <c r="AN798" i="3"/>
  <c r="AN723" i="3"/>
  <c r="AN710" i="3"/>
  <c r="AN676" i="3"/>
  <c r="AN622" i="3"/>
  <c r="AN579" i="3"/>
  <c r="AN574" i="3"/>
  <c r="AN538" i="3"/>
  <c r="AN421" i="3"/>
  <c r="AN410" i="3"/>
  <c r="AN1721" i="3"/>
  <c r="AN1677" i="3"/>
  <c r="AN1594" i="3"/>
  <c r="AN1508" i="3"/>
  <c r="AN1061" i="3"/>
  <c r="AN872" i="3"/>
  <c r="AN1570" i="3"/>
  <c r="AN1480" i="3"/>
  <c r="AN1457" i="3"/>
  <c r="AN1379" i="3"/>
  <c r="AN1371" i="3"/>
  <c r="AN1216" i="3"/>
  <c r="AN1208" i="3"/>
  <c r="AN1206" i="3"/>
  <c r="AN1048" i="3"/>
  <c r="AN903" i="3"/>
  <c r="AN755" i="3"/>
  <c r="AN678" i="3"/>
  <c r="AN1071" i="3"/>
  <c r="AN1045" i="3"/>
  <c r="AN1040" i="3"/>
  <c r="AN1482" i="3"/>
  <c r="AN1316" i="3"/>
  <c r="AN1252" i="3"/>
  <c r="AN1089" i="3"/>
  <c r="AN1084" i="3"/>
  <c r="AN1076" i="3"/>
  <c r="AN788" i="3"/>
  <c r="AN724" i="3"/>
  <c r="AN711" i="3"/>
  <c r="AN1665" i="3"/>
  <c r="AN1574" i="3"/>
  <c r="AN1489" i="3"/>
  <c r="AN1135" i="3"/>
  <c r="AN1106" i="3"/>
  <c r="AN1098" i="3"/>
  <c r="AN735" i="3"/>
  <c r="AN531" i="3"/>
  <c r="AN1563" i="3"/>
  <c r="AN1311" i="3"/>
  <c r="AN1713" i="3"/>
  <c r="AN1697" i="3"/>
  <c r="AN1337" i="3"/>
  <c r="AN1690" i="3"/>
  <c r="AN1702" i="3"/>
  <c r="AN1682" i="3"/>
  <c r="AN1560" i="3"/>
  <c r="AN1536" i="3"/>
  <c r="AN1443" i="3"/>
  <c r="AN1428" i="3"/>
  <c r="AN1420" i="3"/>
  <c r="AN1321" i="3"/>
  <c r="AN1318" i="3"/>
  <c r="AN1267" i="3"/>
  <c r="AN1262" i="3"/>
  <c r="AN1140" i="3"/>
  <c r="AN1132" i="3"/>
  <c r="AN1114" i="3"/>
  <c r="AN850" i="3"/>
  <c r="AN408" i="3"/>
  <c r="AN1689" i="3"/>
  <c r="AN1653" i="3"/>
  <c r="AN1492" i="3"/>
  <c r="AN1659" i="3"/>
  <c r="AN1626" i="3"/>
  <c r="AN1497" i="3"/>
  <c r="AN1723" i="3"/>
  <c r="AN1580" i="3"/>
  <c r="AN1425" i="3"/>
  <c r="AN1403" i="3"/>
  <c r="AN803" i="3"/>
  <c r="AN790" i="3"/>
  <c r="AN1487" i="3"/>
  <c r="AN1221" i="3"/>
  <c r="AN1599" i="3"/>
  <c r="AN1432" i="3"/>
  <c r="AN1632" i="3"/>
  <c r="AN1368" i="3"/>
  <c r="AN1735" i="3"/>
  <c r="AN1728" i="3"/>
  <c r="AN1720" i="3"/>
  <c r="AN1699" i="3"/>
  <c r="AN1637" i="3"/>
  <c r="AN1628" i="3"/>
  <c r="AN1612" i="3"/>
  <c r="AN1601" i="3"/>
  <c r="AN1596" i="3"/>
  <c r="AN1540" i="3"/>
  <c r="AN1514" i="3"/>
  <c r="AN1449" i="3"/>
  <c r="AN1430" i="3"/>
  <c r="AN1422" i="3"/>
  <c r="AN1417" i="3"/>
  <c r="AN1408" i="3"/>
  <c r="AN1354" i="3"/>
  <c r="AN1349" i="3"/>
  <c r="AN1344" i="3"/>
  <c r="AN1259" i="3"/>
  <c r="AN1217" i="3"/>
  <c r="AN1142" i="3"/>
  <c r="AN989" i="3"/>
  <c r="AN923" i="3"/>
  <c r="AN844" i="3"/>
  <c r="AN831" i="3"/>
  <c r="AN826" i="3"/>
  <c r="AN813" i="3"/>
  <c r="AN1463" i="3"/>
  <c r="AN1615" i="3"/>
  <c r="AN1451" i="3"/>
  <c r="AN1718" i="3"/>
  <c r="AN1406" i="3"/>
  <c r="AN1359" i="3"/>
  <c r="AN1304" i="3"/>
  <c r="AN1022" i="3"/>
  <c r="AN653" i="3"/>
  <c r="AN1711" i="3"/>
  <c r="AN1688" i="3"/>
  <c r="AN1678" i="3"/>
  <c r="AN1671" i="3"/>
  <c r="AN1666" i="3"/>
  <c r="AN1648" i="3"/>
  <c r="AN1643" i="3"/>
  <c r="AN1620" i="3"/>
  <c r="AN1603" i="3"/>
  <c r="AN1592" i="3"/>
  <c r="AN1586" i="3"/>
  <c r="AN1527" i="3"/>
  <c r="AN1500" i="3"/>
  <c r="AN1478" i="3"/>
  <c r="AN1475" i="3"/>
  <c r="AN1470" i="3"/>
  <c r="AN1464" i="3"/>
  <c r="AN1362" i="3"/>
  <c r="AN1352" i="3"/>
  <c r="AN1327" i="3"/>
  <c r="AN1302" i="3"/>
  <c r="AN1297" i="3"/>
  <c r="AN1270" i="3"/>
  <c r="AN1260" i="3"/>
  <c r="AN1250" i="3"/>
  <c r="AN1222" i="3"/>
  <c r="AN1186" i="3"/>
  <c r="AN1171" i="3"/>
  <c r="AN1148" i="3"/>
  <c r="AN1143" i="3"/>
  <c r="AN1130" i="3"/>
  <c r="AN1054" i="3"/>
  <c r="AN1049" i="3"/>
  <c r="AN1023" i="3"/>
  <c r="AN1020" i="3"/>
  <c r="AN1013" i="3"/>
  <c r="AN979" i="3"/>
  <c r="AN969" i="3"/>
  <c r="AN956" i="3"/>
  <c r="AN865" i="3"/>
  <c r="AN857" i="3"/>
  <c r="AN842" i="3"/>
  <c r="AN837" i="3"/>
  <c r="AN801" i="3"/>
  <c r="AN768" i="3"/>
  <c r="AN691" i="3"/>
  <c r="AN681" i="3"/>
  <c r="AN658" i="3"/>
  <c r="AN549" i="3"/>
  <c r="AN539" i="3"/>
  <c r="AN536" i="3"/>
  <c r="AN526" i="3"/>
  <c r="AN521" i="3"/>
  <c r="AN438" i="3"/>
  <c r="AN433" i="3"/>
  <c r="AN423" i="3"/>
  <c r="AN418" i="3"/>
  <c r="AN400" i="3"/>
  <c r="AN688" i="3"/>
  <c r="AN675" i="3"/>
  <c r="AN546" i="3"/>
  <c r="AN533" i="3"/>
  <c r="AN455" i="3"/>
  <c r="AN445" i="3"/>
  <c r="AN440" i="3"/>
  <c r="AN310" i="3"/>
  <c r="AN584" i="3"/>
  <c r="AN556" i="3"/>
  <c r="AN543" i="3"/>
  <c r="AN680" i="3"/>
  <c r="AN599" i="3"/>
  <c r="AN594" i="3"/>
  <c r="AN566" i="3"/>
  <c r="AN469" i="3"/>
  <c r="AN356" i="3"/>
  <c r="AN563" i="3"/>
  <c r="AN548" i="3"/>
  <c r="AN447" i="3"/>
  <c r="AN371" i="3"/>
  <c r="AN1639" i="3"/>
  <c r="AN1633" i="3"/>
  <c r="AN1616" i="3"/>
  <c r="AN1576" i="3"/>
  <c r="AN1555" i="3"/>
  <c r="AN1543" i="3"/>
  <c r="AN1531" i="3"/>
  <c r="AN1486" i="3"/>
  <c r="AN1450" i="3"/>
  <c r="AN1444" i="3"/>
  <c r="AN1433" i="3"/>
  <c r="AN1427" i="3"/>
  <c r="AN1397" i="3"/>
  <c r="AN1378" i="3"/>
  <c r="AN1323" i="3"/>
  <c r="AN1313" i="3"/>
  <c r="AN1288" i="3"/>
  <c r="AN1256" i="3"/>
  <c r="AN1218" i="3"/>
  <c r="AN1213" i="3"/>
  <c r="AN1203" i="3"/>
  <c r="AN1124" i="3"/>
  <c r="AN1111" i="3"/>
  <c r="AN942" i="3"/>
  <c r="AN924" i="3"/>
  <c r="AN919" i="3"/>
  <c r="AN895" i="3"/>
  <c r="AN751" i="3"/>
  <c r="AN741" i="3"/>
  <c r="AN702" i="3"/>
  <c r="AN624" i="3"/>
  <c r="AN596" i="3"/>
  <c r="AN591" i="3"/>
  <c r="AN489" i="3"/>
  <c r="AN484" i="3"/>
  <c r="AN383" i="3"/>
  <c r="AN363" i="3"/>
  <c r="AN344" i="3"/>
  <c r="AN1722" i="3"/>
  <c r="AN1717" i="3"/>
  <c r="AN1524" i="3"/>
  <c r="AN1469" i="3"/>
  <c r="AN1701" i="3"/>
  <c r="AN1684" i="3"/>
  <c r="AN1679" i="3"/>
  <c r="AN1662" i="3"/>
  <c r="AN1656" i="3"/>
  <c r="AN1644" i="3"/>
  <c r="AN1611" i="3"/>
  <c r="AN1587" i="3"/>
  <c r="AN1582" i="3"/>
  <c r="AN1521" i="3"/>
  <c r="AN1501" i="3"/>
  <c r="AN1465" i="3"/>
  <c r="AN1447" i="3"/>
  <c r="AN1439" i="3"/>
  <c r="AN1405" i="3"/>
  <c r="AN1384" i="3"/>
  <c r="AN1373" i="3"/>
  <c r="AN1358" i="3"/>
  <c r="AN1343" i="3"/>
  <c r="AN1328" i="3"/>
  <c r="AN1283" i="3"/>
  <c r="AN1278" i="3"/>
  <c r="AN1233" i="3"/>
  <c r="AN1220" i="3"/>
  <c r="AN1131" i="3"/>
  <c r="AN1121" i="3"/>
  <c r="AN1116" i="3"/>
  <c r="AN1108" i="3"/>
  <c r="AN980" i="3"/>
  <c r="AN970" i="3"/>
  <c r="AN967" i="3"/>
  <c r="AN962" i="3"/>
  <c r="AN957" i="3"/>
  <c r="AN934" i="3"/>
  <c r="AN908" i="3"/>
  <c r="AN882" i="3"/>
  <c r="AN748" i="3"/>
  <c r="AN726" i="3"/>
  <c r="AN713" i="3"/>
  <c r="AN649" i="3"/>
  <c r="AN642" i="3"/>
  <c r="AN621" i="3"/>
  <c r="AN601" i="3"/>
  <c r="AN588" i="3"/>
  <c r="AN388" i="3"/>
  <c r="AN358" i="3"/>
  <c r="AN921" i="3"/>
  <c r="AN913" i="3"/>
  <c r="AN799" i="3"/>
  <c r="AN737" i="3"/>
  <c r="AN634" i="3"/>
  <c r="AN597" i="3"/>
  <c r="AN514" i="3"/>
  <c r="AN491" i="3"/>
  <c r="AN393" i="3"/>
  <c r="AN365" i="3"/>
  <c r="AN1484" i="3"/>
  <c r="AN1709" i="3"/>
  <c r="AN1703" i="3"/>
  <c r="AN1686" i="3"/>
  <c r="AN1669" i="3"/>
  <c r="AN1664" i="3"/>
  <c r="AN1641" i="3"/>
  <c r="AN1624" i="3"/>
  <c r="AN1618" i="3"/>
  <c r="AN1608" i="3"/>
  <c r="AN1589" i="3"/>
  <c r="AN1584" i="3"/>
  <c r="AN1564" i="3"/>
  <c r="AN1525" i="3"/>
  <c r="AN1453" i="3"/>
  <c r="AN1441" i="3"/>
  <c r="AN1421" i="3"/>
  <c r="AN1380" i="3"/>
  <c r="AN1350" i="3"/>
  <c r="AN1325" i="3"/>
  <c r="AN1300" i="3"/>
  <c r="AN1295" i="3"/>
  <c r="AN1290" i="3"/>
  <c r="AN1245" i="3"/>
  <c r="AN1236" i="3"/>
  <c r="AN1212" i="3"/>
  <c r="AN1197" i="3"/>
  <c r="AN1159" i="3"/>
  <c r="AN1151" i="3"/>
  <c r="AN1097" i="3"/>
  <c r="AN1367" i="3"/>
  <c r="AN1031" i="3"/>
  <c r="AN1025" i="3"/>
  <c r="AN1016" i="3"/>
  <c r="AN998" i="3"/>
  <c r="AN990" i="3"/>
  <c r="AN972" i="3"/>
  <c r="AN959" i="3"/>
  <c r="AN954" i="3"/>
  <c r="AN949" i="3"/>
  <c r="AN927" i="3"/>
  <c r="AN918" i="3"/>
  <c r="AN910" i="3"/>
  <c r="AN902" i="3"/>
  <c r="AN832" i="3"/>
  <c r="AN827" i="3"/>
  <c r="AN809" i="3"/>
  <c r="AN804" i="3"/>
  <c r="AN796" i="3"/>
  <c r="AN791" i="3"/>
  <c r="AN781" i="3"/>
  <c r="AN776" i="3"/>
  <c r="AN733" i="3"/>
  <c r="AN668" i="3"/>
  <c r="AN661" i="3"/>
  <c r="AN656" i="3"/>
  <c r="AN631" i="3"/>
  <c r="AN529" i="3"/>
  <c r="AN524" i="3"/>
  <c r="AN519" i="3"/>
  <c r="AN511" i="3"/>
  <c r="AN508" i="3"/>
  <c r="AN413" i="3"/>
  <c r="AN403" i="3"/>
  <c r="AN398" i="3"/>
  <c r="AN382" i="3"/>
  <c r="AN370" i="3"/>
  <c r="AN728" i="3"/>
  <c r="AN672" i="3"/>
  <c r="AN633" i="3"/>
  <c r="AN613" i="3"/>
  <c r="AN568" i="3"/>
  <c r="AN545" i="3"/>
  <c r="AN535" i="3"/>
  <c r="AN510" i="3"/>
  <c r="AN500" i="3"/>
  <c r="AN478" i="3"/>
  <c r="AN473" i="3"/>
  <c r="AN468" i="3"/>
  <c r="AN444" i="3"/>
  <c r="AN320" i="3"/>
  <c r="AN315" i="3"/>
  <c r="AN309" i="3"/>
  <c r="AN948" i="3"/>
  <c r="AN915" i="3"/>
  <c r="AN897" i="3"/>
  <c r="AN879" i="3"/>
  <c r="AN866" i="3"/>
  <c r="AN800" i="3"/>
  <c r="AN770" i="3"/>
  <c r="AN757" i="3"/>
  <c r="AN752" i="3"/>
  <c r="AN736" i="3"/>
  <c r="AN715" i="3"/>
  <c r="AN647" i="3"/>
  <c r="AN677" i="3"/>
  <c r="AN669" i="3"/>
  <c r="AN660" i="3"/>
  <c r="AN603" i="3"/>
  <c r="AN590" i="3"/>
  <c r="AN580" i="3"/>
  <c r="AN555" i="3"/>
  <c r="AN456" i="3"/>
  <c r="AN449" i="3"/>
  <c r="AN372" i="3"/>
  <c r="AN367" i="3"/>
  <c r="AN1080" i="3"/>
  <c r="AN1075" i="3"/>
  <c r="AN1065" i="3"/>
  <c r="AN1042" i="3"/>
  <c r="AN1037" i="3"/>
  <c r="AN994" i="3"/>
  <c r="AN981" i="3"/>
  <c r="AN976" i="3"/>
  <c r="AN945" i="3"/>
  <c r="AN925" i="3"/>
  <c r="AN912" i="3"/>
  <c r="AN871" i="3"/>
  <c r="AN851" i="3"/>
  <c r="AN820" i="3"/>
  <c r="AN805" i="3"/>
  <c r="AN767" i="3"/>
  <c r="AN725" i="3"/>
  <c r="AN682" i="3"/>
  <c r="AN643" i="3"/>
  <c r="AN638" i="3"/>
  <c r="AN610" i="3"/>
  <c r="AN570" i="3"/>
  <c r="AN475" i="3"/>
  <c r="AN434" i="3"/>
  <c r="AN424" i="3"/>
  <c r="AN414" i="3"/>
  <c r="AN409" i="3"/>
  <c r="AN404" i="3"/>
  <c r="AN394" i="3"/>
  <c r="AN357" i="3"/>
  <c r="AN352" i="3"/>
  <c r="AN343" i="3"/>
  <c r="AN323" i="3"/>
  <c r="AN317" i="3"/>
  <c r="AN1167" i="3"/>
  <c r="AN1162" i="3"/>
  <c r="AN1157" i="3"/>
  <c r="AN1122" i="3"/>
  <c r="AN1112" i="3"/>
  <c r="AN1099" i="3"/>
  <c r="AN1094" i="3"/>
  <c r="AN1047" i="3"/>
  <c r="AN1034" i="3"/>
  <c r="AN999" i="3"/>
  <c r="AN991" i="3"/>
  <c r="AN968" i="3"/>
  <c r="AN935" i="3"/>
  <c r="AN930" i="3"/>
  <c r="AN904" i="3"/>
  <c r="AN894" i="3"/>
  <c r="AN884" i="3"/>
  <c r="AN858" i="3"/>
  <c r="AN838" i="3"/>
  <c r="AN825" i="3"/>
  <c r="AN792" i="3"/>
  <c r="AN772" i="3"/>
  <c r="AN749" i="3"/>
  <c r="AN722" i="3"/>
  <c r="AN717" i="3"/>
  <c r="AN712" i="3"/>
  <c r="AN703" i="3"/>
  <c r="AN679" i="3"/>
  <c r="AN605" i="3"/>
  <c r="AN577" i="3"/>
  <c r="AN551" i="3"/>
  <c r="AN547" i="3"/>
  <c r="AN537" i="3"/>
  <c r="AN512" i="3"/>
  <c r="AN502" i="3"/>
  <c r="AN480" i="3"/>
  <c r="AN458" i="3"/>
  <c r="AN391" i="3"/>
  <c r="AN381" i="3"/>
  <c r="AN374" i="3"/>
  <c r="AN369" i="3"/>
  <c r="AN331" i="3"/>
  <c r="AN1249" i="3"/>
  <c r="AN1239" i="3"/>
  <c r="AN1229" i="3"/>
  <c r="AN1179" i="3"/>
  <c r="AN1169" i="3"/>
  <c r="AN1144" i="3"/>
  <c r="AN1134" i="3"/>
  <c r="AN1109" i="3"/>
  <c r="AN1092" i="3"/>
  <c r="AN1087" i="3"/>
  <c r="AN1072" i="3"/>
  <c r="AN1067" i="3"/>
  <c r="AN1059" i="3"/>
  <c r="AN1044" i="3"/>
  <c r="AN1029" i="3"/>
  <c r="AN1011" i="3"/>
  <c r="AN926" i="3"/>
  <c r="AN881" i="3"/>
  <c r="AN835" i="3"/>
  <c r="AN817" i="3"/>
  <c r="AN812" i="3"/>
  <c r="AN807" i="3"/>
  <c r="AN789" i="3"/>
  <c r="AN774" i="3"/>
  <c r="AN759" i="3"/>
  <c r="AN746" i="3"/>
  <c r="AN684" i="3"/>
  <c r="AN671" i="3"/>
  <c r="AN659" i="3"/>
  <c r="AN645" i="3"/>
  <c r="AN640" i="3"/>
  <c r="AN632" i="3"/>
  <c r="AN612" i="3"/>
  <c r="AN607" i="3"/>
  <c r="AN602" i="3"/>
  <c r="AN592" i="3"/>
  <c r="AN557" i="3"/>
  <c r="AN544" i="3"/>
  <c r="AN522" i="3"/>
  <c r="AN517" i="3"/>
  <c r="AN477" i="3"/>
  <c r="AN467" i="3"/>
  <c r="AN436" i="3"/>
  <c r="AN431" i="3"/>
  <c r="AN426" i="3"/>
  <c r="AN416" i="3"/>
  <c r="AN411" i="3"/>
  <c r="AN376" i="3"/>
  <c r="AN354" i="3"/>
  <c r="AN325" i="3"/>
  <c r="AN1392" i="3"/>
  <c r="AN1341" i="3"/>
  <c r="AN1269" i="3"/>
  <c r="AN1227" i="3"/>
  <c r="AN1164" i="3"/>
  <c r="AN695" i="3"/>
  <c r="AN1613" i="3"/>
  <c r="AN1491" i="3"/>
  <c r="AN1436" i="3"/>
  <c r="AN1357" i="3"/>
  <c r="AN1308" i="3"/>
  <c r="AN1235" i="3"/>
  <c r="AN1224" i="3"/>
  <c r="AN1187" i="3"/>
  <c r="AN1173" i="3"/>
  <c r="AN1118" i="3"/>
  <c r="AN1068" i="3"/>
  <c r="AN963" i="3"/>
  <c r="AN914" i="3"/>
  <c r="AN848" i="3"/>
  <c r="AN778" i="3"/>
  <c r="AN1280" i="3"/>
  <c r="AN1182" i="3"/>
  <c r="AN1060" i="3"/>
  <c r="AN793" i="3"/>
  <c r="AN1627" i="3"/>
  <c r="AN1324" i="3"/>
  <c r="AN1275" i="3"/>
  <c r="AN1640" i="3"/>
  <c r="AN1652" i="3"/>
  <c r="AN1565" i="3"/>
  <c r="AN1502" i="3"/>
  <c r="AN1448" i="3"/>
  <c r="AN1370" i="3"/>
  <c r="AN1319" i="3"/>
  <c r="AN1247" i="3"/>
  <c r="AN1191" i="3"/>
  <c r="AN1149" i="3"/>
  <c r="AN1082" i="3"/>
  <c r="AN1014" i="3"/>
  <c r="AN928" i="3"/>
  <c r="AN758" i="3"/>
  <c r="AN1454" i="3"/>
  <c r="AN1399" i="3"/>
  <c r="AN1577" i="3"/>
  <c r="AN1466" i="3"/>
  <c r="AN1411" i="3"/>
  <c r="AN1335" i="3"/>
  <c r="AN1286" i="3"/>
  <c r="AN1200" i="3"/>
  <c r="AN1158" i="3"/>
  <c r="AN1091" i="3"/>
  <c r="AN721" i="3"/>
  <c r="AN1515" i="3"/>
  <c r="AN1461" i="3"/>
  <c r="AN1381" i="3"/>
  <c r="AN1330" i="3"/>
  <c r="AN1258" i="3"/>
  <c r="AN1102" i="3"/>
  <c r="AN765" i="3"/>
  <c r="AN686" i="3"/>
  <c r="AN1198" i="3"/>
  <c r="AN407" i="3"/>
  <c r="AB865" i="3"/>
  <c r="AC865" i="3"/>
  <c r="AN860" i="3"/>
  <c r="AN738" i="3"/>
  <c r="AN614" i="3"/>
  <c r="AN493" i="3"/>
  <c r="AN704" i="3"/>
  <c r="AN581" i="3"/>
  <c r="AN460" i="3"/>
  <c r="AN335" i="3"/>
  <c r="AN1154" i="3"/>
  <c r="AN1145" i="3"/>
  <c r="AN1027" i="3"/>
  <c r="AN906" i="3"/>
  <c r="AN750" i="3"/>
  <c r="AN625" i="3"/>
  <c r="AN504" i="3"/>
  <c r="AN385" i="3"/>
  <c r="AN1165" i="3"/>
  <c r="AN1069" i="3"/>
  <c r="AN950" i="3"/>
  <c r="AN794" i="3"/>
  <c r="AN673" i="3"/>
  <c r="AN427" i="3"/>
  <c r="AN471" i="3"/>
  <c r="AN346" i="3"/>
  <c r="AN1038" i="3"/>
  <c r="AN917" i="3"/>
  <c r="AN760" i="3"/>
  <c r="AN636" i="3"/>
  <c r="AN515" i="3"/>
  <c r="AN396" i="3"/>
</calcChain>
</file>

<file path=xl/sharedStrings.xml><?xml version="1.0" encoding="utf-8"?>
<sst xmlns="http://schemas.openxmlformats.org/spreadsheetml/2006/main" count="13976" uniqueCount="2681">
  <si>
    <t>AZ ADATOK ÉRTELMEZÉSÉHEZ</t>
  </si>
  <si>
    <t>Ebben az állományban (az "Adatok" munkalapban) magyar választási közvélemény-kutatási eredményeket talál, amelyeket a megnevezett források használatával szerkesztettem egybe.</t>
  </si>
  <si>
    <t>Annak értelmezéséhez, hogy mit jelent egy választási közvélemény-kutatás (vagy "pártpreferencia-vizsgálat", ahogy szintén szokás emlegetni ezeket Magyarországon), elég megnézni egyik-másik forrást, amit az "Adatok" munkalap feltüntet.</t>
  </si>
  <si>
    <t>Minden itt szereplő adat elvben a szavazóképes, Magyarországon élő magyar állampolgárok reprezentálására hivatott mintákra vonatkozik.</t>
  </si>
  <si>
    <t>Az adatbázis folyamatosan frissül, célom az, hogy 1989 tavaszától kezdve valamennyi releváns közvélemény-kutatási adat bekerüljön a gyűjteménybe.</t>
  </si>
  <si>
    <t>Az adatbázis nem tartalmaz várható választási eredményekkel kapcsolatos "szakértői becsléseket" és exit poll eredményeket, mivel azok nem járulnak hozzá sem a történelmi idősorok, sem egyes intézetek rendszeres havi vizsgálatai pontosságának jobb megértéséhez. Az adatok "Fókusz" és "Mód" oszlopa jelzi azokat a vizsgálatokat, amelyek módszertani tekintetben ismerten eltértek az adott intézet szokásos vizsgálataitól, és ezért nem értelmezhetők az intézet idősora részeként.</t>
  </si>
  <si>
    <t>Néhány oszlopban (mindenekelőtt a dátumoknál és az MSZP-P oszlopban) előfordulnak pirossal kiemelt információk. Ezek az MSZP-P esetében azt jelentik, hogy az eredeti forrás külön adatot mutatott be a két pártról, amit én összeadtam a táblázatban. Egy ideje már feltüntetem a külön-külön számokat a "megjegyzés" rovatban, de amig pár intézet csak az összevont számot mutatja, addig nem látom értelmét külön-külön oszlopokba tenni őket.</t>
  </si>
  <si>
    <t>Minden más oszlop esetén a piros betűvel kiemelt információ azt jelenti, hogy ami ott jelenik meg, az csak az én találgatásom, mert az eredeti források nem tisztázták világosan a részleteket.</t>
  </si>
  <si>
    <t>A források jellemzően az eredeti megjelenésük idején aktiv URL cimmel jelennek meg. Azóta ezek a tartalmak eltűnhettek az internetról, és ilyenkor az internet archive segitségével lehet őket megtalálni az eredeti cimen.</t>
  </si>
  <si>
    <t>De sokszor könnyebb lehet az eredeti URL cím szavaira rákeresni egy internetes keresővel. Pl. a "nezopontintezet.hu/hu/[datum/]… cimek azóta úgy változtak, hogy kikerült belőlük az "intézet" és a dátum.</t>
  </si>
  <si>
    <t>HA BÁRMI HIBÁT VAGY HIÁNYOSSÁGOT TALÁL AZ ADATOKBAN:</t>
  </si>
  <si>
    <t>Kérem, írja meg ezeket a Vox.Populi.HU@gmail.com cimre.</t>
  </si>
  <si>
    <t>KÉREM, HOGY ÍGY ADJA MEG AZ ADATOK FORRÁSÁT, HA HASZNÁLJA EZEKET AZ ADATOKAT:</t>
  </si>
  <si>
    <t>Tóka Gábor, 2019-. "Vox Populi választási kalauz." http://kozvelemeny.wordpress.com</t>
  </si>
  <si>
    <t>AZ ADATOK BÁZISA</t>
  </si>
  <si>
    <t>Az 1989 óta kialakult magyar gyakorlatban négyféle bontásban szokás közölni az arra vonatkozó adatokat, hogy adott pillanatban melyik pártra hányan szavaznának (valamely népesség százalékában).</t>
  </si>
  <si>
    <t>1: Az összes megkérdezett százalékában</t>
  </si>
  <si>
    <t>2: Azon megkérdezettek (az "összes pártválasztó") százalékában, akik valamilyen párt megnevezésével válaszoltak arra a kérdésre, hogy kire szavaznának (a soron következő, vagy egy hipotetikus most hétvégi) országos választáson.</t>
  </si>
  <si>
    <t>3: A "biztos szavazók" százalékában, tehát azok között, akik azt mondták, hogy "biztosan elmenn(én)ek szavazni" a következő (illetve egy feltételezett most hétvégi) országos választáson.</t>
  </si>
  <si>
    <t>4: A "biztos szavazó pártválasztók", százalékában, tehát a "pártválasztók" azon alcsoportjában, akik azt mondták, hogy "biztosan elmenn(én)ek szavazni" a következő (illetve egy feltételezett most hétvégi) országos választáson.</t>
  </si>
  <si>
    <t>Az jelen adatbázis ezeket mind tartalmazza, már amennyiben közölték őket a források.</t>
  </si>
  <si>
    <t>Valójában persze ritka az olyan közvélemény-kutató, aki mind a négy bontásban bemutatná adatait, ezért egy-egy adatfelvételről jellemzően 2-3 adatsor találhat itt, és az is előfordul, hogy csak egyet.</t>
  </si>
  <si>
    <t>Az "Adatok bázisa" oszlop mutatja, hogy egy-egy sor a "Biztos" szavazókra vonatkozik-e, vagy az "Összes" megkérdezettre illetve pártválasztóra.</t>
  </si>
  <si>
    <t>Ha az "Egyéb válaszok" oszlopban nulla szerepel, akkor a "Biztos" illetve az "Összes" kategórián belül is a szűkebb (fentebb 4-es illetve 2-es számmal jelölt) alcsoportra vonatkozik az adott adatsor.</t>
  </si>
  <si>
    <t>Ha az "Egyéb válaszok" oszlopban nem nulla szerepel, akkor a "Biztos" illetve az "Összes" kategórián belül is a tágabb (fentebb 3-as illetve 1-es számmal jelölt) alcsoportra vonatkozik az adott adatsor.</t>
  </si>
  <si>
    <t>MINTAVÉTELI ÉS MÓDSZERTANI KÉRDÉSEK</t>
  </si>
  <si>
    <t>Valójában persze minden adatfelvételi módszer valamilyen torzuláshoz vezet a minták reprezentativitásában.  Pl. nem mindenki van sokat otthon és nyit szivesen ajtót, sokan nem veszik fel a telefont, de vannak, akik még annyira se, ha idegen a hívó, és van aki inkább ráklikkel Facebook-on olyan meghívásokra, hogy mondja el a véleményét egy közvélemény-kutatásban, mint mások.</t>
  </si>
  <si>
    <t>Ezeket a torzításokat úgynevezett súlyozással szokás kiegyenlíteni, ami azt feltételezi, hogy tudjuk, milyen fajta embereket lehetett könnyebben elérni és őszinte szóra bírni, és kiket kevésbé. Ld. pl. http://www.ideaintezet.hu/hu/hirek-aktualis/10/ismet-havonta-publikalja-partpreferencia-adatait-az-idea  és https://www.pewresearch.org/wp-content/uploads/2018/01/Weighting-Online-Opt-In-Samples.pdf</t>
  </si>
  <si>
    <t>Az itt összegyűjtött adatok valószínűleg szinte mind valamilyen súlyozási eljárással lettek kiszámítva az adott intézet által, de ennek részletei nem ismertek. Ez az iparág szokásainak, nemzetközi sztenderdjeinek megfelel, és (feltéve, hogy a súlyozási eljárás és egyéb módszertani részletek nem változnak hónapról hónapra) tulajdonképpen még meg is könnyíti egy-egy intézet adatainak értelmezését.</t>
  </si>
  <si>
    <t>A jelen kollekció online kérdőívekkel gyűjtött adatokat is tartalmaz, de én úgy látom, hogy ezeket célszerű figyelmen kívül hagyni még a magyar politikai trendek számításánál, mert túl kevés még a tapasztalat és túl sok a kételyre okot adó körülmény a helyes súlyozási eljárások tartalmával és egyáltalán kialakíthatóságával kapcsolatban. Egyelőre azonban olyan ábrákban foglalom össze a trendeket, amelyek minden az adatbázisban szereplő nem kifejezetten „speciális” adatfelvétel eredményeit figyelembe veszik.</t>
  </si>
  <si>
    <t>KEREKÍTETT SZÁMOK</t>
  </si>
  <si>
    <t>A közvélemény-kutatók jellemzően egész számra kerekítve mutatják be a százalékos adatokat. Ahol ennél nagyobb pontosságú adat volt elérhető vagy kiszámítható, ott viszont azt mutatja a jelen adatbázis.</t>
  </si>
  <si>
    <t>Ennek azért van jelentősége, mert nincs garancia arra, hogy a közvélemény-kutatók mind és mindig ugyanazokat a kerekítési szabályokat követnék, a matematikailag várhatónál mintha gyakrabban közölnének pont 100-ra összeadódó számsorokat (tehát lehet, hogy a kumulálódó kerekítési hibákat a nagyközönség panaszait elkerülendő kiiktatják a számsorokból), és hibákat is elkövethetnek a kerekítés során (én magam pl. követtem el ilyet, amikor egy 1994-es exit poll eredményeit közöltem a kutatásvezetővel, és ezért az FKGP eredménye a valóságosnál 1%-kal magasabb számmal jelent meg az exit poll-t megrendelő médiában).</t>
  </si>
  <si>
    <t>Ezért ahol a közvélemény-kutató intézetek saját archívumaiból sikerült a publikált adatoknál pontosabb (tehát tört számokat is tartalmazó) adatokat szereznem, mint például az 1994 és 2003 közötti Gallup vagy az összes Ipsos idősorok esetében, ott (majd) azokat közlöm, nem pedig a sajtóban megjelent egész számra kerekített értékeket.</t>
  </si>
  <si>
    <t>A trendek kiszámítása során mindig a választásokon leadott érvényes szavazatok megoszlásával összehasonlítható alapra, közös nevezőre hozom az intézetek különféle adatait. Ennek során tört számokká alakulnak az eredetileg még egész számokként megjelent adatok is.</t>
  </si>
  <si>
    <t>HIBÁK AZ ÉKEZETEKBEN</t>
  </si>
  <si>
    <t>Ezek részben azért fordulnak itt elő, mert némelyik számitógépem billentyűzetén nincs hosszú "i". Másrészt előfordulhat, hogy a magyar karakterek kicsit megkavarodtak, amig több számitógépen és szerveren át Önhöz került ez a file.</t>
  </si>
  <si>
    <t>SZÍNMAGYARÁZAT</t>
  </si>
  <si>
    <t>Piros betűs számok azt jelzik, hogy az eredeti forrásokhoz képest két vagy több párt külön-külön szereplő számait összeadja az itteni számsor, vagy esetleg valamilyen más (a megjegyzésben részletezett) módon becsülte meg.</t>
  </si>
  <si>
    <t>Színes háttér jelzi, hogy ugyanabból az adatfelvételből több adatsor is bekerülhetett egy-egy táblába. Ezek egymás után szerepelnek, és a szomszédos soroktól színkód különbözteti meg őket.</t>
  </si>
  <si>
    <t>OSZLOPFELIRATOK</t>
  </si>
  <si>
    <t>Ezeket külön munkalap magyarázza el egyenként.</t>
  </si>
  <si>
    <t>A VOX POPULI BLOGON MEGJELENŐ ADATOK ÉS ÁBRÁKBAN MEGJELENŐ TOVÁBBI ADATOK</t>
  </si>
  <si>
    <t>Ezeket is megtalálja ugyanabban a mappában, mint ezt az állományt, tehát itt:
https://drive.google.com/drive/folders/1IVTl_cXGcOfDf8vt03MrwDsNa41Xb8a0?usp=sharing</t>
  </si>
  <si>
    <t>A “DATA_Az_ábrákon_bemutatott_becslések.xlsx” állományt a “Ábrarajzoló_kód_[ÉV]-[HÓ]-[NAP].R” komputer kód hozta létre a “DATA_Választási_közvélemény-kutatások_Magyarországon.xlsx” állomány tartalmából és azokat a közös nevezőre hozott adatokat tartalmazza (benne trendszámításokkal, mozgóátlagokkal, becsült hibahatárokkal), amelyekkel a https://kozvelemeny.wordpress.com oldal elemzéseiben illetve a https://www.facebook.com/valasztasi.kalauz oldalon posztoltam. </t>
  </si>
  <si>
    <t>Az "Adatok" munkalapban a mátrix minden oszlopa egyedi feliratot (változónevet) kapott, ami az oszlop tartalmára utal.</t>
  </si>
  <si>
    <t>VÁLTOZÓNÉV</t>
  </si>
  <si>
    <t>TARTALOM, JELENTÉS</t>
  </si>
  <si>
    <t>Adatok bázisa</t>
  </si>
  <si>
    <t>Ez az oszlop mutatja, hogy az adatsor az "összes" megkérdezettre illetve pártválasztóra vonatkozik-e, vagy csak a "biztos" szavazókra illetve "biztos szavazó pártválasztókra".</t>
  </si>
  <si>
    <t>Kezdet</t>
  </si>
  <si>
    <t>Adatfelvétel első napja a kutatásról beszámoló források szerint</t>
  </si>
  <si>
    <t>Vég</t>
  </si>
  <si>
    <t>Adatfelvétel utolsó napja a kutatásról beszámoló források szerint</t>
  </si>
  <si>
    <t>Adatgazda</t>
  </si>
  <si>
    <t>Az adatok forrásaként megjelölt közvélemény-kutató intézet neve. Nem feltétlenül azonos a tényleges adatfelvételt végző cég (pl. telefonos vizsgálatoknál alvállalkozóként megbizott call center) nevével, amit nem szokás közölni.</t>
  </si>
  <si>
    <t>Pedigré</t>
  </si>
  <si>
    <t>Ez a változó mutatja, hogy az eggyel megelőző parlamenti választás előtt viszonylag rendszeresen publikált-e választási közvélemény-kutatásokat az adott intézet. Ha nem (tehát 0), akkor szerintem célszerű nem figyelembe venni a következő parlamenti választás eredményének előrejelzése során.</t>
  </si>
  <si>
    <t>Fókusz</t>
  </si>
  <si>
    <t>Olyan ismert körülmény a szavazási szándékra vonatkozó kérdés megfogalmazásában vagy kontextusában, ami miatt a válaszok megoszlása nem hasonlitható össze minden további nélkül más itt szereplő adatsorokkal (részletes magyarázat a "Megjegyzések" oszlopban)</t>
  </si>
  <si>
    <t>Minta</t>
  </si>
  <si>
    <t>Mintanagyság, ha szerepel a forrásokban</t>
  </si>
  <si>
    <t>Mód</t>
  </si>
  <si>
    <t>A közvélemény-kutatás technológiája, tehát hogy személyes megkérdezéssel, telefonon, vagy online önkitöltő kérdőivvel gyűjtötték-e az adatokat</t>
  </si>
  <si>
    <t>Fidesz</t>
  </si>
  <si>
    <t>A Fideszt (1995 előtt FIDESZ, 2006 óta Fidesz-KDNP) választó megkérdezettek százalékos aránya</t>
  </si>
  <si>
    <t>MSZP</t>
  </si>
  <si>
    <t>Magyar Szocialista Párt (2018 elejétől 2022 áprilisig ld. MSZP-P oszlop)</t>
  </si>
  <si>
    <t>Jobbik</t>
  </si>
  <si>
    <t>A Jobbik Magyarország Mogalmat választó megkérdezettek százalékos aránya</t>
  </si>
  <si>
    <t>MSZP-P</t>
  </si>
  <si>
    <t>A Magyar Szocialista Pártot (2018 elejétől MSZP-Párbeszéd választási szövetség) választó megkérdezettek százalékos aránya</t>
  </si>
  <si>
    <t>DK</t>
  </si>
  <si>
    <t>A Demokratikus Koaliciót választó megkérdezettek százalékos aránya</t>
  </si>
  <si>
    <t>LMP</t>
  </si>
  <si>
    <t>A Lehet Más a Politikát választó megkérdezettek százalékos aránya</t>
  </si>
  <si>
    <t>Együtt</t>
  </si>
  <si>
    <t>Az Együtt – a Korszakváltók Pártját (2013. márc. előtt „Együtt 2014 mozgalom” , 2013. márciusa és 2014 vége között Együtt-PM) választó megkérdezettek százalékos aránya (a párt 2012 késő őszén jelent meg a közvélemény-kutatásokban és 2018 nyarán július 2-án megszűnt)</t>
  </si>
  <si>
    <t>P</t>
  </si>
  <si>
    <t>A Párbeszéd Magyarországért Mozgalmat/Pártot választó megkérdezettek százalékos aránya</t>
  </si>
  <si>
    <t>MM</t>
  </si>
  <si>
    <t>A Momentum Mozgalmat választó megkérdezettek százalékos aránya</t>
  </si>
  <si>
    <t>A MSZP-Párbeszéd választási szövetséget illetve ennek két pártját összesen választó megkérdezettek százalékos aránya (2018 eleje és 2022 áprilisa között használt kategória)</t>
  </si>
  <si>
    <t>MMN</t>
  </si>
  <si>
    <t>A Mindenki Magyarországa Néppártot/Mozgalmat választó megkérdezettek százalékos aránya</t>
  </si>
  <si>
    <t>NP</t>
  </si>
  <si>
    <t>A Nép Pártján (Jakab Péter) pártot választó megkérdezettek százalékos aránya</t>
  </si>
  <si>
    <t>MKKP</t>
  </si>
  <si>
    <t>A Magyar Kétfarkú Kutya Pártot választó megkérdezettek százalékos aránya</t>
  </si>
  <si>
    <t>2RK</t>
  </si>
  <si>
    <t>A Második Reformkor (Vona Gábor) pártot választó megkérdezettek százalékos aránya</t>
  </si>
  <si>
    <t>MH</t>
  </si>
  <si>
    <t>A Mi Hazánk Mozgalmat választó megkérdezettek százalékos aránya (a párt 2018 júliusa táján jelent meg a közvélemény-kutatásokban)</t>
  </si>
  <si>
    <t>TISZA</t>
  </si>
  <si>
    <t>A Tisztelet és Szabadság Pártot választó megkérdezettek százalékos aránya (a párt 2024 április végén jelent meg a közvélemény-kutatásokban ezen a néven, márciustól kezdve "Magyar Péter pártjaként" már említették néhány közvélemény-kutatásban)</t>
  </si>
  <si>
    <t>Egyéb pártok</t>
  </si>
  <si>
    <t>Ebben az oszlopban akkor szerepel szám, ha az adatfelvételről szóló közlemények legalább egyike tényleges számértéket ad meg arról, hogy más, külön oszlopot itt nem kapó pártok együtt vagy külön-külön hány százálékos támogatottságon álltak a mintában, vagy ez a szám biztonságosan megbecsülhető a közölt adatokból és az adott közvélemény-kutató az adott időszakra jellemző közlési rutinjainak megfigyelésével.</t>
  </si>
  <si>
    <t>Egyéb válasz</t>
  </si>
  <si>
    <t>Tehát pl. a "nem tudom", "nincs válasz", "nem szavazna", "nem mondja meg" stb. kategóriák együttes aránya a mintában.  Ha az oszlopban nulla szerepel, akkor a pártokra vonatkozó számok ugyanabban a sorban az összes pártválasztóra értendők, tehát a bázis nem tartalmazza az ilyen válaszhiányos megkérdezetteket.</t>
  </si>
  <si>
    <t>alpha</t>
  </si>
  <si>
    <t>Az egyes pártokra vonatkozó oszlopokban szereplő számokat az adott sorban ezzel a konstanssal kell beszorozni ahhoz, hogy - a kumulálódó kerekitési hibákat illetve válaszhiányos megkérdezetteket leszámitva - azok összege pontosan százat adjon ki, tehát az "összes pártválasztókra" (illetve "biztos szavazó pártválasztókra") vonatkozzon.</t>
  </si>
  <si>
    <t>Biztos szavazó</t>
  </si>
  <si>
    <t>Azoknak a százalékos aránya a mintában, akik azt mondták, hogy "biztosan részt vennének" egy hétvégi (parlamenti) választáson. A kérdés szövege jellemző módon hiányzik a forrásokból, ezért csak a hazai közvélemény-kutatók szokásairól kialakult benyomásomra alapozom azt a feltevést, hogy ennék a kérdésnél (mindig?)  négy válaszlehetőséget kapnak a megkérdezettek: biztosan elmenne, valószinűleg elmenne, valószinúleg nem menne el, biztosan nem menne el. Ez egy 2020 októberében bevezetett cella, azóta gyűjtöm csak módszeresen az erről megjelenő információkat. Az ennél korábbi adatforrások esetén esetleges, hogy hol kerestem ki az erre vonatkozó információt.</t>
  </si>
  <si>
    <t>FFALU</t>
  </si>
  <si>
    <t>Az összes pártválasztók között a községekben ennyi százalékponttal nagyobb a Fidesz támogatottsága, mint országosan. Ez egy  2021 novemberében bevezetett cella, azóta gyűjtöm csak módszeresen az erről megjelenő információkat. Az ennél korábbi adatforrások esetén esetleges, hogy hol kerestem ki az erre vonatkozó információt.</t>
  </si>
  <si>
    <t>O1GBP</t>
  </si>
  <si>
    <t>Megrendelő</t>
  </si>
  <si>
    <t>A kutatás megrendelőjével kapcsolatos nyilvánosságra került információ és ennek forrása. Ez egy 2020 decemberében bevezetett cella, azóta gyűjtöm csak módszeresen az erről megjelenő információkat. Az ennél korábbi adatforrások esetén esetleges, hogy hol kerestem ki az erre vonatkozó információt.</t>
  </si>
  <si>
    <t>Forrás 1-3:</t>
  </si>
  <si>
    <t>Az itt közölt adatok forrásai</t>
  </si>
  <si>
    <t>Megjegyzések</t>
  </si>
  <si>
    <t>A jelen adatbázis fejlesztőjének esetleges megjegyzései az adatokkal kapcsolatban</t>
  </si>
  <si>
    <t>UnixStart</t>
  </si>
  <si>
    <t>Az adatfelvétel kezdő időpontja Unix time-ban (ennyi másodperc telt el 1970. január 1-e kezdete és az adatfelvétel kezdete között)</t>
  </si>
  <si>
    <t>UnixEnd</t>
  </si>
  <si>
    <t>Az adatfelvétel záró időpontja Unix time-ban (ennyi másodperc telt el 1970. január 1-e kezdete és az adatfelvétel vége között)</t>
  </si>
  <si>
    <t>UnixTime</t>
  </si>
  <si>
    <t>Ez nagyjából az adatfelvétel félideje Unix időben, az ábrákban és idősoros elemzésekben erre érdemes vonatkoztatni az adatsort, lévén a Unix idő egy szép folytonos változó. Mivel a közvélemény-kutatási interjúk jellemzően késő délután-kora este készülnek, és a terepmunka elején nagyobb számban, mint a vége felé, ezért nem teljesen pontos a becslés.</t>
  </si>
  <si>
    <t>DK-MSZP-P</t>
  </si>
  <si>
    <t>Egyéb párt</t>
  </si>
  <si>
    <t>Forrás 1</t>
  </si>
  <si>
    <t>Forrás 2</t>
  </si>
  <si>
    <t>Forrás 3</t>
  </si>
  <si>
    <t>Biztos</t>
  </si>
  <si>
    <t>Nézőpont</t>
  </si>
  <si>
    <t>1</t>
  </si>
  <si>
    <t>Telefonos</t>
  </si>
  <si>
    <t>A források nem nevezik meg.</t>
  </si>
  <si>
    <t>https://nezopont.hu/tiz-szazalekponttal-vezet-a-fidesz/</t>
  </si>
  <si>
    <t>https://www.facebook.com/nezopontintezet/posts/pfbid0PynuBawTohYV6ian7F3DkUhdSWzHkJwxgciBjGXmLmT6v3V9NwLBmanLKZhnbiMUl</t>
  </si>
  <si>
    <t>https://magyarnemzet.hu/belfold/2024/09/uj-kutatas-igy-all-most-a-magyarorszagi-partok-tamogatottsaga</t>
  </si>
  <si>
    <t>VP: https://www.facebook.com/valasztasi.kalauz/posts/pfbid0hYHo1Fdk1xWTVap8VGiJi4tTM8SyC4vcyuNB2x9hiDaq38B9WFp3BtuGBo6Zk4jil</t>
  </si>
  <si>
    <t>VP: https://www.facebook.com/valasztasi.kalauz/posts/pfbid02R2dHA56yYuWT2DLpJf1w5SJTHhLtVnAaB7QQe3bR2gHeqA2BpGjLcZw4bxoeyNz7l</t>
  </si>
  <si>
    <t>Összes</t>
  </si>
  <si>
    <t>IDEA</t>
  </si>
  <si>
    <t>Online</t>
  </si>
  <si>
    <t>A forrás nem nevezi meg.</t>
  </si>
  <si>
    <t>https://www.facebook.com/photo?fbid=836698345211480&amp;set=a.508321001382551</t>
  </si>
  <si>
    <t xml:space="preserve">VP: </t>
  </si>
  <si>
    <t>Real-PR 93</t>
  </si>
  <si>
    <t>Még nem nyilvános</t>
  </si>
  <si>
    <t>https://magyarnemzet.hu/kulfold/2024/09/biden-lecserelese-ellenere-a-magyarok-tobbsege-trump-gyozelmet-veli-kedvezobbnek?fbclid=IwY2xjawFZGJRleHRuA2FlbQIxMAABHUX430uVJAz282iIyk-RLHtuG2COIozAV7XG84KSrRAWPkRTbBqugsbUpw_aem__dacoMXQOX3RdA-nr_61Pw</t>
  </si>
  <si>
    <t>https://www.facebook.com/realpr93/posts/pfbid02ECP2NEyHH6sKj31xq5K19FvcaopF9b3cRhemqYdXyNZzGSVNfK5a6rAA4YdD5XRl</t>
  </si>
  <si>
    <t>Medián</t>
  </si>
  <si>
    <t>HVG</t>
  </si>
  <si>
    <t>https://hvg.hu/360/20240911_Median-meres-Gyorsabban-fogy-a-Fidesz-elonye-mint-Orban-Viktor-Tisza-Magyar-Peter-DK</t>
  </si>
  <si>
    <t>MSZP és Párbeszéd összesen nincs 1%, mert a DK-MSZP-P-t egy plusz tábla 3.3%-nak mutatja (júliusban még 9,2%)</t>
  </si>
  <si>
    <t>https://nezopont.hu/nepszeruek-a-kozoktatast-erinto-kormanyzati-intezkedesek/</t>
  </si>
  <si>
    <t>ZRI</t>
  </si>
  <si>
    <t>Személyes</t>
  </si>
  <si>
    <t>https://telex.hu/belfold/2024/09/05/magyar-peter-tisza-part-zavecz-kutatas-felmeres-33-szazalek</t>
  </si>
  <si>
    <t>Az "egyéb pártba" könyveltem el 1% Szocialisták és Demokratákat.</t>
  </si>
  <si>
    <t>Társadalomkutató</t>
  </si>
  <si>
    <t>https://tarsadalomkutato.hu/magyar-peter-dulakodasat-igaznak-tartja-ep-kepviselove-valasat-helyteleniti-a-magyarok-a-tobbsege/</t>
  </si>
  <si>
    <t>Publicus</t>
  </si>
  <si>
    <t>Népszava</t>
  </si>
  <si>
    <t>https://publicus.hu/blog/a-tobbseg-inkabb-nem-tamogatna-egy-esetleges-budapesti-olimpiat/</t>
  </si>
  <si>
    <t>https://publicus.hu/blog/a-tobbseg-szerint-az-anyagi-bizonytalansag-miatt-szuletik-egyre-kevesebb-gyerek-magyarorszagon/</t>
  </si>
  <si>
    <t>VP: https://www.facebook.com/valasztasi.kalauz/posts/pfbid0yethLa9fuHSQYw5gWKDyQuviUJt6JZFHwS8BB5ZLX5rGx7hGYguy7YGEYW4sNnWxl</t>
  </si>
  <si>
    <t>https://magyarnemzet.hu/belfold/2024/08/felhaborodtak-a-magyarok-az-ukran-olajszankciok-miatt</t>
  </si>
  <si>
    <t>https://nezopont.hu/az-ukran-olajszankciok-miatt-a-magyarok-felhaborodtak/</t>
  </si>
  <si>
    <t>https://www.facebook.com/photo/?fbid=819184690296179&amp;set=a.508321001382551</t>
  </si>
  <si>
    <t>https://24.hu/belfold/2024/08/16/idea-eloszor-nem-nott-a-tisza-part/</t>
  </si>
  <si>
    <t>https://nezopont.hu/valtozatlan-partpreferenciak-minden-masodik-magyar-orban-parti/</t>
  </si>
  <si>
    <t>VP:  https://www.facebook.com/valasztasi.kalauz/posts/pfbid0r7AEnQJjjgWba9kNQE4syNkuzSNgUZe2JMoyngTyXufm4eL7Q9eXJMyfANqHVLh7l</t>
  </si>
  <si>
    <t>Nyomtatott HVG</t>
  </si>
  <si>
    <t>https://hvg.hu/360/20240718_hvg-median-ep-valasztas-fidesz-tisza-dk-gyurcsany</t>
  </si>
  <si>
    <t>VP: https://www.facebook.com/valasztasi.kalauz/posts/pfbid0PbvERef61EkM3b7z3V8gFgPG7a9JdbRjYBfDZtCdAS2gCRmGxFxtPyi8pMq2YZ7Ql</t>
  </si>
  <si>
    <t>Republikon</t>
  </si>
  <si>
    <t>https://republikon.hu/elemzesek,-kutatasok/24-07-15-kvk.aspx</t>
  </si>
  <si>
    <t>https://telex.hu/belfold/2024/07/15/republikon-intezet-valasztas-utani-partpreferenciak-fidesz-tisza-part</t>
  </si>
  <si>
    <t>A részvételt 4-fokú skálán mérik, 68-12-9-8 a megoszlás (4% NT-NV). Az egyéb pártból 1% Szocialisták és Demokraták.</t>
  </si>
  <si>
    <t>VP: https://www.facebook.com/valasztasi.kalauz/posts/pfbid02LpdxWGZiGJSNJsPR1HSq7YtwA8CQ5WXVxFoSVr3Lw8tcAqyeH2Q4UiUgXtGPqBFl  Az egyéb pártból 1% Szocialisták és Demokraták.</t>
  </si>
  <si>
    <t>https://nezopont.hu/a-magyarok-nem-tamogatjak-ursula-von-der-leyen-ujravalasztasat/</t>
  </si>
  <si>
    <t>https://nezopont.hu/a-magyarok-nem-tamogatjak-az-europai-neppart-allaspontjat/</t>
  </si>
  <si>
    <t>VP:  https://tinyurl.com/yeynmv4p és https://www.facebook.com/valasztasi.kalauz/posts/pfbid0ZfeHUGEmGFXApSa4gqeZnjvFsBAyJXcT7BqeK3HeZKtaq68rbebAhEwYnXKDtLGPl</t>
  </si>
  <si>
    <t>https://nepszava.hu/3242822_itt-a-felmeres-az-emberek-majdnem-fele-gondolja-hogy-kis-kulonbseg-eseten-mindig-ujra-kellene-szamolni-a-voksokat</t>
  </si>
  <si>
    <t>https://nepszava.hu/3243147_haborus-propaganda-orban-kormany-felmeres-publicus</t>
  </si>
  <si>
    <t>https://24.hu/belfold/2024/07/04/tisza-part-fidesz-idea-kozvelemeny-kutatas/</t>
  </si>
  <si>
    <t>https://hvg.hu/itthon/20240704_Idea-Intezet-Tisza-part-kozvelemeny-kutatas</t>
  </si>
  <si>
    <t>VP:  https://www.facebook.com/valasztasi.kalauz/posts/pfbid037NQmfwyPkbCJG5JvbaV1oLwzPxBc83s9R1KVhdEyhbHQKyBZAfN8LzCc6sE8thSql</t>
  </si>
  <si>
    <t>https://nezopont.hu/vitezy-david-legyozheti-karacsony-gergelyt/</t>
  </si>
  <si>
    <t>https://magyarnemzet.hu/belfold/2024/06/vitezyt-tamogatja-a-tobbseg</t>
  </si>
  <si>
    <t>21 Kutató</t>
  </si>
  <si>
    <t>0</t>
  </si>
  <si>
    <t>Partizán 3:01:32-től https://www.youtube.com/live/d2tUmYaeLMg?si=3feAE7-_jQ5BpQcI&amp;t=10892</t>
  </si>
  <si>
    <t>https://www.facebook.com/nezopontintezet/posts/pfbid02UWGyymdKCEDM6MxfPnpGNXsvzkcsxLrmv47Cz7PFVekG9XwRGA2uLxE3dWSRyAU5l</t>
  </si>
  <si>
    <t>EP listavezetők megnevezésével</t>
  </si>
  <si>
    <t>https://publicus.hu/blog/budapest-karacsony-50-vitezy-47/</t>
  </si>
  <si>
    <t>https://nepszava.hu/3238284_publicus-intezet-karacsony-gergely-vitezy-david-nepszeruseg-felmeres</t>
  </si>
  <si>
    <t>https://publicus.hu/blog/publicus-fovarosi-kutatasa-a-legpontosabb-2024-ben-is/</t>
  </si>
  <si>
    <t>Főpolgit méregettek</t>
  </si>
  <si>
    <t>https://publicus.hu/blog/ep-fidesz-kdnp-43-tisza-25-dk-mszp-parbeszed-15/</t>
  </si>
  <si>
    <t>https://nepszava.hu/3238154_onkormanyzati-valasztas-ep-valasztas-publicus-felmeres-partpreferencia</t>
  </si>
  <si>
    <t>"A válaszadók 56 százaléka ígérte részvételét a június 9-i EP és önkormányzati választáson.      A megkérdezettek 22 százaléka vagy az utolsó héten, vagy az utolsó napokban, vagy pedig az utolsó napon, a szavazófülkében dönt arról, hogy melyik párt listájára szavaz a most vasárnapi EP választáson."</t>
  </si>
  <si>
    <t>EP</t>
  </si>
  <si>
    <t>VP: https://www.facebook.com/valasztasi.kalauz/posts/pfbid03193fB9qLzSFkQDpdtMFQNrLQniXJgNV6jAFPb9PAnLgcCK8DfA4dcpbFx45soS3l</t>
  </si>
  <si>
    <t>https://hvg.hu/itthon/20240607_median-az-europai-parlamenti-valasztas-biztos-magyarorszagi-gyoztese-a-fidesz-kdnp</t>
  </si>
  <si>
    <t>https://24.hu/belfold/2024/06/07/median-felmeres-kozvelemeny-kutatas-ep-valasztas/</t>
  </si>
  <si>
    <t>https://www.facebook.com/median.hu/posts/pfbid0xvh8KtJCEj9PZnW8wN8RM18MFYDWkPhTYAUL1MoLW3D7bFpvxAMZzsywtcXuSvBal</t>
  </si>
  <si>
    <t>Századvég</t>
  </si>
  <si>
    <t>https://szazadveg.hu/cikkek/vitezy-david-a-legnepszerubb-fopolgarmester-jelolt/</t>
  </si>
  <si>
    <t>https://mandiner.hu/belfold/2024/06/szentkiralyi-alexandra-visszalepesevel-tenylegesen-levalthatova-valt-karacsony-gergely-kiszelly-zoltan-a-mandinernek</t>
  </si>
  <si>
    <t xml:space="preserve">Főpolgit méregettek. VP: </t>
  </si>
  <si>
    <t>https://telex.hu/belfold/2024/06/03/zuglo-onkormanyzati-valasztas-rozsa-andras-horvath-csaba-magyar-peter</t>
  </si>
  <si>
    <t>Alapvetően a polgármester-választásról szólt, de "A felmérésben egy kérdés az EP-választásról szólt …" és ez szerepel itt a táblázatban.</t>
  </si>
  <si>
    <t>https://telex.hu/belfold/2024/06/04/zavecz-kutatas-ep-valasztas-fidesz-tisza-part-dk-tamogatottsaga</t>
  </si>
  <si>
    <t>https://24.hu/belfold/2024/06/04/zavecz-fidesz-45-tisza-27-dk-mszp-parbeszed-11-szazalek/#</t>
  </si>
  <si>
    <t>VP: https://www.facebook.com/valasztasi.kalauz/posts/pfbid02thBia8CGUTYHrQtypbKP9ZMc4XVtoBViCLqynFrUgca96vKpKKmWw5phPEhvg36Jl</t>
  </si>
  <si>
    <t>https://hvg.hu/itthon/20240530_median-a-tisza-tovabb-erosodott-de-a-fidesz-is</t>
  </si>
  <si>
    <t>VP: https://www.facebook.com/valasztasi.kalauz/posts/pfbid02ZQsW3PsUw2t6NRwstHqY6rF3SQY2Wwpu7bK9ergGvJxUcdkbeRvp9pcoe17Xn2sQl</t>
  </si>
  <si>
    <t>VP: https://www.facebook.com/valasztasi.kalauz/posts/pfbid0rvXVbRogCYULEMrh9TAu5gcVxzogs291GyU6hALyJs6VtiUvAt6BA1ASJTXLbt2ml</t>
  </si>
  <si>
    <t>https://nezopont.hu/merre-tovabb-europa-kozvelemeny-kutatoi-konferencia-az-europai-parlamenti-valasztasokrol/</t>
  </si>
  <si>
    <t>https://partpreferencia.hu</t>
  </si>
  <si>
    <t>https://www.facebook.com/realpr93/posts/pfbid02EBBTJwVti2sx99zQNiZtZH95WUCdpmUtY22Wtc3Vi7LSoaXQrREzqRu96b7mpv3ol</t>
  </si>
  <si>
    <t>VP: https://www.facebook.com/valasztasi.kalauz/posts/pfbid0rvXVbRogCYULEMrh9TAu5gcVxzogs291GyU6hALyJs6VtiUvAt6BA1ASJTXLbt2ml  Az egyéb párt a Megoldás Mozgalom.</t>
  </si>
  <si>
    <t>Telefonos és online</t>
  </si>
  <si>
    <t>https://publicus.hu/blog/mi-is-a-helyzet-zugloban/</t>
  </si>
  <si>
    <t>polgármester-választási adatok</t>
  </si>
  <si>
    <t>https://24.hu/belfold/2024/06/05/idea-intezet-valasztas-partpreferencia-kutatas-fidesz-tisza/</t>
  </si>
  <si>
    <t>https://www.facebook.com/photo/?fbid=777897661091549&amp;set=a.508321001382551</t>
  </si>
  <si>
    <t>http://www.ideaintezet.hu/hu/hirek-aktualis/122/ep-valasztas--a-fidesz-kdnp-40-szazalek-felett--a-tisza-part-jelentosen-lemaradva-a-masodik</t>
  </si>
  <si>
    <t>https://www.facebook.com/median.hu/posts/pfbid02FvR7zdwU7Bm3FQxfqxSYwR5haSrfNbA5Em5e43YgRWuVFb1UgUiKDSDvEZgvqMHLl</t>
  </si>
  <si>
    <t>https://www.facebook.com/median.hu/posts/pfbid031zhRJV2ATL8jW1fYxkvCfSaaAhxaaTH8AFqmL5AcSa5iviAbmba3YWEicXoia8Dhl</t>
  </si>
  <si>
    <t>VP: https://www.facebook.com/valasztasi.kalauz/posts/pfbid0E8n4cmEcMktV33q2htPAUxf87iZo6bL2o6ZimnH4peaKnEng8HLSDvboYLFYCu9Jl.  és  https://www.facebook.com/valasztasi.kalauz/posts/pfbid02tTm5kfWuEdY73Wnu9PWXCPTKFvsHJ3dCHi9DcSA2mRNc4tZAjXsukvk2HPFzxAkjl</t>
  </si>
  <si>
    <t>https://mandiner.hu/belfold/2024/05/igy-alakulhatnak-a-mandatumok-az-ep-valasztason</t>
  </si>
  <si>
    <t>VP:  https://www.facebook.com/valasztasi.kalauz/posts/pfbid0rvXVbRogCYULEMrh9TAu5gcVxzogs291GyU6hALyJs6VtiUvAt6BA1ASJTXLbt2ml Az egyéb párt a Megoldás Mozgalom.</t>
  </si>
  <si>
    <t>Alapjogokért Központ</t>
  </si>
  <si>
    <t>https://www.origo.hu/itthon/2024/05/nezopont-fidesz-ep-valasztas-haboru-es-beke</t>
  </si>
  <si>
    <t>VP: https://www.facebook.com/valasztasi.kalauz/posts/pfbid0rvXVbRogCYULEMrh9TAu5gcVxzogs291GyU6hALyJs6VtiUvAt6BA1ASJTXLbt2ml   Az egyéb párt a Megoldás Mozgalom.</t>
  </si>
  <si>
    <t>Medián és 21 Kutató</t>
  </si>
  <si>
    <t>https://hvg.hu/itthon/20240527_median-budapest-fopolgarmester-valasztas-karacsony-szentkiralyi-vitezy-magyar-peter-tisza-part#rss</t>
  </si>
  <si>
    <t>https://rtl.hu/hirado/2024/05/29/szentkiralyi-karacsony-vitezy-median-visszalepes-eselyek-budapest-fopolgarmester-valasztas</t>
  </si>
  <si>
    <t>https://www.facebook.com/median.hu/posts/pfbid0UABwyTtZEiM24fBPaibYymgPirLsQZ34scS4VKsN726AETKNNgeNQ7BnicGAsxjyl</t>
  </si>
  <si>
    <t>Fővárosi listás számok, listavezetőt megnevező kérdéssel. VP: https://www.facebook.com/valasztasi.kalauz/posts/pfbid02fcpt2SvFUh4ncCTmpGcBrMF4YTGPuoUoKtPZEvTjoXvv93qxL6Hnrvfd8rvBwvAml  "Arra a kérdésre, hogy pontosan mire lehet majd szavazni, az egyéni képviselői voksot a válaszadók 13 százaléka tudta magától felidézni, a fővárosi listás szavazatot pedig mindössze 3 százalék. Emellett további 13 százalék azok aránya, akik mindkét szavazási lehetőséget meg tudták említeni – 68 százalék azonban csak az EP- és a két polgármesteri vokssal volt tisztában. Valamivel többen válaszoltak helyesen, amikor nem spontán módon, hanem egy felkínált listából kellett kiválasztani azokat, amelyekre majd szavazni lehet: ekkor 36 százalék jelölte meg az egyéni képviselői szavazatot, 20 pedig a fővárosi közgyűlésit. ... A kutatásban végül arra is rákérdeztek, hogy az öt szavazólap közül melyiket tartják a budapestiek a legfontosabbnak. Erre 41 százalék a főpolgármesterit, 34 százalék az európai parlamentit, 9 százalék a polgármesterit, 7 az egyéni kerületi képviselőit, 2 a fővárosi közgyűlésit jelölte meg. (7 százalék nem tudott dönteni a kérdésben.)"</t>
  </si>
  <si>
    <t>https://www.origo.hu/itthon/2024/05/nezopont-fidesz-ep-valasztas-haboru-es-beke?fbclid=IwZXh0bgNhZW0CMTAAAR00Wn1s5xvHtFUg5J4dyqJus26ViL8dZYi7jpUz6PPKcaIeDTYlu2xWGQE_aem_ASWX_shUBYFmwNHCfnI93M-a01X84NF0J3KQu9wH1-Nif1WvskOP9q-rh1EKoNSFSPlCjix0Xz__vq2J1LT675kS</t>
  </si>
  <si>
    <t>Kapcsolódó poszt: https://nezopont.hu/elindult-a-kozvelemeny-kutatasokat-osszehasonlito-partpreferencia-hu/</t>
  </si>
  <si>
    <t>24.hu</t>
  </si>
  <si>
    <t>https://24.hu/belfold/2024/05/27/europai-unio-magyarorszag-unios-tagsag-varakozasok-kilepes-kozvelemeny-kutatas/</t>
  </si>
  <si>
    <t>https://publicus.hu/blog/elonyben-karacsony-gergely-kihivoival-szemben-budapesten/</t>
  </si>
  <si>
    <t>főpolgármester-választási adatok</t>
  </si>
  <si>
    <t>RTL</t>
  </si>
  <si>
    <t>https://rtl.hu/europa/2024/05/14/zavecz-ep-valasztas-kozvelemeny-kutatas-fidesz-tisza-part-dk</t>
  </si>
  <si>
    <t>Pulzus</t>
  </si>
  <si>
    <t>Mobile app</t>
  </si>
  <si>
    <t>https://youtu.be/h3JLa2iSxu8?si=Q-FtdF4zNN42ZeFi&amp;t=125</t>
  </si>
  <si>
    <t>https://magyarnemzet.hu/belfold/2024/05/erdekes-helyzetet-teremthetnek-a-partlistak-a-fovarosi-kozgyules-osszeteteleben</t>
  </si>
  <si>
    <t>Az Inforádióban Závecz Tibor sajátjaként idézte, de a magyarnemzet.hu-n már LMP megrendelte Pulzus kutatásként ismertették</t>
  </si>
  <si>
    <t>https://nezopont.hu/akar-minden-masodik-szavazatot-a-fidesz-kaphat-az-ep-valasztason/</t>
  </si>
  <si>
    <t>https://magyarnemzet.hu/belfold/2024/05/igy-szavaznanak-az-emberek-ha-most-hetvegen-lennenek-a-valasztasok</t>
  </si>
  <si>
    <t>A terepmunka vége után derült ki, hogy az NP nem tud listát állítani. Ezért a megjelent ábrában az EP választás tekintetében őket nullának tekintették és "Jakab Péter listaállítási kudarca miatt kevesebb baloldali szavazat veszhet el az EP-választáson, miután Jakab mintegy 2 százaléknyi szavazótábora a másodlagos preferenciák alapján Magyar Péter pártját és a Gyurcsány-koalíciót erősítheti, mellyel becslésünkben is így számoltunk." VP: https://www.facebook.com/valasztasi.kalauz/posts/pfbid0y2FFkX7yXF4jQd8pRaKsYRvRFbaGmLcuKFm5Eu8GsWWDZFtJAyTUKrH5KvU9Es6Kl          "Mi a legvalószínűbb EP-listás eredményeket publikáltuk, ott áll a Fidesz 48-on. Ha mi is csak a biztos pártválasztók körében publikálnánk az adatainkat, az 50 feletti Fidesz-támogatásnak felelne meg." https://444.hu/2024/05/13/jobboldali-az-aki-orban-viktort-akarja-miniszterelnoknek</t>
  </si>
  <si>
    <t>Az EP preferenciákban azért erősebb a Fidesz, mert "a Fidesz szimpatizánsai aktívabbnak mondták magukat a közelgő európai parlamenti választáson, mint a jelenleg tét nélküli és távolibb országgyűlési választások esetében." "A Nézőpont Intézet minden esetben az egyes pártok adott választáson elérhető „legvalószínűbb listás” eredményét közli, amely a részvételüket biztosra ígérő választók bevallott és – a rejtőzködők esetében – segédkérdésekkel beazonosított pártpreferenciáit mutatja be, így szemben más intézetek „biztos pártválasztók” kategóriájával, a pártválasztásukban nem, de részvételükben biztos választók véleményét is figyelembe veszi."</t>
  </si>
  <si>
    <t>http://www.ideaintezet.hu/hu/hirek-aktualis/121/harom-part-a-parlamenti-bejutasi-kuszob-folott</t>
  </si>
  <si>
    <t>https://24.hu/belfold/2024/05/10/idea-partpreferencia-orszaggyulesi-valasztas-part-bejutas-parlament/</t>
  </si>
  <si>
    <t>https://www.facebook.com/story.php?story_fbid=762545619293420&amp;id=100066139654402&amp;rdid=etIJm3R6Gvrj1hPF</t>
  </si>
  <si>
    <t>VP: https://www.facebook.com/valasztasi.kalauz/posts/pfbid0y2FFkX7yXF4jQd8pRaKsYRvRFbaGmLcuKFm5Eu8GsWWDZFtJAyTUKrH5KvU9Es6Kl?notif_id=1715433116440173</t>
  </si>
  <si>
    <t>https://publicus.hu/blog/ep-fej-fej-mellett-a-tisza-part-es-a-dk-mszp-parbeszed-zoldek/</t>
  </si>
  <si>
    <t>https://nepszava.hu/3234189_ep-valasztas-2024-tisza-part-magyar-peter-publicus-felmeres</t>
  </si>
  <si>
    <t>https://publicus.hu/blog/a-tobbseg-szerint-magyar-peter-nem-tudja-megszolitani-a-fidesz-szavazoinak-tomegeit/</t>
  </si>
  <si>
    <t>VP: https://www.facebook.com/valasztasi.kalauz/posts/pfbid08U3RKgHxn9fuHq59Lu5WbfL16EeStLotVex837ofQZR8JL8v7FsePpRaC9U892kFl</t>
  </si>
  <si>
    <t>https://hvg.hu/itthon/20240504_publicus-intezet-kozvelemeny-kutatas-dobrev-klara-magyar-peter-fej-fej-mellett</t>
  </si>
  <si>
    <t>Nem külön vizsgálat, csak alminta.</t>
  </si>
  <si>
    <t>VP: https://www.facebook.com/valasztasi.kalauz/posts/pfbid02wGZqyVojDrLz1V3chXC4uoLAHicFYXCkNpemXdV6PyvNhUVMBXeXBhk5fur4AjLtl</t>
  </si>
  <si>
    <t>https://publicus.hu/blog/partok-tamogatottsaga-2024-aprilis/</t>
  </si>
  <si>
    <t>https://nepszava.hu/3234371_felmeres-ketharmad-elegedetlenseg-publicus-intezet-tisza-part-demokratikus-koalicio</t>
  </si>
  <si>
    <t xml:space="preserve">VP: https://www.facebook.com/valasztasi.kalauz/posts/pfbid023Zz9BKKzf3agyakznsRgtqGRfSAzPFLj71aQBMEuUGbR1Ne6a1vMx7AuzvM1bPaFl </t>
  </si>
  <si>
    <t>https://hvg.hu/360/20240430_hvg-median-ep-onkormanyzati-valasztas-magyar-peter-tisza-part-fidesz-ellenzek</t>
  </si>
  <si>
    <t>https://hvg.hu/itthon/20240501_median-kutatas-magyar-peter-tisza-part-fidesz</t>
  </si>
  <si>
    <t>VP: https://www.facebook.com/valasztasi.kalauz/posts/pfbid02v9v1MX19dGn1uSBnUxqAizpW1aySRyGkFRAhypL31q6bvcBkzEtP23RbSDscBiF4l</t>
  </si>
  <si>
    <t>"A projekt az Európai Unió társfinanszírozásával, az Európai Parlament kommunikáció területére vonatkozó támogatási programja keretében valósult meg."</t>
  </si>
  <si>
    <t>http://republikon.hu/elemzesek,-kutatasok/24-05-03_kvk-aprilis.aspx</t>
  </si>
  <si>
    <t>https://telex.hu/belfold/2024/05/03/republikon-fidesz-tisza-part-dk-ep-valasztas</t>
  </si>
  <si>
    <t>A részvételt 4-fokú skálán mérik, 73-12-5-5 a megoszlás (5% NT-NV). Az egyéb pártból 1% Szocialisták és Demokraták.</t>
  </si>
  <si>
    <t>VP: https://www.facebook.com/valasztasi.kalauz/posts/pfbid02U2qqhuZkMSUAA9GqguVVEu72PqBhc7XTuHqWtbghNzvZAmZJZ3H3iLj5CHGvirDHl.  Az egyéb pártból 1% Szocialisták és Demokraták.</t>
  </si>
  <si>
    <t xml:space="preserve">VP: https://www.facebook.com/valasztasi.kalauz/posts/pfbid02sJu3wHbgrq4V7Chtks3cam24kzRyiVjp2qpMGhZGmu4hxnPNM9SUuGR7vtjWWB2ul Az egyéb pártból 1% Szocialisták és Demokraták. </t>
  </si>
  <si>
    <t>https://hvg.hu/itthon/20240503_szentkiralyi-alexandra-megelozte-vitezy-davidot-egy-friss-kutatas-szerint</t>
  </si>
  <si>
    <t>Iránytű</t>
  </si>
  <si>
    <t>http://iranytuintezet.hu/elemzesek-kutatasok/mind/259-kik-a-tisza-part-szavazoi---az-iranytu-intezet-orszagos-kozvelemeny-kutatasa/</t>
  </si>
  <si>
    <t>https://telex.hu/belfold/2024/04/24/iranytu-intezet-kutatas-tisza-part-szavazok-kik-azok-ellenzek-fidesz</t>
  </si>
  <si>
    <t>https://www.facebook.com/peter.magyar.102/posts/pfbid02UFBHJkXyM4DCeNCuyYhcLm63Rvd63NHpCsmLFiaJy24UzQp4taDrvrpGt9HTqftjl?comment_id=1113834303204848&amp;reply_comment_id=719983253394882&amp;notif_id=1713808890521622&amp;notif_t=comment_mention&amp;ref=notif</t>
  </si>
  <si>
    <t>VP: https://www.facebook.com/valasztasi.kalauz/posts/pfbid02ftyYkv9g1cAqKmCw2eFoffoqtmGHfc5LCMEZmGU75vM9zbKuQo5yyZm3vWRiemDwl</t>
  </si>
  <si>
    <t>VP: https://www.facebook.com/valasztasi.kalauz/posts/pfbid0ncreqfTFiz8EwHxs9ErsPEvTgbJ4YkdbghhJtfGVf2e3Zpuq6ofE9yD5tb6HzkVil</t>
  </si>
  <si>
    <t>https://index.hu/belfold/2024/onkormanyzati_valasztas/2024/04/19/pulzus-kutatas-fopolgarmester-jelolt-momentum-soproni-tamas/</t>
  </si>
  <si>
    <t>A vizsgálat Brenner visszalépése előtt történt, és még Sopronit említett a Momentum listavezetőjeként. "Az Index birtokába jutott kutatás szerint folyamatosan erősödik a Vitézy Dávid által vezetett lista ... Mint írták, a felmérés befejezése után, az eredmények reprezentativitásának biztosítása érdekében, az adatokat relatív fontossági értékekkel látták el, hogy a minta összetétele közelítsen a nemzeti profilhoz (statisztikai súlyozás).
Hozzátették, ez a módszertan megfelel annak, ahogyan a kutatóintézetek finomhangoló intézkedésként súlyozzák az adatokat. A Pulzus Kutatási Rendszer esetében életkor, nem, iskolai végzettség és településtípus alapján végezték el a súlyozást. A statisztikai súlyozással eredményeik az ország egészének vagy a kutatás témájának megfelelő társadalmi, fogyasztói csoport véleményét, szokásait, cselekvési szándékait megbízhatóan tükrözik – közölte a Pulzus pénteken. "</t>
  </si>
  <si>
    <t>https://magyarnemzet.hu/belfold/2024/05/igy-nyerhet-szentkiralyi-alexandra-budapesten</t>
  </si>
  <si>
    <t>https://24.hu/belfold/2024/04/22/ep-valasztas-2024-kampany-felmeres-kutatas-zavecz-fidesz-magyar-peter-dk-parbeszed-mszp/</t>
  </si>
  <si>
    <t>https://hvg.hu/itthon/20240422_oriasit-esett-a-fidesz-tamogatottsaga-a-zavecz-felmerese-szerint-kozvelemeny-kutatas-magyar-peter-tisza-part</t>
  </si>
  <si>
    <t>https://telex.hu/belfold/2024/04/22/zavecz-magyar-peter-ep-lista-szavazotabor-kozvelemeny-kutatas-aprilis</t>
  </si>
  <si>
    <t>https://www.zaveczresearch.hu/</t>
  </si>
  <si>
    <t>Az "egyéb párt"-ból 1% SZOC-DEM.</t>
  </si>
  <si>
    <t>http://www.ideaintezet.hu/hu/hirek-aktualis/120/a-kormanypartok-es-az-ellenzeki-partok-tamogatottsaga-is-csokkent-az-utobbi-idoszakban#top</t>
  </si>
  <si>
    <t>https://nezopont.hu/nem-erosodtek-a-baloldali-partok/</t>
  </si>
  <si>
    <t>https://magyarnemzet.hu/belfold/2024/04/nem-a-kormanypartokat-gyengiti-magyar-peter</t>
  </si>
  <si>
    <t>VP: https://www.facebook.com/valasztasi.kalauz/posts/pfbid0mTMDAiMovhT2scqwXyQWRiAUfiD2kbCfGCzae1XoUE3Zp5q2vVSGfndEn7RDgjRpl és https://www.facebook.com/valasztasi.kalauz/posts/pfbid0sdELcrdGCGH2N7j9okgFesscjNrZ3BMK3Ggd5a2wPnZBgwciAfJ3QKY37py6kXWul</t>
  </si>
  <si>
    <t>http://republikon.hu/elemzesek,-kutatasok/24-04-05_kvk.aspx</t>
  </si>
  <si>
    <t>https://telex.hu/belfold/2024/04/05/partpreferenciak-marcius-magyar-peter-republikon</t>
  </si>
  <si>
    <t>https://telex.hu/belfold/2024/03/27/pulzus-kozvelemeny-kutatas-fopolgarmester-jelolt-budapest-onkormanyzati-valasztas</t>
  </si>
  <si>
    <t>Fővárosi listás számok,. Listavezetőt megnevező kérdéssel</t>
  </si>
  <si>
    <t>https://hvg.hu/itthon/20240322_median-tovabb-nott-az-eselye-a-zugloi-polgarmestersegre-a-momentumos-rozsa-andrasnak</t>
  </si>
  <si>
    <t>VP: https://www.facebook.com/valasztasi.kalauz/posts/pfbid0hmqpv2aDHS75DyCmSz974hJGsKgbcktRmbK2VUX7NwMBhQhGdgVpoVRZ6Pmd5WNgl</t>
  </si>
  <si>
    <t>https://m.hvg.hu/360/20240313_median</t>
  </si>
  <si>
    <t>VP: https://www.facebook.com/valasztasi.kalauz/posts/pfbid02F2wJ3ouzN9zuGSnMmpzwBn3YHjD215qCHmQgWwFQxNw15xfo2qW3hgSEpxcPrTRYl</t>
  </si>
  <si>
    <t>https://www.facebook.com/ideaintezet/posts/pfbid0kazobzUJC9u4jD1AbifpWF3Psi9uRWeigNe5nphCM5GFyPRsCMeKCpBNuh1VZsfzl</t>
  </si>
  <si>
    <t>https://nyugatifeny.hu/2024/03/26/idea-kutatas-26-szazalek-fidesz-ped0filbotrany</t>
  </si>
  <si>
    <t>https://tarsadalomkutato.hu/a-nok-koreben-magasabb-a-fidesz-tamogatottsaga-mint-a-ferfiaknal/</t>
  </si>
  <si>
    <t>https://magyarnemzet.hu/belfold/2024/03/elsopro-erovel-gyozne-a-fidesz-kdnp-ha-holnap-tartanak-a-valasztasokat</t>
  </si>
  <si>
    <t>VP: https://www.facebook.com/watch/?v=340337571770467</t>
  </si>
  <si>
    <t>https://24.hu/belfold/2024/03/14/fidesz-ellenzek-valasztas-2024-zavecz-kutatas-tamogatottsag/</t>
  </si>
  <si>
    <t>https://index.hu/belfold/2024/03/20/fidesz-kdnp-ellenzek-kozvelemeny-kutatas-nepszeruseg-tamogatottsag-kegyelmi-ugy/</t>
  </si>
  <si>
    <t>Az "egyéb párt"-ból 1% SZOC-DEM. VP: https://www.facebook.com/watch/?v=340337571770467</t>
  </si>
  <si>
    <t>https://nepszava.hu/3229429_sulyok-tamas-csaladfa-allamfo-sulyok-dezso-rokonsag</t>
  </si>
  <si>
    <t>https://publicus.hu/blog/ketharmad-szerint-nem-tekintheto-lezartnak-a-pedofil-kegyelmi-botrany/</t>
  </si>
  <si>
    <t>Ipsos</t>
  </si>
  <si>
    <t>https://www.ipsos.com/fr-fr/europeennes-2024/europeennes-vers-une-progression-de-la-droite-radicale-au-parlement-europeen</t>
  </si>
  <si>
    <t>Az "egyéb pártból" 2% Megoldás Mozgalom</t>
  </si>
  <si>
    <t>VP: https://tinyurl.com/2s34aatu     Keretes szövegben: "A minta minden kutatás esetében reprezentatív a 18 évesnél idősebb lakosságra nem, kor, régió, településtípus és iskolai végzettség szerint. 1000 fős mintanagyság és 95 százalékos megbízhatósági szint esetén a mintavételi hiba ± 3,16 százalék. Bázis = magyar választók, a választási részvételüket egy európai parlamenti választáson biztosra ígérő válaszadók."</t>
  </si>
  <si>
    <t>https://publicus.hu/blog/ki-a-legeselyesebb-zugloban-az-elkovetkezo-onkormanyzati-valasztason/</t>
  </si>
  <si>
    <t xml:space="preserve">VP: https://www.facebook.com/valasztasi.kalauz/posts/pfbid02A6GkNiWB74XrnkKRRbDVZrf5T2Zxz7eHYpKodGFWQ3ohc3URwFEaiw3pyCDTYs7ol        </t>
  </si>
  <si>
    <t>http://republikon.hu/elemzesek,-kutatasok/23-03-11_havi-kutatas.aspx</t>
  </si>
  <si>
    <t>https://telex.hu/belfold/2024/03/11/kovacs-gergely-dome-zsuzsanna-magyar-ketfarku-kutya-part-tarselnokseg-lemondas-tagsag-szavazas-hegyvidek-xii-kerulet-elovalasztas</t>
  </si>
  <si>
    <t xml:space="preserve">A részvételt 4-fokú skálán mérik, 62-13-6-10 a megoszlás (9% NT-NV). </t>
  </si>
  <si>
    <t>VP: https://www.facebook.com/valasztasi.kalauz/posts/pfbid034apW1nEeV1hxFNYNdXratMBgvka7UvydFNMZJyocjiFttUgU1HpnWfU5stYV9kS6l</t>
  </si>
  <si>
    <t>Kisérlet</t>
  </si>
  <si>
    <t>https://24.hu/belfold/2024/03/01/21-kutatokozpont-fidesz-kegyelmi-ugy-ellenzek-ep-valasztas/</t>
  </si>
  <si>
    <t>VP: https://tinyurl.com/2s34aatu</t>
  </si>
  <si>
    <t>http://republikon.hu/elemzesek,-kutatasok/24-03-14_budapesti-politikai-attekintes.aspx</t>
  </si>
  <si>
    <t>http://republikon.hu/media/138651/Fopolgarmester-jeloeltek-szavazotabora_Republikon.pdf</t>
  </si>
  <si>
    <t>Hódmezővásárhely Polgármesteri Hivatal</t>
  </si>
  <si>
    <t>https://www.facebook.com/mindenkimagyarorszaganeppart/posts/pfbid0zwW4NFZWZD72UsybqE5UXtW6WuSxmZb1aiDVVcnyrHgPmTj8Y6xhL5wVPGqgQixQl</t>
  </si>
  <si>
    <t>https://nepszava.hu/3226485_felmeres-elnoki-kegyelem-novak-katalin-pedofilbotrany-sokk-fidesz</t>
  </si>
  <si>
    <t>https://iranytuintezet.hu/elemzesek-kutatasok/mind/257-az-iranytu-intezet-orszagos-kozvelemeny-kutatasa---2024.-februar/</t>
  </si>
  <si>
    <t>VP: https://www.facebook.com/valasztasi.kalauz/posts/pfbid0KD4Dm7RQ9tyW1HKCtLXkNbDTEiER3Y7Z7TqABYJTVybZ87KybjRuy1iCxVrJeYYnl</t>
  </si>
  <si>
    <t>Budapest Brand Zrt.</t>
  </si>
  <si>
    <t>https://hvg.hu/kkv/20240229_A_budapestiek_60_szazaleka_gondolja_ugy_hogy_Karacsony_Gergely_es_Lazar_Janos_jo_megallapodast_kotott_a_berletekrol</t>
  </si>
  <si>
    <t>https://hvg.hu/itthon/20240301_Median_A_Momentum_legyozne_a_DKt_a_budafoki_elovalasztason</t>
  </si>
  <si>
    <t>https://nepszava.hu/3225480_zuglo-partok-onkormanyzati-valasztas-polgarmesterjeloltek</t>
  </si>
  <si>
    <t>http://www.ideaintezet.hu/hu/hirek-aktualis/118/a-kegyelmi-ugy-akkor-erte-a-kormanypartokat--amikor-elkezdtek-kilabalni-nepszerusegvesztesukbol</t>
  </si>
  <si>
    <t>https://www.facebook.com/photo?fbid=715210040693645&amp;set=a.508321001382551</t>
  </si>
  <si>
    <t>https://publicus.hu/blog/ketharmad-tamogatja-svedorszag-nato-tagsagat-a-tobbseg-szerint-hatranyos-a-halogatas/</t>
  </si>
  <si>
    <t>Fővárosi listás számok,. Elvben listavezetőt megnevező kérdéssel, de ki tudja, akkor Szentkirályi még messze nem volt kinevezve</t>
  </si>
  <si>
    <t>https://24.hu/belfold/2024/01/31/median-vitezy-david-budapest-karacsony-gergely-felmeres-lmp-fidesz/</t>
  </si>
  <si>
    <t>https://hvg.hu/itthon/20240131_hvg_Median_Ellenzeki_kotelhuzas_Zugloban</t>
  </si>
  <si>
    <t>https://24.hu/belfold/2024/01/31/szeged-byd-felmeres/?fbclid=IwAR0S0qSH6HeGafsI8nnOgmqjM2CygZM2rrUjemd8_X0vWE4L9BlCmQ5C73o</t>
  </si>
  <si>
    <t>Debrecennel ellentétben Szegeden óriási az aksigyár-beruházás támogatottsága</t>
  </si>
  <si>
    <t>http://republikon.hu/elemzesek,-kutatasok/24-01-26-kvk.aspx</t>
  </si>
  <si>
    <t>https://telex.hu/belfold/2024/01/26/republikon-intezet-partpreferencia-valasztas-fidesz-ellenzek</t>
  </si>
  <si>
    <t xml:space="preserve">A részvételt 4-fokú skálán mérik, 58-13-9-10 a megoszlás (10% NT-NV). </t>
  </si>
  <si>
    <t>VP: https://www.facebook.com/valasztasi.kalauz/posts/pfbid02xD1PRjQR8dNG5hBFjfKRrH9RedEv2kNo4rFd2PNDnkCAXwcmhCqZaxgtQzwxZnZnl</t>
  </si>
  <si>
    <t>Kommunizmuskutató Intézet</t>
  </si>
  <si>
    <t>https://nezopont.hu/a-magyarok-tobbsege-lenin-kritikus-es-antikommunista/</t>
  </si>
  <si>
    <t>https://hvg.hu/360/20240124_hvg_onkormanyzati_valasztas_median_fidesz_ellenzek_momentum_dk_kozvelemenykutatas_epvalasztas</t>
  </si>
  <si>
    <t>https://nezopont.hu/kutatoi-kerekasztal-ot-honappal-az-ep-valasztasok-elott/</t>
  </si>
  <si>
    <t>https://magyarnemzet.hu/belfold/2024/01/stabil-a-kormanypartok-tamogatottsaga-jelentosen-gyengult-a-baloldal#google_vignette</t>
  </si>
  <si>
    <t>https://www.origo.hu/itthon/20240111-ot-honappal-a-valasztasok-elott-magabiztosan-vezet-a-fidesz-kdnp.html</t>
  </si>
  <si>
    <t>A Polgári Magyarországért Alapítvány székházában, "Kutatói kerekasztal – öt hónappal az EP-választások előtt" címmel rendezett beszélgetésen bemutatott adatok.</t>
  </si>
  <si>
    <t xml:space="preserve"> </t>
  </si>
  <si>
    <t>https://www.facebook.com/ideaintezet/posts/pfbid07p5whdi7DLgYb4SuvY2gnad3LwdVfApEBtWjjVDH8vJSumbWugVzWZGDTpkTSQXCl</t>
  </si>
  <si>
    <t>https://telex.hu/belfold/2024/01/18/idea-intezet-partpreferenciak-fidesz-csokkent-eves-osszehasonlitas</t>
  </si>
  <si>
    <t>vp: https://www.facebook.com/valasztasi.kalauz/posts/pfbid02xD1PRjQR8dNG5hBFjfKRrH9RedEv2kNo4rFd2PNDnkCAXwcmhCqZaxgtQzwxZnZnl</t>
  </si>
  <si>
    <t>A telex cikke nagyon hiányos adatokban.</t>
  </si>
  <si>
    <t>https://publicus.hu/blog/partok-tamogatottsaga-2023-december/</t>
  </si>
  <si>
    <t>https://nepszava.hu/3219346_lazar-janos-kozossegi-kozlekedes-tarifakedvezmeny-valasztasok-budapest</t>
  </si>
  <si>
    <t xml:space="preserve">A részvételt 4-fokú skálán mérik, 79-10-4-6 a megoszlás (0% NT-NV). </t>
  </si>
  <si>
    <t>"A felmérés készítői nem adtak meg pártneveket, a válaszadók maguktól mondták meg, melyik politikai erőt támogatják. Így fordulhatott elő, hogy lehetőségként megjelent egy „ellenzéki összefogás” elnevezésű, pillanatnyilag nem létező formáció is a kutatásban, amit az emberek 5 százaléka nevezett meg."</t>
  </si>
  <si>
    <t>Egyéb párt csak saját számítás, valszeg tartalmaz közös listást.</t>
  </si>
  <si>
    <t>Magyar Nemzet</t>
  </si>
  <si>
    <t>https://magyarnemzet.hu/belfold/2023/01/magabiztos-fidesz-elony-az-ev-elejen</t>
  </si>
  <si>
    <t>https://docs.google.com/viewerng/viewer?url=https://www.zaveczresearch.hu/wp-content/uploads/2024/02/ZRI_Kispest_2023december_vegleges_bp.pptx&amp;hl=en</t>
  </si>
  <si>
    <t>https://www.zaveczresearch.hu</t>
  </si>
  <si>
    <t>https://www.zaveczresearch.hu/wp-content/uploads/2024/02/ZRI_Kispest_2023december_vegleges_bp.pptx</t>
  </si>
  <si>
    <t>A kérdés az EP választásra vonatkozott.</t>
  </si>
  <si>
    <t>?</t>
  </si>
  <si>
    <t>https://rtl.hu/belfold/2024/01/31/aprilis-13-an-tartanak-az-ellenzeki-elovalasztast-zavecz-tibor-felmeres-v-kerulet</t>
  </si>
  <si>
    <t>BPV-ben Szentgyörgyvölgyi (Fidesz) 37, DK-stb jelölt 27, Juhász Péter 11, Momentum jelölt 9 százalék</t>
  </si>
  <si>
    <t>https://www.facebook.com/ideaintezet/posts/pfbid0cWS17MZbfKr6e5TVCYYBbaqhwaKpymXxjeoFYcJAZuFatrYjwEtxXbUXYg954PUHl</t>
  </si>
  <si>
    <t>https://www.facebook.com/ideaintezet/posts/pfbid0gUep9sVvR916j9w8dHJMJV2tfeHS75ATuhjkqF3Niy2jsVU3fSXa2YohggbFDRdHl</t>
  </si>
  <si>
    <t xml:space="preserve">vp: </t>
  </si>
  <si>
    <t>https://magyarnemzet.hu/belfold/2023/12/haboruk-arnyekaban-tamogatjak-a-magyarok-a-hadero-fejleszteset</t>
  </si>
  <si>
    <t>https://www.facebook.com/realpr93/posts/pfbid02jZ5wxaSyZHZ1vPS6jzxZfV9yehtodXfe5ZaFxiNgNnPhAhstdPUctdqxY5AEiA7Bl</t>
  </si>
  <si>
    <t>http://republikon.hu/elemzesek,-kutatasok/23-12-06-kvk.aspx</t>
  </si>
  <si>
    <t xml:space="preserve">A részvételt 4-fokú skálán mérik, 61-16-8-9 a megoszlás (7% NT-NV). </t>
  </si>
  <si>
    <t>VP:</t>
  </si>
  <si>
    <t>https://hvg.hu/360/20231122_Median_A_magyarok_ketharmada_elfogadna_a_kegyes_halal_lehetoseget</t>
  </si>
  <si>
    <t>https://nezopont.hu/a-magyarok-nem-tamogatjak-ukrajna-eu-csatlakozasat/</t>
  </si>
  <si>
    <t>https://telex.hu/belfold/2023/11/23/zavecz-kozvelemeny-kutatas-zuglo-belvaros-inkumbens-jelolt-onkormanyzati-valasztas</t>
  </si>
  <si>
    <t>Nem azt pubikálták belőle, hogy hányan szavaznának egyes polgijelöltekre, hanem hogy mit gondolnak a szavazók, melyikre szavaznának többen, és szokatlanul explicit politikai következtetéseket von le a kutató. Egy országos kutatást is ismertet a telex cikke: "amit a Szociális Demokráciáért Intézet (az MSZP háttérszervezete) megbízásából készítettek október 29. és november 8. között, 1000 fő személyes megkérdezésével. A kutatás szerint
ma már az ellenzéki szavazók 81 százaléka támogatná, hogy az ellenzéki pártok közös listát állítsanak a jövő júniusi EP-választásra.
Ez azt jelenti, hogy nőtt az összefogást támogatók aránya júniushoz képest, amikor a Závecz kutatása szerint még csak az ellenzéki választók 73 százaléka szeretett volna közös ellenzéki EP-listát."</t>
  </si>
  <si>
    <t>https://www.facebook.com/ideaintezet/posts/pfbid0ZC6cKzSracDeE8wESq7G1UzEaFco2N74kyVX3pthRhG7JnASBoVunw1mgKKLMJGSl</t>
  </si>
  <si>
    <t>https://hvg.hu/itthon/20231124_IDEA_Intezet_Melyponton_lehet_a_Fidesz_tamogatottsaga</t>
  </si>
  <si>
    <t>vp:  https://tinyurl.com/54p5f7fm</t>
  </si>
  <si>
    <t xml:space="preserve">Nem azt pubikálták belőle, hogy hányan szavaznának egyes polgijelöltekre, hanem hogy mit gondolnak a szavazók, melyikre szavaznának többen, és szokatlanul explicit politikai következtetéseket von le a kutató. </t>
  </si>
  <si>
    <t>Ellenzék közösen indul</t>
  </si>
  <si>
    <t>Szociális Demokráciáért Intézet</t>
  </si>
  <si>
    <t>https://szocialis.eu/zavecz_2023_11.pdf</t>
  </si>
  <si>
    <t>https://24.hu/belfold/2023/11/15/zavecz-kozvelemeny-kutatas-partok-tamogatottsaga-fidesz-ellenzek-budapest-videk/</t>
  </si>
  <si>
    <t>nem külön vizsgálat, csak egy demográfiai bontás egy országon mintából. Az "egyéb pártok" és "egyéb válasz" % csak egy sacc a részemről.  A finanszirozót egy Telex cikk említi, ld. alább. vp:  https://www.facebook.com/valasztasi.kalauz/posts/pfbid02XkTRrkorQGEqtoiAALsxrsv5YNLeZsfH4FSPWeNB11WU9i2QhnTi24bu6V4WQz59l</t>
  </si>
  <si>
    <t>A finanszirozót és a harmadik forrást csak a második telex cikk említi: Egy országos kutatás, "amit a Szociális Demokráciáért Intézet (az MSZP háttérszervezete) megbízásából készítettek október 29. és november 8. között, 1000 fő személyes megkérdezésével. A kutatás szerint
ma már az ellenzéki szavazók 81 százaléka támogatná, hogy az ellenzéki pártok közös listát állítsanak a jövő júniusi EP-választásra.
Ez azt jelenti, hogy nőtt az összefogást támogatók aránya júniushoz képest, amikor a Závecz kutatása szerint még csak az ellenzéki választók 73 százaléka szeretett volna közös ellenzéki EP-listát."</t>
  </si>
  <si>
    <t>http://republikon.hu/elemzesek,-kutatasok/23-11-07-kvk.aspx</t>
  </si>
  <si>
    <t>https://telex.hu/belfold/2023/11/07/republikon-kozvelemeny-kutatas-partpreferencia-oktober-fidesz-dk-momentum</t>
  </si>
  <si>
    <t xml:space="preserve">A részvételt 4-fokú skálán mérik, 62-13-8-8 a megoszlás (8% NT-NV). </t>
  </si>
  <si>
    <t>https://21kutatokozpont.hu/wp-content/uploads/2021/11/debrecen_elemzes.pdf</t>
  </si>
  <si>
    <t>A publikéció együtt mondja 22%-nak az egyéb pártokat és az egyéb választ</t>
  </si>
  <si>
    <t>http://www.ideaintezet.hu/hu/hirek-aktualis/113/egyelore-megallt-a-fidesz-tamogatottsaga-----2023--oktober</t>
  </si>
  <si>
    <t>https://24.hu/belfold/2023/10/20/idea-kozvelemeny-kutatas-partprefrencia-fidesz-nepszerusegvesztes-tamogatottsag/</t>
  </si>
  <si>
    <t>https://hvg.hu/360/20231004_Median_partok_partpreferenciak_kozvelemenykutatas_onkormanyzati_valasztasok_EPvalasztas</t>
  </si>
  <si>
    <t>https://hvg.hu/360/20231011_Medianfelmeres_kozvelemenykutatas_korrupcio_hvg_tenytar</t>
  </si>
  <si>
    <t>http://republikon.hu/elemzesek,-kutatasok/23-10-09-kvk.aspx</t>
  </si>
  <si>
    <t xml:space="preserve">A részvételt 4-fokú skálán mérik, 56-18-6-11 a megoszlás (9% NT-NV). </t>
  </si>
  <si>
    <t>https://www.facebook.com/ideaintezet/posts/pfbid0judA3xZ5SNHzkq6w14KcBKoVYTjW2YhqVyApfvDNzc6zFSE7c5cgmXmG3qU9Ad5Ql</t>
  </si>
  <si>
    <t>https://nepszava.hu/3218806_budapest-ellenzek-tamogatas-idea-intezet-felmeres</t>
  </si>
  <si>
    <t>vp:  https://www.facebook.com/valasztasi.kalauz/posts/pfbid02XkTRrkorQGEqtoiAALsxrsv5YNLeZsfH4FSPWeNB11WU9i2QhnTi24bu6V4WQz59l</t>
  </si>
  <si>
    <t>Medián és 21Kutató</t>
  </si>
  <si>
    <t>https://hvg.hu/itthon/20231122_Hann_Endre_Brenner_Koloman_nem_is_kihivoja_Karacsonynak_a_Jobbik_12_szazalekon_all_Budapesten</t>
  </si>
  <si>
    <t>A szeptemberi források nem nevezik meg, de egy novemberben megjelent Policy Solutions kutatás nyilvánvalóan erre a felvételre épült.</t>
  </si>
  <si>
    <t>https://www.zaveczresearch.hu/a-mi-hazank-es-a-kutyapart-voltak-az-idei-nyar-nyertesei/</t>
  </si>
  <si>
    <t>https://24.hu/belfold/2023/09/22/zavecz-fidesz-mi-hazank-ketfarku-kutyapart-partpreferenciak-szeptember/</t>
  </si>
  <si>
    <t>https://www.policysolutions.hu/hu/hirek/633/mit_kivan_a_magyar_nemzet_2023_tanulmany</t>
  </si>
  <si>
    <t>https://nepszava.hu/3213869_publicus-intezet-rezsi-orban-kormany-felmeres</t>
  </si>
  <si>
    <t>https://nezopont.hu/biztos-fidesz-elony-gyengulo-kotodessel/</t>
  </si>
  <si>
    <t>https://publicus.hu/blog/tizbol-het-ellenzeki-szerint-a-kozos-listaval-jobb-eredmenyt-lehet-elerni-az-europai-parlamenti-valasztason/</t>
  </si>
  <si>
    <t>https://publicus.hu/blog/ketharmad-szerint-az-orban-kormany-inkabb-felelos-a-magas-rezsiert/</t>
  </si>
  <si>
    <t>https://publicus.hu/blog/kozel-ketharmad-elegedetlen-azzal-ahogy-az-orszagban-mennek-a-dolgok/</t>
  </si>
  <si>
    <t>Részvételi szándék kérdés ogy választásra vonatkozik, négyfokú skála (80-7-2-9, 2% DK)</t>
  </si>
  <si>
    <t>A pártpreferenciákról beszámoló források nem neveznek meg megrendelőt, de egy másik IDEA poszt szerint az akkumulátor-gyárakra vonatkozó kérdéseket az LMP rendelte meg.</t>
  </si>
  <si>
    <t>http://www.ideaintezet.hu/hu/hirek-aktualis/111/2023-szeptember--a-2022--aprilisi-3-a-ota-a-legalacsonyabb-mert-fidesz---kdnp-tamogatottsag-</t>
  </si>
  <si>
    <t>https://24.hu/belfold/2023/09/18/idea-intezet-felmeres-fidesz-ellenezek-2023-augusztus-szeptember/</t>
  </si>
  <si>
    <t>http://www.ideaintezet.hu/hu/hirek-aktualis/112/a-tobbseg-a-mar-mukodo-akkumulatorgyarakat-nem-zarna-be--de-nem-szeretne--ha-ujak-epulnenek</t>
  </si>
  <si>
    <t>https://telex.hu/belfold/2023/09/18/idea-intezet-kozvelemeny-kutatas-fidesz-kdnp-nepszeruseg-tamogatottsag</t>
  </si>
  <si>
    <t>https://21kutatokozpont.hu/wp-content/uploads/2021/11/eredmenyek_partpref.pdf</t>
  </si>
  <si>
    <t>https://24.hu/belfold/2023/09/07/21-kutatokozpont-partok-tamogatottsaga-fidesz-ellenzek-mi-hazank-mkkp-kozvelemeny-kutatas/</t>
  </si>
  <si>
    <t>SMS-es értesítés után CAWI</t>
  </si>
  <si>
    <t>http://republikon.hu/elemzesek,-kutatasok/23-09-08-havi-kutatas.aspx</t>
  </si>
  <si>
    <t>http://republikon.hu/elemzesek,-kutatasok/23-09-01-oktatas.aspx</t>
  </si>
  <si>
    <t xml:space="preserve">A részvételt 4-fokú skálán mérik, 62-16-5-10 a megoszlás (8% NT-NV). </t>
  </si>
  <si>
    <t>Megújuló Magyarországért Alapítvány</t>
  </si>
  <si>
    <t>https://greenfo.hu/hir/attorest-hozna-az-ep-valasztason-a-zoldparti-kozos-lista/</t>
  </si>
  <si>
    <t>https://index.hu/belfold/2023/09/06/ep-valasztas-europai-parlament-ellenzek-osszefogas-dk-momentum-jobbik-mszp-lmp-parbeszed/</t>
  </si>
  <si>
    <t>https://444.hu/2023/09/16/momentum-vagy-lmp-tarsat-keres-a-parbeszedhez-a-parbeszed</t>
  </si>
  <si>
    <t>444.hu: „A zöld lista egy most vasárnapi EP-választáson a teljes népességben 5 százalék, a pártválasztók között 7 százalékos támogatottságot kapna, ezzel egyike lenne a négy mandátumot szerző demokratikus ellenzéki pártnak (DK, Momentum, MKKP, zöldek), maga mögé utasítva a Jobbik – Konzervatívok, az MSZP, Márki-Zay Péter, valamint Jakab Péter pártjainak (MMN és NP) listáját” – írja szeptember 5-én megjelent elemzésében a Závecz Research."</t>
  </si>
  <si>
    <t>http://www.ideaintezet.hu/hu/hirek-aktualis/108/az-iden-eloszor-csokkent-a-fidesz-kdnp-tamogatottsaga------2023--augusztus</t>
  </si>
  <si>
    <t>https://24.hu/belfold/2023/08/24/idea-iden-eloszor-csokkent-a-fidesz-tamogatottsaga/</t>
  </si>
  <si>
    <t>http://republikon.hu/media/125267/202307_partpreferencia-prezentacio.pdf</t>
  </si>
  <si>
    <t xml:space="preserve">A részvételt 4-fokú skálán mérik, 59-14-8-8 a megoszlás (11% NT-NV). </t>
  </si>
  <si>
    <t>http://republikon.hu/media/128858/2023-09-22-budapesti-politikai-helyzetkep.pdf</t>
  </si>
  <si>
    <t>VP: https://www.facebook.com/valasztasi.kalauz/posts/pfbid02XkTRrkorQGEqtoiAALsxrsv5YNLeZsfH4FSPWeNB11WU9i2QhnTi24bu6V4WQz59l</t>
  </si>
  <si>
    <t>"A budapestiek 80 százaléka menne el szavazni, ha most vasárnap
országgyűlési választást tartanának, ez nagyjából megegyezik az országos átlaggal."</t>
  </si>
  <si>
    <t>http://www.ideaintezet.hu/hu/hirek-aktualis/104/partpreferenciak--tartos-es-stabil-tamogatottsaggal-a-hata-mogott-nyaral-a-fidesz------2023-06-07-</t>
  </si>
  <si>
    <t>https://24.hu/kozelet/2023/07/25/idea-intezet-partpreferenciak-julius-fidesz-ellenzek-statisztika/</t>
  </si>
  <si>
    <t>https://24.hu/belfold/2023/08/10/idea-kutatas-felmeres-fidesz-kormanyparti-szavazok-gazdasagi-nehezsegek/</t>
  </si>
  <si>
    <t>https://nezopont.hu/a-magyarok-77-szazaleka-ellenzi-ukrajna-eu-penzekbol-valo-finanszirozasat/</t>
  </si>
  <si>
    <t>https://publicus.hu/blog/tizbol-heten-elegedettek-veres-pal-miskolci-polgarmester-eddigi-munkajaval/</t>
  </si>
  <si>
    <t>https://szocialis.eu/zavecz_2023_06.pdf</t>
  </si>
  <si>
    <t>https://szocialis.eu/Egyuttjobban.pdf</t>
  </si>
  <si>
    <t>https://hvg.hu/360/20230719_hvg_karacsony_gergely_budapest_keruletek_onkormanyzati_vaIasztas_2024_median_21_kutatokozpont</t>
  </si>
  <si>
    <t>http://republikon.hu/elemzesek,-kutatasok/23-06-28-kvk.aspx</t>
  </si>
  <si>
    <t>https://telex.hu/belfold/2023/07/03/republikon-kutatas-partszimpatia-kormanypart-ellenzek-junius-adatok</t>
  </si>
  <si>
    <t>https://www.facebook.com/republikon/posts/pfbid0314tfoy2uNMSE5viaP2B4atTE1VHnNe15b3fDj212TW8VVRCNex3apz9xSyWsP2MZl</t>
  </si>
  <si>
    <t>VP: https://www.facebook.com/valasztasi.kalauz/posts/pfbid02ucHtVfhMs75gnsMFn8CGeZESX1Xot9WLXX3c4wjUnFFTwBs7tVk4jgdnzX9fHFgGl</t>
  </si>
  <si>
    <t xml:space="preserve">A részvételt 4-fokú skálán mérik, 62-18-8-5 a megoszlás (7% NT-NV). </t>
  </si>
  <si>
    <t>https://nezopont.hu/elutasitjak-a-magyarok-az-uj-migranskvotat-is/</t>
  </si>
  <si>
    <t>LMP Vas megyei szervezete</t>
  </si>
  <si>
    <t>https://m.hvg.hu/itthon/20230728_Zaveczkutatas_Akar_ketharmados_ellenzeki_gyozelem_is_lehet_jovore_egy_fontos_megyeszekhelyen</t>
  </si>
  <si>
    <t>https://www.nyugat.hu/cikk/jovore_ketharmaddal_is_gyozhet_a_jelenlegi</t>
  </si>
  <si>
    <t xml:space="preserve">Mértek polgármester preferenciát is Hende Csaba indulását feltételezve, Nemény András polgi kapna 55-öt, Hende 33-at, 12 nem tudja. A biztos szavazók közt kétharmada van a polginak. Pártpreferencia adatok az EP választásra vonatkoznak. Dátumot csak saccoltam. VP: https://www.facebook.com/valasztasi.kalauz/posts/pfbid02gzvfDAM1HBTmYKwRTj7oyE4QKLvKJRqu55dqRNbJfX4DLWSHmcG5DExLTnpkAbTml </t>
  </si>
  <si>
    <t>https://publicus.hu/blog/haromnegyed-nem-elegedett-azzal-ahogy-az-orszagban-mennek-a-dolgok/</t>
  </si>
  <si>
    <t>https://nepszava.hu/3201930_publicus-csucson-az-elegedetlenseg</t>
  </si>
  <si>
    <t>Egy Népszava cikkben más dátumokkal jelent meg a kutatásról beszámoló, mint a Publicus megfelelő posztjában egy hónappal később: https://nepszava.hu/3198059_publicus-egyertelmuen-no-azok-szama-akik-szerint-az-orban-kormany-is-okolhato-a-magas-rezsi-miatt   és  https://publicus.hu/blog/egyre-tobben-okoljak-az-orban-kormanyt-a-magas-energiaarakert/</t>
  </si>
  <si>
    <t>http://www.ideaintezet.hu/hu/hirek-aktualis/101/partpreferenciak--rendkivul-tartos-es-stabil-tamogatottsaggal-kezdi-a-fidesz-a-nyarat-----2023--junius</t>
  </si>
  <si>
    <t>https://24.hu/belfold/2023/06/15/partok-tamogatottsaga-2023-junius-idea-intezet/##</t>
  </si>
  <si>
    <t>vp: https://www.facebook.com/valasztasi.kalauz/posts/pfbid02JC3UQxY7dzjduvsD7A35T2MmiVL2vXDnX3PSu4KGfFa6994FVadAFZqbYpnrD2rZl</t>
  </si>
  <si>
    <t>https://publicus.hu/blog/ketharmad-nem-ert-egyet-a-vendegmunkasok-behozatalaval/</t>
  </si>
  <si>
    <t>https://publicus.hu/blog/a-tobbseg-nem-tartja-elfogadhatonak-sem-a-konnygaz-beveteset-sem-a-kordonokat-a-varban/</t>
  </si>
  <si>
    <t>https://hvg.hu/360/20230615_hvg_median_kozvelemeny_kutatas_fidesz_ellenzek_gazdasagi_valsag_EU</t>
  </si>
  <si>
    <t>VP: https://www.facebook.com/valasztasi.kalauz/posts/pfbid02JC3UQxY7dzjduvsD7A35T2MmiVL2vXDnX3PSu4KGfFa6994FVadAFZqbYpnrD2rZl</t>
  </si>
  <si>
    <t>https://nezopont.hu/wp-content/uploads/2023/05/Nezopont_Lesz-e-fordulat-Europaban-2024-ben.pdf</t>
  </si>
  <si>
    <t>"Kire szavazna egy most vasárnapi európai parlamenti választáson?" VP:  https://www.facebook.com/valasztasi.kalauz/posts/pfbid02kb3upDjVpZs7wQHcZmgKFEWg81wjEadrnwArzDjDrrXg3LytvYMtyESqGGmZndZRl</t>
  </si>
  <si>
    <t>https://hvg.hu/itthon/20230611_median_budapesti_lakogyules_karacsony_gergely_lanchid</t>
  </si>
  <si>
    <t>https://24.hu/belfold/2023/06/11/karacsony-lakogyules-lanchid-felmeres/</t>
  </si>
  <si>
    <t>https://www.facebook.com/iranytuintezet/posts/pfbid0D1846aiZk4px5EdkcbGRjxvoKQXXoJm8xQ3YjaeA8bJjSMZgkrR8Q8u5pAv6Ka2Tl</t>
  </si>
  <si>
    <t>https://drive.google.com/file/d/1cyI7LbLhqAf-Pw_sT12P6MoLGYYB47jT/view?fbclid=IwAR2Ol7Brr8T7Lv15LFw64GLp0lgOE_iruRvZEbz0IrND9Oepgu5fbe1Z2iw</t>
  </si>
  <si>
    <t>Nem külön vizsgálat, csak egy demográfiai bontás több összevont országon mintából. VP: https://www.facebook.com/valasztasi.kalauz/posts/pfbid02XkTRrkorQGEqtoiAALsxrsv5YNLeZsfH4FSPWeNB11WU9i2QhnTi24bu6V4WQz59l</t>
  </si>
  <si>
    <t>http://ideaintezet.hu/hu/hirek-aktualis/100/negy-eve-majdnem-ugyanigy-allt-a-fidesz------2023--majus</t>
  </si>
  <si>
    <t>https://24.hu/belfold/2023/05/31/fidesz-tamogatottsag-kozvelemenykutatas-ellenzek-idea-intezet/</t>
  </si>
  <si>
    <t>http://www.ideaintezet.hu/hu/hirek-aktualis/102/tobben-vannak-azok--akik-nem-tiltanak-be-a-nagy-magyarorszag-draperiakat-a-nemzetkozi-focimeccseken</t>
  </si>
  <si>
    <t>vp: https://www.facebook.com/valasztasi.kalauz/posts/pfbid02GEM4n3RcaLgPNY3uniojYoWZFgxVZQqMKzCHj7NpmeFMuC1QaLZSbyAWpZZGj5uel</t>
  </si>
  <si>
    <t>111</t>
  </si>
  <si>
    <t>LMP-P közös lista teszt</t>
  </si>
  <si>
    <t>http://republikon.hu/media/124297/EP-lista-elemzes_vegleges.pdf</t>
  </si>
  <si>
    <t>https://telex.hu/belfold/2023/06/09/republikon-intezet-felmeres-ep-valasztas-2024</t>
  </si>
  <si>
    <t>VP: https://www.facebook.com/valasztasi.kalauz/posts/pfbid05nfjDGZhGgkuGuwfuApBpVzo5jgDmR85Zi4cCPpRrJmtiqDmVnvi2EXit5y2y4v9l</t>
  </si>
  <si>
    <t>Ökopolisz Alapítvány</t>
  </si>
  <si>
    <t>https://24.hu/belfold/2023/05/17/zavecz-research-mi-hazank-2024-es-ep-valasztas-felmeres/</t>
  </si>
  <si>
    <t>https://telex.hu/belfold/2023/05/17/zavecz-kutatas-europai-parlament-valasztas-partok</t>
  </si>
  <si>
    <t>https://www.greenpeace.org/hungary/sajtokozlemeny/10485/a-magyarok-donto-tobbsege-nem-ker-az-akkumulatorgyarakbol/</t>
  </si>
  <si>
    <t>https://telex.hu/belfold/2023/05/10/zavecz-research-partpreferencia-fidesz-dk-mi-hazank-momentum-jobbik</t>
  </si>
  <si>
    <t>https://24.hu/fn/gazdasag/2023/05/10/zavecz-kutatas-partpreferencia-majus-fidesz/</t>
  </si>
  <si>
    <t>https://hvg.hu/itthon/20230510_kozvelemenykutatas_zavecz_research_partok_tamogatottsaga_kozhangulat_fidesz_dk_momentum_jobbik_mszp_mi_hazank_lmp_ketfarku_kutyapart</t>
  </si>
  <si>
    <t>Az egyéb pártok eredményeit a HVG 2%-ban adta meg, míg a Telex 1% MMN-et emlitett.</t>
  </si>
  <si>
    <t>VP: https://www.facebook.com/valasztasi.kalauz/posts/pfbid028HL4kme9VJKYJGajBQv98hfM453Do14WSL9T9x5ucXh1P3SATz7EiHtQ7mSkDCMxl</t>
  </si>
  <si>
    <t>http://republikon.hu/elemzesek,-kutatasok/23-05-15-aprilisi-kutatas.aspx</t>
  </si>
  <si>
    <t>https://telex.hu/belfold/2023/05/15/republikon-intezet-partpreferencia-kozvelemeny-kutatas-fidesz</t>
  </si>
  <si>
    <t xml:space="preserve">A részvételt 4-fokú skálán mérik, 67-16-6-5 a megoszlás (7% NT-NV). </t>
  </si>
  <si>
    <t>Mérték Médiaelemző Műhely</t>
  </si>
  <si>
    <t>https://mertek.eu/wp-content/uploads/2023/06/Mertek-fuzetek_29.pdf</t>
  </si>
  <si>
    <t>https://nezopont.hu/az-amerikai-kapcsolatokra-igent-a-plakatkampanyra-nemet-mondanak-a-magyarok/</t>
  </si>
  <si>
    <t>Hibrid mint online fele</t>
  </si>
  <si>
    <t>EU-s társfinanszírozás</t>
  </si>
  <si>
    <t>A kisebb pártok százalékai Róna Dániel személyes közlése alapján.</t>
  </si>
  <si>
    <t>https://24.hu/belfold/2023/06/21/21-kutatokozpont-felmeres-eu-demokracia-jogallamisag/</t>
  </si>
  <si>
    <t>https://szocialis.eu/Lakotelepek.pdf</t>
  </si>
  <si>
    <t>https://youtu.be/KHWKnhLtA6o?t=109</t>
  </si>
  <si>
    <t>"Veszprémben sokan nem választottak még pártot az ellenzéki szavazók közül, amit jelez, hogy nagy körükben a bizonytalan választók aránya (43%), így az egyes ellenzéki pártok valós támogatottsága nem ítélhető meg. "</t>
  </si>
  <si>
    <t>Hann Endre személyes közlése</t>
  </si>
  <si>
    <t>https://hvg.hu/360/20230427_hvg_Median_kozvelemeny_kutatas_felmeres_Budapest_Karacsony_Gergely_fopolgarmester_fovaros_penzugyi_helyzet</t>
  </si>
  <si>
    <t>https://telex.hu/belfold/2023/04/20/idea-intezet-partpreferencia-marcius-aprilis-kutatas</t>
  </si>
  <si>
    <t>https://publicus.hu/blog/minden-otodik-valaszado-szerint-van-csak-magyarorszagon-egyenloseg-a-nok-es-a-ferfiak-kozott/</t>
  </si>
  <si>
    <t>https://publicus.hu/blog/a-legjobban-az-olaszokat-a-legkevesbe-az-oroszokat-kedveljuk-a-fidesz-szavazoknal-azonban-az-ukranok-az-utolsok/</t>
  </si>
  <si>
    <t>https://nezopont.hu/haromnegyedes-tobbseggel-gyozne-most-a-fidesz/</t>
  </si>
  <si>
    <t xml:space="preserve">"a „2022-es választáson közös listát állító ellenzéki pártok” megnevezéssel kérdeztünk rá." VP: </t>
  </si>
  <si>
    <t>https://tarsadalomkutato.hu/nagyobb-vereseget-szenvedne-el-a-baloldal-ma-mint-egy-eve/</t>
  </si>
  <si>
    <t>VP: https://www.facebook.com/valasztasi.kalauz/posts/pfbid02qZSCLbVvZqmLDsoFs9JSwbBYKg8pxTtevx6tTKkXj3Wg8RbP2j3muFtNGiXzY2QWl</t>
  </si>
  <si>
    <t>http://republikon.hu/media/122711/202303_prez_partpreferencia.pdf</t>
  </si>
  <si>
    <t xml:space="preserve">A részvételt 4-fokú skálán mérik, 65-19-6-4 a megoszlás (6% NT-NV). </t>
  </si>
  <si>
    <t>https://szazadveg.hu/hu/2023/03/31/stabil-kormanyparti-foleny-erotlen-baloldal~n3647</t>
  </si>
  <si>
    <t>https://www.facebook.com/Szazadveg/posts/pfbid02dPzX7Tnim9cCcAdnEBf4CxaQf4g7F4TP9ShiMDRfkoF1NZgr2EN5RyrJryJrG9iYl</t>
  </si>
  <si>
    <t>Az egyéb párt a Megoldás Mozgalom és Normális Élet Pártja, 1-1 százalékkal</t>
  </si>
  <si>
    <t>„politikai szempontból aktív = választási részvételüket biztosra vagy valószínűre ígérők)” VP: https://www.facebook.com/valasztasi.kalauz/posts/pfbid02JbbgHvPP198qrgP3LgDgKWxFXXYAJx4Kkrrd3JdSrygH2sPbs7VawdMG7LAXC1gNl</t>
  </si>
  <si>
    <t>http://www.ideaintezet.hu/hu/hirek-aktualis/97/a-fidesz-szavazok-szerint-a-beke-es-biztonsag-szempontjabol-trump-tipusu-lenne-a-legjobb-az-usa-nak</t>
  </si>
  <si>
    <t>https://nezopont.hu/a-nezopont-es-a-median-is-hangulatjavulast-es-a-fidesz-elonyet-meri/</t>
  </si>
  <si>
    <t>http://www.ideaintezet.hu/hu/hirek-aktualis/96/negy--egyszazalekos-tamogatottsagu-mikropart-az-ellenzeki-oldalon------2023--marcius</t>
  </si>
  <si>
    <t>https://telex.hu/belfold/2023/03/27/idea-intezet-mikropart-lett-az-mszp-bol-egy-ketszazalekos-a-tamogatottsaguk</t>
  </si>
  <si>
    <t>https://24.hu/belfold/2023/03/27/idea-ellenek-baloldal-kozvelemeny-kutatas-fidesz-ellenzek/</t>
  </si>
  <si>
    <t>VP: https://www.facebook.com/valasztasi.kalauz/posts/pfbid02eHUxvqwxHpXJpNk6HYwg7VDJ36unNs519ANiXdjNV5Q8EiFLJmqvbBALQQQ77zj8l</t>
  </si>
  <si>
    <t>Závecz Tibor személyes közlése alapján juottam tizedes-jegy pontosságú számokhoz, ezek láthatók most az adatbázisban</t>
  </si>
  <si>
    <t>https://24.hu/belfold/2023/03/13/zavecz-kozvelemeny-kutatas-partpreferencia-fidesz-dk-mi-hazank/</t>
  </si>
  <si>
    <t>https://hvg.hu/itthon/20230313_politika_zavecz_research_partpreferencia_kutatas_fidesz_dk</t>
  </si>
  <si>
    <t>Politikusnépszerűségek itt: https://telex.hu/belfold/2023/03/31/zavecz-ellenzeki-politikusok-nepszerusege-ismertsege-dobrev-klara-donath-anna</t>
  </si>
  <si>
    <t>https://publicus.hu/blog/a-tobbseg-szerint-a-kormanyzat-es-az-orvostarsadalom-vitajaban-az-orvosoknak-van-igaza/</t>
  </si>
  <si>
    <t>https://hvg.hu/360/20230308_Median_Kutyafuttatas</t>
  </si>
  <si>
    <t>https://444.hu/2023/03/08/dobrev-klara-a-legismertebb-noi-politikus-novak-katalin-a-legnepszerubb-leginkabb-varga-juditot-utaljak-az-ellenzeki-szavazok</t>
  </si>
  <si>
    <t>VP: https://www.facebook.com/valasztasi.kalauz/posts/pfbid0vsxD4BKuSeFmrXV7rxszNZtvAv47MsT4yRvNxVevbues35JfJjr4DYq9oaFqzLQal</t>
  </si>
  <si>
    <t>Hibrid telefon és online</t>
  </si>
  <si>
    <t xml:space="preserve"> A „RevivEU” néven futó, az Európai Bizottság finanszírozásából készült projekt</t>
  </si>
  <si>
    <t>https://24.hu/belfold/2023/03/10/eu-tagsag-felmeres-21-kutatokozpont/</t>
  </si>
  <si>
    <t>https://nezopont.hu/megkerdojelezhetetlen-a-fidesz-elonye/</t>
  </si>
  <si>
    <t>https://magyarnemzet.hu/belfold/2023/02/megkerdojelezhetetlen-a-fidesz-elonye</t>
  </si>
  <si>
    <t>VP: https://www.facebook.com/valasztasi.kalauz/posts/pfbid0HfxgqTmGryKXP9fgAyxhQ3GJdE13FQpRhu5p8HZaEZJ54XUPrBCZdZV7a13yc6mAl</t>
  </si>
  <si>
    <t>Nem külön vizsgálat, csak egy demográfiai bontás több összevont országon mintából.</t>
  </si>
  <si>
    <t>https://drive.google.com/file/d/1QYQE7v3D5bEgR1GSESng0ABbOKuE0X64/view?fbclid=IwAR0zL_XJhBS5UiHN0glzw74vrP_UMtrci5J9-iW19RkVT4pnBAm4Q8wG7jw</t>
  </si>
  <si>
    <t>https://www.facebook.com/iranytuintezet/posts/pfbid02gKtrc4JJ44Baoh6H7CqkpgdQvPoCf7d5d8Tr59tZ2x45TemppzG4GHzTMQKv9Gfol</t>
  </si>
  <si>
    <t>http://iranytuintezet.hu/elemzesek-kutatasok/mind/253-az-egyes-partok-szavazotaboranak-szociodemografiai-osszetetele-es-a-partpreferenciak-alakulasa-2023.-i.-negyedeveben/</t>
  </si>
  <si>
    <t>http://republikon.hu/elemzesek,-kutatasok/23-02-22-kvk.aspx</t>
  </si>
  <si>
    <t>https://telex.hu/belfold/2023/02/24/republikon-kutatas-2023-februar-fidesz-partok-adatok-felmeres</t>
  </si>
  <si>
    <t xml:space="preserve">A részvételt 4-fokú skálán mérik, 65-17-8-3 a megoszlás (7% NT-NV). </t>
  </si>
  <si>
    <t>https://telex.hu/belfold/2023/03/12/akkumulatorgyarak-median-felmeres-okopolisz</t>
  </si>
  <si>
    <t>http://www.ideaintezet.hu/hu/hirek-aktualis/93/lelektani-hatar-ala-sullyedt-a-fidesz-tamogatottsaga-----2023--februar-</t>
  </si>
  <si>
    <t>https://www.facebook.com/valasztasi.kalauz/posts/pfbid0pzZYQe2RMoAG1WbURbw9Q53DWH2YshntdAw2vpt2J1ktVkuUwvxD9AXNNMzs8FdWl</t>
  </si>
  <si>
    <t>https://nezopont.hu/a-magyarok-beket-akarnak-de-nem-latjak-a-haboru-veget/</t>
  </si>
  <si>
    <t>Momentum</t>
  </si>
  <si>
    <t>https://21kutatokozpont.hu/wp-content/uploads/2021/11/debrecen.pdf</t>
  </si>
  <si>
    <t>https://21kutatokozpont.hu/wp-content/uploads/2021/11/politikus_gyors.pdf</t>
  </si>
  <si>
    <t>VP: https://www.facebook.com/valasztasi.kalauz/posts/pfbid0qadw23hcDAuYzD9EobLPUatGj9hr5gUBYknKwZM6wXvkqfV6XA8CKgu6EAnJmqPKl</t>
  </si>
  <si>
    <t>https://telex.hu/belfold/2023/02/03/21-kutatokozpont-ellenzeki-partvezetok-nepszerusege-donath-anna-karacsony-gergely-dobrev-klara</t>
  </si>
  <si>
    <t>http://www.ideaintezet.hu/hu/hirek-aktualis/91/beragadt-preferenciak-az-ev-elejen------2023--januar-</t>
  </si>
  <si>
    <t>https://24.hu/belfold/2023/04/21/ketfarku-kutya-part-mkkp-szavazotabor-idea-intezet/</t>
  </si>
  <si>
    <t>http://republikon.hu/elemzesek,-kutatasok/23-01-13-kvk.aspx</t>
  </si>
  <si>
    <t>https://telex.hu/belfold/2023/01/13/republikon-januar-kutatas-2023-januar-adatok-felmeres</t>
  </si>
  <si>
    <t>https://www.facebook.com/valasztasi.kalauz/posts/pfbid02EdLApSsKXmPH67GBanmCYpZWiMr7RRawwVPNUsawLZG5PquYCmqjaftawRFKjmnhl</t>
  </si>
  <si>
    <t>VP: https://www.facebook.com/valasztasi.kalauz/posts/pfbid02EbCZ7sx5GbeBCVJVYCuPbCxYk25qftpKPEu9MGvhnzFUCW1acvLBPCTSRikVNdRSl</t>
  </si>
  <si>
    <t>A részvételt 4-fokú skálán mérik, 59-21-9-4 a megoszlás (7% NT-NV)</t>
  </si>
  <si>
    <t>70+</t>
  </si>
  <si>
    <t>https://nezopont.hu/a-fidesz-nyerne-az-ep-mandatumok-haromnegyedet/</t>
  </si>
  <si>
    <t>https://magyarnemzet.hu/belfold/2023/01/nezopont-a-fidesz-kdnp-nyerne-az-ep-mandatumok-haromnegyedet</t>
  </si>
  <si>
    <t>https://www.facebook.com/valasztasi.kalauz/posts/pfbid0xoCfacp2j69NfcKk5xN8VsNG7YY42Jcpamb6dCSQ7NgzZic2jqGas14jJxEK8NcQl</t>
  </si>
  <si>
    <t>VP: https://tinyurl.com/58w94htd  "Nézőpont Intézet minden esetben a magyarok preferenciáit vizsgálja egy feltételezett „most vasárnapi” választáson, tehát az országgyűlési választási részvételüket biztosra ígérők (az összes válaszadó több mint héttizede) körében kutatja a pártpreferenciákat." A pártok százalékait viszont hiányosan és - a "közös lista" meg az "egyéb pártok" tekintetében teljesen zavarosan ismerteti: "A baloldal év eleji gyengélkedését támasztja alá, hogy a baloldali érzelmű szavazók több mint fele, kilenc hónappal az országgyűlési választást követően sem képes pártot választani magának. Igaz, a tavaly áprilisi „közös lista” pártjai közösen legfeljebb 36 százalékot kapnának".</t>
  </si>
  <si>
    <t>50+</t>
  </si>
  <si>
    <t xml:space="preserve">"Kire szavazna egy most vasárnapi európai parlamenti választáson?" Külön részvétel kérdés volt az EP és az ogy választásra, előbbire "a megkérdezettek több mint fele jelezte, hogy részt venne" </t>
  </si>
  <si>
    <t>Duplikát adat</t>
  </si>
  <si>
    <t>https://publicus.hu/blog/partok-tamogatottsaga-2022-december/</t>
  </si>
  <si>
    <t>Videóinterjúban prezentálva: https://www.facebook.com/watch/?v=712595860420730</t>
  </si>
  <si>
    <t xml:space="preserve">A poszt mintha azt sugalná, hogy külön kérdésre adott válaszok ezek, de a számokból úgy tűnik nekem, hogy csak összeadja a különinduló ellenzéki pártokkal kapott megoszlásokat. </t>
  </si>
  <si>
    <t>https://publicus.hu/blog/sokan-tapasztalnak-rendszeres-aruhianyt/</t>
  </si>
  <si>
    <t>https://hvg.hu/360/20230104_Nincs_ok_unneplesre</t>
  </si>
  <si>
    <t>https://hvg.hu/360/20221221_Unnepromlas</t>
  </si>
  <si>
    <t>https://www.facebook.com/valasztasi.kalauz/posts/pfbid0Vqy9YsB7tDvkywLdy7z1mkJeaQYgBFNbKzRrT6tBZvsgJJX4YC3F66LLWhBAvQGql</t>
  </si>
  <si>
    <t>https://www.facebook.com/realpr93/posts/pfbid02zW2UYQEbA8yciGr5nsXNrRRSpcVwKenFLHmH2msu7mqen4aN1URfazMyKyVKWwQjl</t>
  </si>
  <si>
    <t>A Reál Pr szakmailag és etikailag elfogadhatatlan módszertanát részletesen bemutatta ez a cikk: https://magyarnarancs.hu/belpol/felvetel-keszult-a-kozvelemeny-kutatasnak-alcazott-befolyasolo-kampanyrol-somogyban-245659</t>
  </si>
  <si>
    <t>https://publicus.hu/blog/a-tobbseg-nem-tudja-hogy-mirol-is-szol-a-mostani-nemzeti-konzultacio/</t>
  </si>
  <si>
    <t>https://publicus.hu/blog/atlagosan-56-szazalekos-inflaciot-erzekelnek-a-magyarok/</t>
  </si>
  <si>
    <t>https://nezopont.hu/a-magyarok-78-szazaleka-nem-erez-jelentos-emelkedest-a-rezsikoltsegekben/</t>
  </si>
  <si>
    <t>http://www.ideaintezet.hu/hu/hirek-aktualis/89/ugyanakkora-a-fidesz-tamogatottsaga--mint-egy-evvel-korabban------2022--december-eleje</t>
  </si>
  <si>
    <t>http://republikon.hu/elemzesek,-kutatasok/22-12-05-kvk-november.aspx</t>
  </si>
  <si>
    <t>https://telex.hu/belfold/2022/12/05/republikon-kozvelemenykutatas-2022-november-partpreferencia-fidesz-kis-merteku-lemorzsolodas</t>
  </si>
  <si>
    <t>https://www.facebook.com/valasztasi.kalauz/posts/pfbid02QMbMMpHUXJh6w7WUU31tG6kZyPvWfXK9tpUWk8YmkW1XmN3EYtjqJCjMTzNCNcuzl</t>
  </si>
  <si>
    <t>MÚOSZ, ld. https://www.youtube.com/watch?v=u5j-aPWENOg&amp;t=35s</t>
  </si>
  <si>
    <t>http://www.zaveczresearch.hu/#</t>
  </si>
  <si>
    <t>https://24.hu/kozelet/2022/11/25/zavecz-kutatas-fidesz-egymillios-veszteseg/</t>
  </si>
  <si>
    <t>https://szazadveg.hu/hu/2022/12/29/europai-kozvelemeny-a-szankciok-jobban-fajnak-az-eu-nak-mint-oroszorszagnak~n3414</t>
  </si>
  <si>
    <t>Hibrid</t>
  </si>
  <si>
    <t>https://21kutatokozpont.hu/wp-content/uploads/2021/11/Partpreferencia.pdf</t>
  </si>
  <si>
    <t>https://publicus.hu/blog/olcso-orszagos-berlettel-tobben-hasznalnak-a-kozossegi-kozlekedest/</t>
  </si>
  <si>
    <t>http://www.ideaintezet.hu/hu/hirek-aktualis/88/megallt-a-partpreferenciak-jelentosebb-mozgasa------2022--november-</t>
  </si>
  <si>
    <t>https://24.hu/belfold/2022/11/17/idea-intezet-felmeres-fidesz-ellenzek-tamogatottsag-2022-november/</t>
  </si>
  <si>
    <t>https://www.facebook.com/valasztasi.kalauz/posts/pfbid028udR3YQKwkFLJKytTNKzJC88KwBViuWZGN3b2U8LA4o22vKUZrLaYWnaQ9p7qvhwl</t>
  </si>
  <si>
    <t>"ismételten beigazolódni látszik az IDEA Intézet által már több alkalommal is jelzett jelenség, miszerint a Fidesz szavazói és a pártoktól távolságot tartók között folyamatos egyensúlyi helyzetre törekvő mozgás zajlik"</t>
  </si>
  <si>
    <t>https://publicus.hu/blog/egyre-tobb-kormanyparti-is-tamogatja-a-tanarok-tiltakozasat/</t>
  </si>
  <si>
    <t>http://republikon.hu/elemzesek,-kutatasok/22-10-28-kvk-okt.aspx</t>
  </si>
  <si>
    <t>https://telex.hu/belfold/2022/10/29/republikon-intezet-partpreferencia-kutatas-fel-evvel-a-valasztas-utan</t>
  </si>
  <si>
    <t>https://www.facebook.com/valasztasi.kalauz/posts/pfbid0HFmAqYSREYYaxQg2ri2qyouAFHuarw5xUGq4ECfsF1cnQh88eJyV9ixyDkd5Gn7Nl</t>
  </si>
  <si>
    <t>https://nezopont.hu/visszaerosodott-a-fidesz/</t>
  </si>
  <si>
    <t>https://magyarnemzet.hu/belfold/2022/10/nezopont-intezet-erosodott-a-fideszkdnp</t>
  </si>
  <si>
    <t>"Bázis=magyar választók" mondja az ábra alatti megjegyzés. A "közös lista" oszlopban szereplő 20% valójában "egyéb baloldali" az ábra szerint, a szöveg szerint pedig "Továbbra is magas azok aránya, akikről kormánykritikusságuk kiderül, de a jelenlegi baloldali pártok közül nem tudnak választani. Ők alkotják a választók egyötödét (20 százalék). " Az "egyéb párt" valójában Jakab Péter pártja, a Nép Pártján.</t>
  </si>
  <si>
    <t>https://hvg.hu/360/20221102_Sok_kicsi_kevesre_megy</t>
  </si>
  <si>
    <t>https://publicus.hu/blog/tizbol-heten-a-sztrajkolo-tanarok-mellett-vannak/</t>
  </si>
  <si>
    <t>http://www.ideaintezet.hu/hu/hirek-aktualis/87/ujra-van-olyan-ellenzeki-part--melynek-tamogatottsaga-kettessel-kezdodik-es-ketszamjegyu</t>
  </si>
  <si>
    <t>https://szocialis.eu/kvk202209.pdf</t>
  </si>
  <si>
    <t>https://24.hu/belfold/2022/09/26/zavecz-partpreferencia-fidesz/</t>
  </si>
  <si>
    <t>https://telex.hu/belfold/2022/09/26/zavecz-research-partok-kozvelemeny-kutatas-tamogatottsag-fidesz-dk-momentum</t>
  </si>
  <si>
    <t>http://www.ideaintezet.hu/hu/hirek-aktualis/86/a-kampany-alatt-megszerzett-szavazok-eltuntek-a-fidesz-mogul------2022--szeptember-eleje</t>
  </si>
  <si>
    <t>https://nezopont.hu/a-fidesz-es-a-baloldal-is-gyengult-nyaron/</t>
  </si>
  <si>
    <t>https://magyarnemzet.hu/belfold/2022/09/a-fidesz-es-a-baloldal-is-gyengult-nyaron</t>
  </si>
  <si>
    <t>"Bázis=magyar választók" mondja az ábra alatti megjegyzés. A "közös lista" oszlopban szereplő 16% valójában "egyéb baloldali" az ábra szerint, a szöveg szerint pedig "Jelenleg a baloldali ellenzéki pártok, még a pártpreferenciájukban bizonytalan, de a baloldali közös listát esetlegesen támogató választókkal együtt is csak legfeljebb 32 százalékos támogatottságot tudhatnak maguk mögött. Ugyanakkor a baloldali ellenzéki pártokon belüli és közti viták miatt egy tavaszihoz hasonló közös lista felállítása most nem tűnik valószínűnek. E pártoknak nemcsak a kormányképessége, de az ellenzék-képessége is megkérdőjeleződött az elmúlt hónapokban. "</t>
  </si>
  <si>
    <t>https://publicus.hu/blog/partok-tamogatottsaga-2022-augusztus/</t>
  </si>
  <si>
    <t>https://nepszava.hu/3168374_3-as-metro-per-bkv-metrowagonmash</t>
  </si>
  <si>
    <t>https://www.facebook.com/photo.php?fbid=485233590090553&amp;set=a.153257763288139&amp;type=3</t>
  </si>
  <si>
    <t>http://www.ideaintezet.hu/hu/hirek-aktualis/85/2021--ev-vegi-szintre-csokkent-a-fidesz-tamogatottsaga------2022--augusztus-eleje</t>
  </si>
  <si>
    <t>https://24.hu/belfold/2022/08/12/idea-intezet-fidesz-tamogatottsag-csokkenes-mi-hazank/</t>
  </si>
  <si>
    <t>https://hvg.hu/360/20220810_Medianfelmeres_Rezsifrasz</t>
  </si>
  <si>
    <t>"A fővárosi szavazók 46 százaléka újraválasztaná Karácsony Gergelyt, és 33 százalékuk voksolna az egyelőre meg nem nevezett fideszes jelöltre."</t>
  </si>
  <si>
    <t>https://publicus.hu/blog/partok-tamogatottsaga-2022-julius/</t>
  </si>
  <si>
    <t>https://nepszava.hu/3164518_fidesz-orban-kormany-publicus-rezsi-inflacio</t>
  </si>
  <si>
    <t>http://www.ideaintezet.hu/hu/hirek-aktualis/84/elkezdodott-a-fidesz-peremszavazoinak-lassu-lecsatlakozasa</t>
  </si>
  <si>
    <t>https://nezopont.hu/valsagallo-fidesz-elony/</t>
  </si>
  <si>
    <t>https://magyarnemzet.hu/belfold/2022/07/nezopont-valsagallo-a-fidesz-elonye</t>
  </si>
  <si>
    <t>A "közös lista" oszlopban szereplő szám "egyéb baloldali szavazó"-t jelent az eredeti ábra szerint. MSZP 1%. Párbeszéd 1%</t>
  </si>
  <si>
    <t>https://szazadveg.hu/hu/2022/07/08/a-fovarosiak-ketharmada-levaltana-karacsony-gergelyt~n2960</t>
  </si>
  <si>
    <t>https://publicus.hu/blog/ketharmados-tobbseg-a-foispanok-es-a-varmegyek-visszahozasa-ellen/</t>
  </si>
  <si>
    <t>https://nezopont.hu/tapinthato-az-ellenzekvalto-hangulat/</t>
  </si>
  <si>
    <t>https://nezopont.hu/orbannal-csak-a-papa-bekepartibb/</t>
  </si>
  <si>
    <t>"Bázis=magyar választók" mondja az ábra alatti megjegyzés. MSZP és Párbeszéd 1-1%. A "közös lista" oszlopban szereplő 12% valójában "egyéb ellenzéki szavazó" az ábra szerint, a szöveg szerint pedig "A magyar választók 12 százalékáról egyértelműen kiderül, hogy bár kritikusak a kormányfő munkájával szemben, mégsem tudnak olyan ellenzéki pártot megnevezni, amelyre leadnák szavazatukat. "</t>
  </si>
  <si>
    <t>https://nezopont.hu/mindenki-tamogatja-a-magyar-rendszamuak-benzinarat/</t>
  </si>
  <si>
    <t>https://szazadveg.hu/hu/2022/06/14/stabil-kormanypartok-osszeomlo-baloldal~n2856</t>
  </si>
  <si>
    <t>https://telex.hu/belfold/2022/06/29/oroszbaratsag-oltasellenesseg-kutatas-political-capital</t>
  </si>
  <si>
    <t>https://www.facebook.com/median.hu/posts/pfbid025tUpFn3uLCW1nkK1qjJBjAFBDM5pedTEEbUjvpgxCA88PWraxhktQE1NbkJHUomGl</t>
  </si>
  <si>
    <t>https://publicus.hu/blog/magyarok-reszveteli-hajlandosaga-egy-haboruban/</t>
  </si>
  <si>
    <t>Political Capital</t>
  </si>
  <si>
    <t>https://telex.hu/belfold/2022/06/08/oroszpartisag-nyugat-putyin-megitelese-kozvelemeny-kutatas-zavecz-research-kreko-peter</t>
  </si>
  <si>
    <t>https://publicus.hu/blog/egyre-kevesebben-tartjak-agresszionak-ukrajna-lerohanasat/</t>
  </si>
  <si>
    <t>https://publicus.hu/blog/megosztottak-az-emberek-az-orosz-ukran-haboru-kerdeseiben/</t>
  </si>
  <si>
    <t>https://publicus.hu/blog/sokaknak-meg-az-arstopos-uzemanyag-is-draga/</t>
  </si>
  <si>
    <t>http://www.ideaintezet.hu/hu/hirek-aktualis/83/fidesz--dk--mi-hazank-a-sorrend-az-idea-intezet-valasztas-utani-elso-mereseben---2022--majus-eleje</t>
  </si>
  <si>
    <t>https://hvg.hu/itthon/20220513_zavecz_kozvelemenykutatas</t>
  </si>
  <si>
    <t>https://telex.hu/belfold/2022/05/13/zavecz-a-valasztas-ota-nagyot-erosodott-a-fidesz-tamogatottsaga</t>
  </si>
  <si>
    <t>https://hvg.hu/360/20220511_Az_emlek_mas</t>
  </si>
  <si>
    <t>http://republikon.hu/elemzesek,-kutatasok/22-05-10-kvk-aprilis.aspx</t>
  </si>
  <si>
    <t>https://nezopont.hu/melyponton-a-baloldali-partok/</t>
  </si>
  <si>
    <t>https://nezopont.hu/ugyanannyian-tartjak-felelosnek-marki-zayt-es-gyurcsanyt/</t>
  </si>
  <si>
    <t>"baloldali szavazókra" vonatkozó megoszlásokat is közöl</t>
  </si>
  <si>
    <t>https://24.hu/belfold/2022/04/20/gyurcsany-ferenc-ellenzeki-eselyek-iranytu-kormanyvaltas-marki-zay-ketharmad/</t>
  </si>
  <si>
    <t>https://hang.hu/valasztas/iranytu-az-ellenzeki-politikusok-kozul-donath-anna-a-legnepszerubb-139676</t>
  </si>
  <si>
    <t>A megjelent cikk azzal foglalkozik, hogy mit gondolnak az ellenzéki szavazók a vereség okairól, de "az elemzésben taglalt kérdéseket csak annak a 852 válaszadónak tették tették fel, akik nem a Fideszre szavaztak, vagy nem szavaztak egyáltalán."</t>
  </si>
  <si>
    <t>RTL Klub</t>
  </si>
  <si>
    <t>https://www.youtube.com/watch?v=vs-l_en9Q30</t>
  </si>
  <si>
    <t>https://rtl.hu/valasztas-2022/2022/04/03/median-felmeres-fidesz-gyozelem-ketharmad</t>
  </si>
  <si>
    <t>https://www.portfolio.hu/gazdasag/20220403/itt-a-median-utolso-felmerese-a-fidesz-nyerhette-a-valasztast-537285</t>
  </si>
  <si>
    <t>https://publicus.hu/blog/partok-tamogatottsaga-2022-marcius-vege/</t>
  </si>
  <si>
    <t>https://tarsadalomkutato.hu/valtozatlan-a-fidesz-elonye/</t>
  </si>
  <si>
    <t>https://infostart.hu/valasztas-2022/2022/04/01/a-tarsadalomkutatonal-is-50-szazalekon-allnak-a-kormanypartok</t>
  </si>
  <si>
    <t>http://republikon.hu/elemzesek,-kutatasok/22-03-30-ha-orban-marad.aspx</t>
  </si>
  <si>
    <t>https://telex.hu/valasztas-2022/2022/03/30/republikon-a-dolgozo-magyarok-28-szazaleka-inkabb-elhagyna-az-orszagot-ha-orban-hatalmon-marad</t>
  </si>
  <si>
    <t>Valszeg ugyanaz a poll, mint https://publicus.hu/blog/a-magyarok-tobbsegenek-komoly-gondot-okoz-az-aremelkedes/. A Republikon sajátjaként számolt be a vizsgálatról, de a prezi arra koncentrált, hogy"A választók 27 százaléka úgy gondolja, hogy ha a választások után Orbán Viktor marad hatalmon, akkor nem érdemes ebben az országban maradni."</t>
  </si>
  <si>
    <t>https://publicus.hu/blog/a-magyarok-tobbsegenek-komoly-gondot-okoz-az-aremelkedes/</t>
  </si>
  <si>
    <t>https://szazadveg.hu/hu/2022/03/31/fidesz-kdnp-49-szazalek-ellenzeki-osszefogas-44-szazalek~n2637</t>
  </si>
  <si>
    <t>https://magyarnemzet.hu/belfold/2022/03/nezopont-a-fideszkdnp-47-az-egyesult-baloldal-42-szazalekon-all-a-valasztasok-elott-egy-hettel</t>
  </si>
  <si>
    <t>„A belpolitikai adatok tekintetében a Századvég 49 százalékos Fidesz–KDNP győzelmet becsült, az ellenzéki összefogásnak 44 százalékot jósolt. A Kétfarkú Kutya Párt és a Mi Hazánk 3 százalékot, a Megoldás Mozgalom és Normális Élet Pártja 1 százalékot kapna.”</t>
  </si>
  <si>
    <t>https://hvg.hu/360/20220330_Median_valasztas_2022_Fidesz_ellenzek_mandatumbecsles_kozvelemeny_kutatas</t>
  </si>
  <si>
    <t>https://hvg.hu/itthon/20220406_Median_MarkiZay_Petert_a_fiatalok_koreben_erhette_a_legnagyobb_veszteseg</t>
  </si>
  <si>
    <t>"A Medián felmérte a várható részvételt, a bizonytalanok, illetve rejtőzködők véleményét, a parlamenti mandátumok várható megoszlását, és azt, hogy milyen eredményt várnak maguk a választók." O1GBP és FFALU az összes megkérdezettre vonatkozó számokból levezetett becslés</t>
  </si>
  <si>
    <t>A válaszztás után is jelent meg belőle adat, miszerint MZP még jobban vesztett Orbánnal szemben az alkalmassági versenyben, mint amennyire az ellenzék lemaradt a szavazatokban</t>
  </si>
  <si>
    <t>http://ideaintezet.hu/hu/hirek-aktualis/82/zarult--de-nem-csukodott-be-az-fidesz---ellenzek-ollo---2022--marcius-vege</t>
  </si>
  <si>
    <t>https://mandiner.hu/cikk/20220328_kozvelemeny_kutatok_fidesz_elony_valasztas_elotti_meresek</t>
  </si>
  <si>
    <t>Korábbi posztban "baloldali közös lista" megnevezéssel irta le az ellenzéki közös listát. Az "egyéb párt" a Megoldás Mozgalom. A mandiner szerint "Nagy Dániel, a Nézőpont Intézet közvélemény-kutatási igazgatója közölte: felméréseik alapján a legvalószínűbb listás eredményeket tekintve a Fidesz 47, míg az ellenzék 42 százalékon áll." Az utóbb a Nézőpont oldalán megjelent pontosabb poszt szerint " az „ingázó”, pártot nem választó, de magukat aktívnak mondó szavazók aránya 4 százalék"</t>
  </si>
  <si>
    <t>https://telex.hu/valasztas-2022/2022/03/28/zavecz-research-fej-fej-mellett-az-ellenzek-es-a-kormanyoldal</t>
  </si>
  <si>
    <t>Kicsit bizonytalan megfogalmazásokat használ a szöveg e tekintetben, de inkább úgy hangzik, hogy adatokról van szó, nem pedig valamilyen bonyolultabb becslésről</t>
  </si>
  <si>
    <t>https://24.hu/belfold/2022/03/29/fidesz-kozos-ellenzek-zavecz-kozvelemeny-kutatas-biztos-szavazok/</t>
  </si>
  <si>
    <t>https://telex.hu/valasztas-2022/2022/03/29/zavecz-kozvelemenykutatas-utolso-meres</t>
  </si>
  <si>
    <t xml:space="preserve">Apr 2 20:44-kor megjelent poszt: https://www.facebook.com/realpr93/posts/302866138624578 </t>
  </si>
  <si>
    <t>Az öt, részben push-pollokra szakosodott közvélemény-kutató együttműködése keretében (ld. https://www.facebook.com/alapjogokert/posts/4802202516478449) kezdett el választási közvélemény-kutatásokat publikálni néhány hónappal a 2022-es választás előtt. Korábbi poszban "baloldali közös lista" megnevezéssel irta le az ellenzéki közös listát. A Reál Pr szakmailag és etikailag elfogadhatatlan módszertanát részletesen bemutatta ez a cikk: https://magyarnarancs.hu/belpol/felvetel-keszult-a-kozvelemeny-kutatasnak-alcazott-befolyasolo-kampanyrol-somogyban-245659</t>
  </si>
  <si>
    <t>https://azonnali.hu/cikk/20220329_publicus-szorosnak-igerkezik-a-vasarnapi-valasztas</t>
  </si>
  <si>
    <t>Uni Wien</t>
  </si>
  <si>
    <t>Speciális</t>
  </si>
  <si>
    <t>European Research Council, ld. https://www.univie.ac.at/en/research/research-overview/erc-grants-en/detailansicht-en/artikel/carolina-plescia/</t>
  </si>
  <si>
    <t>https://www.facebook.com/events/3126579324335377/</t>
  </si>
  <si>
    <t>https://444.hu/2022/03/29/meglepo-uj-magyar-kozvelemenykutatast-mutatott-be-egy-becsi-kutato-amelyben-biztosan-vezet-az-ellenzek</t>
  </si>
  <si>
    <t>https://events.ceu.edu/2022-03-29/will-orban-regime-survive-or-fall-roundtable-2022-hungarian-elections</t>
  </si>
  <si>
    <t>Nem hagyományos minta, nem prediktiv célű</t>
  </si>
  <si>
    <t>https://tarsadalomkutato.hu/ingatag-a-baloldali-tabor/</t>
  </si>
  <si>
    <t>https://telex.hu/valasztas-2022/2022/03/23/tarsadalomkutato-felmeres-valasztas-2022-fidesz-kdnp-ellenzek</t>
  </si>
  <si>
    <t>https://nezopont.hu/fidesz-vezetes-haboruban-is/</t>
  </si>
  <si>
    <t>Az egyéb válasz "ingadozó szavazó" - nem mondják meg, hogy az meg mi. Ld. https://www.facebook.com/valasztasi.kalauz/posts/494821855485941</t>
  </si>
  <si>
    <t>https://www.nyugat.hu/cikk/kozvelemeny_kutatas_szombathely_czegledy_csaba_hende_csaba_2022</t>
  </si>
  <si>
    <t>Egyéni képviselőjelöltekre (Hende vs. Czeglédy Csaba). Választási eredmény Hende 48.3 Czeglédy 41.8 MH jelölt 4.6 MKKP jelölt 3.1</t>
  </si>
  <si>
    <t>http://republikon.hu/elemzesek,-kutatasok/22-03-23-kvk-marcius.aspx</t>
  </si>
  <si>
    <t>https://telex.hu/valasztas-2022/2022/03/23/republikon-intezet-partpreferenciak-kozvelemeny-kutatas-2022-marcius-kozepe</t>
  </si>
  <si>
    <t>https://publicus.hu/blog/partok-tamogatottsaga-2022-marcius-eleje/</t>
  </si>
  <si>
    <t>https://publicus.hu/blog/a-tobbseg-a-pedagogusok-mellett-van/</t>
  </si>
  <si>
    <t>https://publicus.hu/blog/a-kormany-oroszbarat-kulpolitikaja-megosztja-a-tarsadalmat/</t>
  </si>
  <si>
    <t>https://nezopont.hu/a-baloldaliak-sem-hisznek-a-kormanyvaltasban/</t>
  </si>
  <si>
    <t>A források nem nevezik meg, de az intézet jellemzően a Jobbik számára végez kutatásokat.</t>
  </si>
  <si>
    <t>https://hang.hu/valasztas/szoros-a-meccs-budan-de-hajnal-miklos-vezet-furjes-balazs-elott-138319</t>
  </si>
  <si>
    <t>https://telex.hu/valasztas-2022/2022/03/17/hajnal-miklos-furjes-balazs-iranytu-intezet-kozvelemeny-kutatas</t>
  </si>
  <si>
    <t>Egyéni jelöltek Hajnal Miklós, Fürjes Balázs és Kovács Gergely. Az "Egyéb párt" valójában "a volt LMP-s, most függetlenként induló Hajdu Mária és a Megoldás Mozgalom jelöltje, Jenei Dávid"</t>
  </si>
  <si>
    <t>http://www.ideaintezet.hu/hu/hirek-aktualis/79/az-ellenzek-es-a-fidesz-is-erosodott-az-orosz-agresszioval-kitort-haboru-ota------2022--marcius</t>
  </si>
  <si>
    <t>https://24.hu/kozelet/2022/03/17/haboru-idea-kutatas-partok/</t>
  </si>
  <si>
    <t>https://telex.hu/valasztas-2022/2022/02/21/idea-intezet-kozvelemeny-kutatas-listas-szavazatok-fidesz-vezet-ellenzek</t>
  </si>
  <si>
    <t>https://tarsadalomkutato.hu/szolidarisak-az-ukrajnai-menekultekkel-a-magyarok/</t>
  </si>
  <si>
    <t>A cég elfogadhatatlan terepmunka gyakorlatára ld. https://index.hu/belfold/2019/09/13/szinapszis_magyar_tarsadalomkutato_intezet_amygdala/</t>
  </si>
  <si>
    <t>https://publicus.hu/blog/tizbol-nyolc-ember-oroszorszag-jogtalanul-tamadja-ukrajnat/</t>
  </si>
  <si>
    <t>A pirossal jelölt számok csak a megelőző és a soron következő Publicus vizsgálat számainak átlagolásával kapott saját saccaim, mert a Publicus nem publikálta őket</t>
  </si>
  <si>
    <t>e-benchmark</t>
  </si>
  <si>
    <t>Magyar Demokrata</t>
  </si>
  <si>
    <t>https://demokrata.hu/magyarorszag/felmeres-orban-viktor-felfele-marki-zay-lefele-huzza-sajat-taborat-500316/</t>
  </si>
  <si>
    <t>"Ha a Fidesz-KDNP jelölttel szemben az ellenzéki pártok egy közös jelöltet inditanának, hogy legyőzzék a Fidesz-KDNP kerületi jelöltjét, akkor Ön kire szavazna?"</t>
  </si>
  <si>
    <t>https://nezopont.hu/orban-kepviseli-jobban-a-magyarok-erdekeit/</t>
  </si>
  <si>
    <t>CEU Public Policy Lab</t>
  </si>
  <si>
    <t>https://pcblog.atlatszo.hu/2022/03/25/megosztott-de-nem-gyulolkodo-a-magyar-tarsadalom-a-2022-es-valasztasok-elott/</t>
  </si>
  <si>
    <t>https://hvg.hu/360/20220302_Median_felmeres_kozvelemenykutatas</t>
  </si>
  <si>
    <t>https://hatter.hu/hirek/a-szavazoik-szerint-az-ellenzeknek-a-nepszavazason-az-ervenytelen-mellett-kell-kiallnia</t>
  </si>
  <si>
    <t>"ellenzéki közös lista". Az egyéb pártokon belül 1% a Megoldás Mozgalom. A biztos szavazók aránya 2022.03.31-i nyomtatott HVG alapján. A kérdőiv tartalmazott a népszavazással kapcsolatban az Amnesty International Magyarország és a Háttér Társaság által megrendelt kérdéseket is.</t>
  </si>
  <si>
    <t>https://www.amnesty.hu/ervenytelennek-igerkezik-a-kormany-propaganda-nepszavazasa/</t>
  </si>
  <si>
    <t>"ellenzéki közös lista". Az egyéb pártokon belül 1% a Megoldás Mozgalom. A kérdőiv tartalmazott a népszavazással kapcsolatban az Amnesty International Magyarország és a Háttér Társaság által megrendelt kérdéseket is.</t>
  </si>
  <si>
    <t>http://republikon.hu/elemzesek,-kutatasok/22-03-01-kvk-feb.aspx</t>
  </si>
  <si>
    <t>https://telex.hu/valasztas-2022/2022/03/01/republikon-partpreferencia-februar-orosz-ukran-haboru-elott</t>
  </si>
  <si>
    <t>https://24.hu/belfold/2022/03/01/haboru-kampany-republikon-kutatas/</t>
  </si>
  <si>
    <t>https://24.hu/belfold/2022/03/29/kormanyvaltas-fidesz-kormany-kozvelemeny-kutatas-zavecz-research/</t>
  </si>
  <si>
    <t>https://24.hu/belfold/2022/03/25/magyarorszag-problematerkep-inflacio-egeszsegugy-gender-migracio-kozvelemeny-kutatas-zavecz/</t>
  </si>
  <si>
    <t>https://24.hu/belfold/2022/03/24/koronavirus-jarvanykezeles-magyarorszag-kozvelemeny-kutatas-zavecz-research/</t>
  </si>
  <si>
    <t>https://publicus.hu/blog/szoros-a-verseny-szombathelyen/</t>
  </si>
  <si>
    <t>Hende, Czeglédy, Vadon (Mi Hazánk) és Nagy (MKKP)</t>
  </si>
  <si>
    <t>Fidesz-KDNP  és “Egységben Magyarországét” közötti választás.</t>
  </si>
  <si>
    <t>https://publicus.hu/blog/fej-fej-mellett-a-jaszsagban/</t>
  </si>
  <si>
    <t>Kertész Ottó, Pócs János és a kisebb pártok jelöltjei közti választás esetén</t>
  </si>
  <si>
    <t>https://nezopont.hu/elbizonytalanodo-baloldaliak/</t>
  </si>
  <si>
    <t>https://magyarnemzet.hu/belfold/2022/02/nezopont-elbizonytalanodtak-a-baloldali-szavazok</t>
  </si>
  <si>
    <t>https://telex.hu/valasztas-2022/2022/02/21/nezopont-februar-partpreferenciak</t>
  </si>
  <si>
    <t>Az ábra szerint "A Nézőpont Intézet pártpreferncia becslése kutatáson alapul, de a pártpreferencia mellett számos egyéb kiegészitő véleménykérdés eredményét és választástörténeti szempontokat is figyelembe vesz." A cikk szövege szerint "Ugyan a két kispárt jelenleg nem éri el a Nézőpont-becslés szerint az ötszázalékos küszöböt, de mindkettőjüknek vannak még tartalékai. Kutatásunkban rákérdeztünk, ki az, aki elképzelhetőnek tartja, hogy ezen pártokra szavaz, s közülük kivontuk a valamelyik más pártra biztosan szavazókat. Ezek alapján elmondható, hogy jelenleg a Mi Hazánk a bejutásra esélyesebb kispárt, amelynek potenciális támogatottsága eléri a 6 százalékot. A biztosan meglévő 3 százalék fölötti szavazói elsősorban a baloldali bizonytalanok táborából érkezhetnek, miután szaporodnak kétségeik eddigi pártszimpátiájukkal kapcsolatban. A Mi Hazánk jelenlegi már meglévő, háromszázalékos táborának egyik fele 2018-ban még Fidesz-szavazó volt, másik fele pedig Jobbik-szavazó." És "Míg januárban a becsült baloldali tábornak kevesebb mint a negyede (24 százalék) volt bizonytalannak tekinthető, február közepére arányuk 40 százalékra nőtt. Mindez azt jelenti, hogy tíz, elvileg a baloldali listára szavazó polgár közül négy nem biztos a dolgában. Kikacsinthat más pártok felé vagy dönthet a választás napi otthonmaradásáról is." Az "egyéb párt" valójában a "Megoldás"</t>
  </si>
  <si>
    <t>https://publicus.hu/blog/partok-tamogatottsaga-2022-februar/</t>
  </si>
  <si>
    <t xml:space="preserve">A képaláirásokból úgy tűnik, hogy nyitott kérdés volt, de lehet, hogy előtte már mondták a megkérdezettnek, hogy “Egységben Magyarországét” néven indul az ellenzék. </t>
  </si>
  <si>
    <t>https://www.facebook.com/realpr93/photos/a.122367880007739/273025521608640/</t>
  </si>
  <si>
    <t>https://mandiner.hu/cikk/20220213_vezet_a_fidesz_a_kampany_kezdeten_realpr93_telefonos_felmeres_kozvelemenykutatas_belfold</t>
  </si>
  <si>
    <t>Ujhelyi István magyar európai parlamenti képviselő</t>
  </si>
  <si>
    <t>https://publicus.hu/blog/ketharmad-szerint-orban-putyin-erdekeit-szolgalva-bomlasztja-az-europai-egyseget/</t>
  </si>
  <si>
    <t>https://nezopont.hu/gyurcsannyal-a-gyurcsany-ellenes-szavazokert/</t>
  </si>
  <si>
    <t>Az 52:41 saját becslésem a megjelent adatok és a Mi Hazánk/MKKP szavazókra vonatkozó feltevések alapján</t>
  </si>
  <si>
    <t>https://nepszava.hu/3146493_koztarsasagi-elnok-rona-ader-novak-publicus-kozvelemeny</t>
  </si>
  <si>
    <t>https://publicus.hu/blog/tobbseg-szerint-novak-katalin-megoszto-szemelyiseg/</t>
  </si>
  <si>
    <t>https://telex.hu/belfold/2022/02/14/zavecz-szuk-kormanyparti-elony-februarban</t>
  </si>
  <si>
    <t>https://index.hu/belfold/2022/02/14/zavecz-harom-szazalekkal-vezet-a-kormanypartok-listaja-fidesz-ellenzek-valasztas-kozvelemeny-kutatas/</t>
  </si>
  <si>
    <t>"Mind a Fidesz–KDNP, mind az Egységben Magyarországért táborán belül lényegében azonos, 57-58 százalékos az aktív szavazók aránya, ennyien biztosak abban, hogy ott lesznek az urnáknál, és leadják voksukat.
A 3,1 millió kormánypárti szimpatizánsból 1,8 millió fő teljesen biztos abban, hogy szavazni fog, további 1,2 millióan valószínűsítik részvételüket, nagyjából 100 ezren passzívak. Az ellenzéki lista 2,9 millió támogatójából 1,7 millióan biztos résztvevőnek mondják magukat, míg 1 millióan valószínűnek tartják, hogy elmennek, további 100 ezren viszont nem feltételezik, hogy voksolnak."</t>
  </si>
  <si>
    <t>"Egyéb párt" a közös listás kérdés alapján, "Egyéb válasz" pedig a 100%-ból hiányzó érték szerint</t>
  </si>
  <si>
    <t>https://ideaintezet.hu/hu/hirek-aktualis/78/attores-nelkuli-tamogatottsag-mozgasok---2022--februar</t>
  </si>
  <si>
    <t>https://nezopont.hu/orban-sokkal-jobb-mint-marki-zay/</t>
  </si>
  <si>
    <t>https://tarsadalomkutato.hu/elbizonytalanodott-a-baloldali-tabor/</t>
  </si>
  <si>
    <t>https://telex.hu/belfold/2022/02/01/tarsadalomkutato-kozvelemeny-kutatas-felmeres-ellenzek-kormanyoldal-valasztas</t>
  </si>
  <si>
    <t>http://republikon.hu/elemzesek,-kutatasok/22-01-28-kvk-jan.aspx</t>
  </si>
  <si>
    <t>https://telex.hu/valasztas-2022/2022/01/29/republikon-januar-felmeres</t>
  </si>
  <si>
    <t>MTI archivum, 2022. március 29. "Választás 2022 - Alapjogokért Központ: az aktív magyarok 58 százaléka Orbán#&lt;Viktort támogatja"</t>
  </si>
  <si>
    <t>https://www.facebook.com/594088897289853/posts/5364898583542170</t>
  </si>
  <si>
    <t>Az MTI hir teljes szövege: "A választási részvételüket biztosra ígérő válaszadók körében Orbán Viktor népszerűsége 2021 novembere óta töretlen: az utóbbi 18 hétben a hivatalban lévő miniszterelnök támogatottsága 52-58 százalék között mozgott, az országgyűlési választás kampányhajrájában pedig 58 százalékon áll - közölte az Alapjogokért Központ legfrissebb felmérésének eredményeire hivatkozva kedden az MTI-vel.     Azt írták, hogy Orbán Viktor "baloldali kihívója" ezúttal sem tudott népszerűtlenségén javítani, Márki-Zay Pétert csupán a szavazni szándékozók 25 százaléka szeretné kormányfői pozícióban látni, az ukrán-orosz háború kitörése óta pedig nincs olyan társadalmi csoport, amelyben népszerűbb lenne, mint Orbán Viktor. A 2010 óta hivatalban lévő kormányfő népszerűsége az ukrán-orosz konfliktus kitörése óta még növekedett is - folytatták -, az őt támogató, aktív szimpatizánsok aránya a háború kitörése utáni két hétben 52-ről 61 százalékra emelkedett, majd az utóbbi két hétben 58 százalékon állt. "Mindez azt jelenti, hogy a Magyarországot a háborútól távoltartó, stratégiai nyugalmat és biztonságot hirdető kormányfői hozzáállással a magyarok döntő többsége azonosulni tud" - fogalmaztak, hozzátéve, hogy a háborús konfliktusba Magyarországot "belesodorni képes javaslatokat megfogalmazó" Márki-Zay Péter támogatóinak köre nem növekedett. A Gyurcsány Ferenccel összefogó hódmezővásárhelyi polgármestert az aktív szavazók csupán negyede támogatta miniszterelnöki ambícióinak megvalósításában a legutolsó adatfelvételkor, de korábban sem tudott 29 százalékos népszerűségi indexnél jobbat elérni - tették hozzá. "Márki-Zay népszerűtlensége szembeötlő: továbbra sincs olyan társadalmi csoport, ahol meg tudná szorongatni Orbán Viktort. Ezt igazolja, hogy míg Márki-Zay Pétert két héttel ezelőtt a kormánnyal kritikus, önmagukat ellenzékinek mondó válaszadóknak a 71 százaléka szerette volna miniszterelnökként látni, addig a mostani felmérésben már csak 58 százalékuk" - emelték ki. Hozzátették: a "liberálisok által gyakran hivatkozott fiatalok", a 18-29 évesek körében is komoly lemaradásban van: 53 százalékuk Orbán Viktort szeretné miniszterelnöknek és csak 22 százalékuk őt. Az ellenzéki listavezető lemaradása Budapesten is nőtt: a fővárosiak két hete 45-42, a mostani felmérésben pedig 46-35 százalékos arányban álltak a hivatalban lévő miniszterelnök mellé - jelezték. Az aktív magyarok 17 százaléka továbbra sem tudja vagy nem akarja elárulni, hogy kit támogatna a két politikus közül - írták. Az Alapjogokért Központ szerint Márki-Zay Péter lemaradása azért lehet még mindig ilyen tetemes, mert a szomszédban zajló háború kirobbanása előtti és azt követő hetekben is "hibát hibára halmozott, következetlenül és össze-vissza beszélt, majd utólag nem győzött magyarázkodni". Emlékezetesnek nevezték, hogy korábban tudatlannak nevezte például a vidékieket, gúnyolódott a nyugdíjasokon vagy ostobának titulálta azokat, akik pártolják a gyermekvédelmi törvényt. Mindemellett a korábbiakban kritizálta a rezsicsökkentést, a minimálbért, a 13. havi nyugdíjat vagy az alapvető élelmiszerek és az üzemanyagok hatósági árstopját is. Az utóbbi négy hétben ráadásul több alkalommal is "javaslatot" tett arra, hogy Magyarország küldjön katonákat és fegyvereket a szomszédban zajló háborúba, a kárpátaljai magyarokat pedig oroszbarátsággal vádolta meg, veszélyeztetve ezzel a biztonságukat -közölte a központ."</t>
  </si>
  <si>
    <t>https://www.facebook.com/alapjogokert/posts/5166173103414720</t>
  </si>
  <si>
    <t>https://www.atv.hu/belfold/20220125/felmeres-5-szazalekkal-vezet-a-fidesz</t>
  </si>
  <si>
    <t>Az öt, részben push-pollokra szakosodott közvélemény-kutató együttműködése keretében (ld. https://www.facebook.com/alapjogokert/posts/4802202516478449) kezdett el választási közvélemény-kutatásokat publikálni hatvanegynéhány nappal a választás előtt. Ld.  A kutatás "statisztikai módszerek segitségével a bizonytalan vagy pártpreferenciájukat el nem áruló válaszadókat is igyekezett a legpontosabban besorolni az egyes listákhoz." Az adatok a "biztos szavazók"-ra vonatkoznak, és "baloldali közös lista" megnevezéssel irják le az ellenzéki közös listát.</t>
  </si>
  <si>
    <t>A kisebb pártok és az "egyéb válasz" százalékát nem posztolták, azt a következő havi mérésből másoltam csak ide</t>
  </si>
  <si>
    <t>https://nezopont.hu/fidesz-gyozelemre-szamitanak-a-magyarok/</t>
  </si>
  <si>
    <t>http://www.ideaintezet.hu/hu/hirek-aktualis/77/kismerteku--de-fontos-valtozasok-a-preferenciakban------2022--januar</t>
  </si>
  <si>
    <t>Szondaphone</t>
  </si>
  <si>
    <t>https://www.facebook.com/vajda.zoltan.tamas</t>
  </si>
  <si>
    <t>A kérdés a Szatmáry Kristóf és Vajda Zoltán közti választásra vonatkozott</t>
  </si>
  <si>
    <t>https://magyarnemzet.hu/belfold/2022/01/a-fidesz-az-eselyes-a-kampanystart-elott</t>
  </si>
  <si>
    <t>https://www.facebook.com/realpr93/posts/262502752660917</t>
  </si>
  <si>
    <t>https://magyarnemzet.hu/belfold/2022/01/egy-ujfajta-felmeres-kire-szavazna-az-on-ismerose</t>
  </si>
  <si>
    <t>https://www.facebook.com/realpr93/posts/245284074382785</t>
  </si>
  <si>
    <t>https://magyarnemzet.hu/belfold/2021/12/a-fidesz-kdnp-54-a-baloldali-osszefogas-45-szazalekon-all</t>
  </si>
  <si>
    <t>Az öt, részben push-pollokra szakosodott közvélemény-kutató együttműködése keretében (ld. https://www.facebook.com/alapjogokert/posts/4802202516478449) kezdett el választási közvélemény-kutatásokat publikálni néhány hónappal a 2022-es választás előtt. A megjelent ábra "baloldali közös lista" megnevezéssel irja le az ellenzéki közös listát. A Reál Pr szakmailag és etikailag elfogadhatatlan módszertanát részletesen bemutatta ez a cikk: https://magyarnarancs.hu/belpol/felvetel-keszult-a-kozvelemeny-kutatasnak-alcazott-befolyasolo-kampanyrol-somogyban-245659</t>
  </si>
  <si>
    <t>https://www.nyugat.hu/cikk/zavecz_szerint_szombathely_ellenzekinek_szamit</t>
  </si>
  <si>
    <t>Czeglédy Csaba vs. Hende Csaba megoszlás</t>
  </si>
  <si>
    <t>Czeglédy Csaba vs. Balázsy Péter megoszlás</t>
  </si>
  <si>
    <t>https://publicus.hu/blog/volner-ugy-tobbseg-szerint-a-miniszter-is-felelos/</t>
  </si>
  <si>
    <t>https://publicus.hu/blog/a-kotelezo-covid-oltas-megosztja-a-tarsadalmat/</t>
  </si>
  <si>
    <t>Továbbra sem világos, hogy a kérdés "baloldaliként" irja-e le az ellenzéki közös listát. A Mi Hazánk és az MKKP az "egyéb párt" része</t>
  </si>
  <si>
    <t>https://nezopont.hu/a-fidesz-all-nyeresre-2021-vegen/</t>
  </si>
  <si>
    <t>https://index.hu/belfold/2021/12/21/nezopont-intezet-felmeres-valasztas-2022/</t>
  </si>
  <si>
    <t>https://magyarnemzet.hu/belfold/2021/12/a-fidesz-all-nyeresre-2021-vegen</t>
  </si>
  <si>
    <t>Továbbra sem világos, hogy a kérdés "baloldaliként" irja-e le az ellenzéki közös listát. A Mi Hazánk és az MKKP az "egyéb párt" része. Az adatok "pártlisták legvalószínűbb eredménye", ami a korábbi Nézőpont posztok terminologiájából itélve a biztos szavazó pártválasztókat jelenti. A Fidesz támogatottságáról a községekben csak annyit mondanak, hogy ott "a válaszadók kétharmada kormánypárti szavazó"</t>
  </si>
  <si>
    <t>http://republikon.hu/elemzesek,-kutatasok/21-12-20-kvk-dec.aspx</t>
  </si>
  <si>
    <t>https://telex.hu/valasztas-2022/2021/12/20/republikon-a-negyedik-hullam-es-a-volner-botrany-ellenere-erosodessel-zarja-az-evet-a-fidesz</t>
  </si>
  <si>
    <t>A 21 Kutatóközpont az ellenzéki közös kampány számára</t>
  </si>
  <si>
    <t>https://index.hu/belfold/2021/12/20/az-index-megszerezte-a-kozvelemeny-kutatas-reszleteit-amely-felkavarta-az-allovizet-az-ellenzekben/</t>
  </si>
  <si>
    <t>https://444.hu/2021/12/16/hetek-ota-vitatkoznak-a-kampany-szinein-mikozben-a-fidesz-egyre-csak-erosodik</t>
  </si>
  <si>
    <t>Az "Egyéb válasz" valójában 10% "nem válaszol" vagy "nem tudja", 2% "biztosan nem szavazna"</t>
  </si>
  <si>
    <t>Az "Egyéb válasz" valójában 9% "nem válaszol" vagy "nem tudja", 5% "biztosan nem szavazna"</t>
  </si>
  <si>
    <t>https://telex.hu/valasztas-2022/2021/12/22/zavecz-research-intezed-december-eleji-kotvelemeny-kutatas-szoros-verseny</t>
  </si>
  <si>
    <t>https://24.hu/belfold/2021/12/22/zavecz-felmeres-ellenzek-kormany-fidesz-lista-december/</t>
  </si>
  <si>
    <t>https://hvg.hu/itthon/20211222_zavecz_ellenzek_fidesz_tamogatottsag</t>
  </si>
  <si>
    <t>http://www.ideaintezet.hu/hu/hirek-aktualis/75/az-ellenzek-elcsendesedett-november-vegere-2021--november-december</t>
  </si>
  <si>
    <t>https://24.hu/belfold/2021/12/20/idea-fej-fej-mellett-a-csendesebb-ellenzek-es-a-fidesz/</t>
  </si>
  <si>
    <t>https://hvg.hu/360/20211229_Median_Az_emberek_ketharmada_Orban_maradasara_szamit</t>
  </si>
  <si>
    <t>https://hvg.hu/360/20211215_Median_eletminoseg_elegedettseg_fiatalok_Nyugat_magyarorszag_Orban_Viktor</t>
  </si>
  <si>
    <t>https://nepszava.hu/3140990_publicus-csokkent-de-tart-az-ellenzek-elonye</t>
  </si>
  <si>
    <t>A Népszava cikk szerint a DK. Fidesz és Jobbik szavazók 92+% körül biztos szavazók</t>
  </si>
  <si>
    <t>https://publicus.hu/blog/partok-tamogatottsaga-2021-november/</t>
  </si>
  <si>
    <t>http://republikon.hu/elemzesek,-kutatasok/21-12-02-kvk-nov.aspx</t>
  </si>
  <si>
    <t>https://telex.hu/valasztas-2022/2021/12/08/republikon-befagytak-a-partpreferenciak-a-kutyapart-es-az-egyeb-partok-tabora-viszont-no</t>
  </si>
  <si>
    <t>FFLAU és O1GBP az Orbán illetve Márki-Zayt "kedvelők" százalékos aránya alapján</t>
  </si>
  <si>
    <t>https://telex.hu/belfold/2021/12/03/zavecz-szuken-de-vezet-az-ellenzek</t>
  </si>
  <si>
    <t>https://24.hu/belfold/2021/12/03/zavecz-kutatas-partpreferenciak/#</t>
  </si>
  <si>
    <t>"A kiélezett verseny magával hozta a választók magas részvételi szándékát. Négy évvel ezelőtt, 2017 novemberében az emberek 34 százaléka biztosra, további 36 százaléka valószínűnek tartotta részvételét a parlamenti választáson.     Most jóval nagyobb az aktivitás: 45 százalék biztos részvételt ígér, 37 százalék valószínűsíti azt."</t>
  </si>
  <si>
    <t>http://www.zaveczresearch.hu</t>
  </si>
  <si>
    <t>https://www.facebook.com/realpr93/posts/220574673520392</t>
  </si>
  <si>
    <t>https://www.magyarhirlap.hu/belfold/20211117-valtozatlanul-a-fidesz-vezet</t>
  </si>
  <si>
    <t>Továbbra sem világos, hogy a kérdés "baloldaliként" irja-e le az ellenzéki közös listát. A Mi Hazánk és az MKKP az "egyéb párt" része. Az adatok "pártlisták legvalószínűbb eredménye", ami a korábbi Nézőpont posztok terminologiájából itélve a biztos szavazó pártválasztókat jelenti.</t>
  </si>
  <si>
    <t>https://demokrata.hu/magyarorszag/jo-hirek-fideszeseknek-kiderult-kit-tekintenek-az-ellenzek-vezetojenek-452595/</t>
  </si>
  <si>
    <t>https://hvg.hu/itthon/20211117_zavecz_kutatas_fidesz_ellenzek_lmp</t>
  </si>
  <si>
    <t>https://telex.hu/belfold/2021/11/17/zavecz-research-felmeres-ellenzek-fidesz-kdnp-kozvelemeny-kutatas</t>
  </si>
  <si>
    <t>Závecz Tibor emailben erősitette meg, hogy telefonos kérdezés volt.</t>
  </si>
  <si>
    <t>https://nezopont.hu/marki-zay-nem-huz-felfele/</t>
  </si>
  <si>
    <t>https://magyarnemzet.hu/belfold/2021/11/nezopont-marki-zay-nem-huz-felfele</t>
  </si>
  <si>
    <t>http://www.ideaintezet.hu/hu/hirek-aktualis/74/elmult-az-ellenzeki-elovalasztas-kozvetlen-hatasa------2021--november</t>
  </si>
  <si>
    <t>https://alfahir.hu/2021/11/15/idea_intezet_ellenzeki_osszefogas_ellenzeki_elovalasztas_fideszkdnp</t>
  </si>
  <si>
    <t>http://republikon.hu/elemzesek,-kutatasok/21-11-08-kvk-okt.aspx</t>
  </si>
  <si>
    <t>https://telex.hu/belfold/2021/11/08/rebuplikon-orban-viktor-nepszerusege-43-marki-zay-petere-55-szazalek</t>
  </si>
  <si>
    <t>Psyma</t>
  </si>
  <si>
    <t>Saját forrás</t>
  </si>
  <si>
    <t>Polonyi Gábor közlése, 2021.nov.17.</t>
  </si>
  <si>
    <t>https://drive.google.com/drive/folders/1Jbo7yqzSj5oi3H7XhRcIm11uXQJtSOFY?usp=sharing</t>
  </si>
  <si>
    <t>"Ha most vasárnap lennének az országgyűlési választások, és két pártcsoport listájára lehetne szavazni, akkor melyikre szavazna inkább?"</t>
  </si>
  <si>
    <t>"Ha most vasárnap lennének az országgyűlési választások, akkor Ön melyik pártra szavazna?"A "közös lista" oszlopba irtam az eredeti közleményben "általában ellenzéki párt/jelölt" oszlopban megjelenő számokat az emailben kaptam magyarázatok alapján.</t>
  </si>
  <si>
    <t>"Ha most vasárnap lennének az országgyűlési választások, akkor Ön melyik pártra szavazna?" A "közös lista" oszlopba irtam az eredeti közleményben "általában ellenzéki párt/jelölt" oszlopban megjelenő számokat az emailben kaptam magyarázatok alapján.</t>
  </si>
  <si>
    <t>https://www.facebook.com/realpr93/posts/207310118180181</t>
  </si>
  <si>
    <t>https://www.origo.hu/itthon/20211026-realpr-93jelentos-fideszelony.html</t>
  </si>
  <si>
    <t>https://hvg.hu/360/20211103_Median_Budapest_ellenzek_Fidesz_onkormanyzati_valasztas_kozvelemenykutatas</t>
  </si>
  <si>
    <t>Az MMM-et "spontán emlitették"</t>
  </si>
  <si>
    <t>Polgári Magyarországért Alapítvány</t>
  </si>
  <si>
    <t>https://nezopont.hu/2006-oktobere-gyurcsany-felelossege/</t>
  </si>
  <si>
    <t>https://telex.hu/belfold/2021/10/27/zavecz-kozvelemeny-kutatas-oktober-ellenzeki-lista-4-szazalekpont-elony-fidesz</t>
  </si>
  <si>
    <t>https://24.hu/belfold/2021/10/27/zavecz-research-kozvelemeny-kutatas-2021-oktober-ellenzek-fidesz/</t>
  </si>
  <si>
    <t>A biztos szavazók arányára a https://szocialis.eu/zavecz_21_10_29.pdf egy célzásából ("A kutatás jelenleg 74-75 %-os igen magas választási részvételt mér") következtettem. A budapesti és községi nem pártválasztók arányát azzal a feltevéssel saccoltam meg, hogy a falvakban 2, Budapesten 4% az egyéb párt.</t>
  </si>
  <si>
    <t>10+</t>
  </si>
  <si>
    <t>https://pestitv.pestisracok.hu/2021/11/13/furesz-gabor-a-szazadveg-vezerigazgatoja-a-marki-zay-jelensegrol-az-ordito-ellentmondas-elobb-utobb-leleplezodik/#fvp_3380,19m51s</t>
  </si>
  <si>
    <t>"Biztos" vagy "valószinű" résztvevők. Csak az ellenzéken belüli arányokat közölték, a Fidesz és az ellenzék százalékaránya Fűrész Gábor egy későbbi interjújában hangzott el.</t>
  </si>
  <si>
    <t>https://szazadveg.hu/hu/2021/10/15/a-valasztok-kozel-ketharmada-a-fidesz-kdnp-gyozelmere-szamit-2022-ben~n2073</t>
  </si>
  <si>
    <t>https://www.facebook.com/Szazadveg/posts/2325828474226891</t>
  </si>
  <si>
    <t>https://szazadveg.hu/hu/2021/10/12/a-demokratikus-koalicio-atvette-a-vezetest-a-baloldalon~n2065</t>
  </si>
  <si>
    <t>http://ideaintezet.hu/hu/hirek-aktualis/73/az-elovalasztas-masodik-forduloja-elott-nyiltta-valt-a-verseny-az-ellenzek-es-a-fidesz-kozott-</t>
  </si>
  <si>
    <t>https://publicus.hu/blog/partok-tamogatottsaga-2021-oktober/</t>
  </si>
  <si>
    <t>IDEA Intézet?</t>
  </si>
  <si>
    <t>https://telex.hu/belfold/2021/10/07/idea-zavecz-felmeres-kozvelemeny-kutatas-dobrey-marki-zay-karacsony-ellenzeki-elovalasztas</t>
  </si>
  <si>
    <t>http://republikon.hu/elemzesek,-kutatasok/21-10-08-szept-kvk.aspx</t>
  </si>
  <si>
    <t>https://hvg.hu/360/20211013_Partos_partatlan_Valasztasi_szonda</t>
  </si>
  <si>
    <t>https://hvg.hu/360/20211006_Ellenzeki_eroter</t>
  </si>
  <si>
    <t>https://publicus.hu/blog/masodik-vita-tobbseg-szerint-karacsony-tudja-legyozni-orbant/</t>
  </si>
  <si>
    <t>https://szegedma.hu/2021/10/tobb-kozvelemenykutato-szerint-nott-a-fidesz-tamogatottsaga-a-teljes-nepessegen-belul</t>
  </si>
  <si>
    <t>Egy konferencián hangzott el pár szám, azt idézte a sajtó</t>
  </si>
  <si>
    <t>https://nezopont.hu/hatastalan-a-partpreferenciakra-az-elovalasztas/</t>
  </si>
  <si>
    <t>https://magyarnemzet.hu/belfold/2021/09/hatastalan-a-partpreferenciakra-az-elovalasztas</t>
  </si>
  <si>
    <t>https://www.facebook.com/nezopontintezet</t>
  </si>
  <si>
    <t>https://telex.hu/belfold/2021/09/28/budapesten-ketszer-erosebb-az-ellenzek-mint-a-kormanypartok</t>
  </si>
  <si>
    <t>https://hvg.hu/itthon/20210928_Zavecz_Research_Kiegyenlitettek_az_eroviszonyok_es_a_gyozelmi_varakozasok</t>
  </si>
  <si>
    <t>http://www.ideaintezet.hu/hu/hirek-aktualis/71/beindulo-kampany--koncentralodo-szavazok-----2021--szeptember</t>
  </si>
  <si>
    <t>https://24.hu/belfold/2021/09/20/idea-intezet-a-teljes-nepessegnel-az-ellenzek-a-biztos-szavazoknal-a-fidesz-kdnp-vezet/</t>
  </si>
  <si>
    <t>https://publicus.hu/blog/lesz-magyarorszagon-ujabb-menekulthullam/</t>
  </si>
  <si>
    <t>https://publicus.hu/blog/ketharmad-egyetert-hogy-14-ev-alatt-ingyenes-a-fovarosi-kozossegi-kozlekedes/</t>
  </si>
  <si>
    <t>http://republikon.hu/elemzesek,-kutatasok/21-09-01-kvk.aspx</t>
  </si>
  <si>
    <t>https://nezopont.hu/a-fidesz-nyerte-meg-az-augusztust/</t>
  </si>
  <si>
    <t>Civitas</t>
  </si>
  <si>
    <t>https://designrr.page/?id=119445&amp;token=1015409182&amp;type=FP&amp;h=8556</t>
  </si>
  <si>
    <t>https://444.hu/2021/08/20/civitas-dobrev-klara-a-legnepszerubb-ellenzeki-jelolt</t>
  </si>
  <si>
    <t>https://hvg.hu/itthon/20210826_Zavecz_ellenzek_fidesz_felmeres</t>
  </si>
  <si>
    <t>https://telex.hu/belfold/2021/08/25/zavecz-research-felmeres-augusztus-partpreferencia-tamogatottsag</t>
  </si>
  <si>
    <t>http://www.ideaintezet.hu/hu/hirek-aktualis/69/megallt-a-jobbik-eloretorese-a-nyar-derekan------2021--julius</t>
  </si>
  <si>
    <t>https://24.hu/belfold/2021/08/13/idea-intezet-felmeres-partpreferencia-kormany-ellenzek/</t>
  </si>
  <si>
    <t>https://www.facebook.com/ideaintezet/posts/4362505953787465</t>
  </si>
  <si>
    <t>MSZP 4%, Párbeszéd 2%</t>
  </si>
  <si>
    <t>MSZP 5%, Párbeszéd 2%</t>
  </si>
  <si>
    <t>http://republikon.hu/3509.aspx</t>
  </si>
  <si>
    <t>MSZP 6%, Párbeszéd 1%.</t>
  </si>
  <si>
    <t>MSZP 8%, Párbeszéd 2%</t>
  </si>
  <si>
    <t>A forrás nem nevezik meg, a kérdőiv egy másik részére ld. https://www.amnesty.hu/tortenelmi-csucson-a-melegek-elfogadottsaga-magyarorszagon/</t>
  </si>
  <si>
    <t>Nyomtatott HVG, 2021.07.29.</t>
  </si>
  <si>
    <t>http://www.ideaintezet.hu/hu/hirek-aktualis/65/listak-versenyeben-a-biztos-szavazoknal-forditott-a-fidesz</t>
  </si>
  <si>
    <t>https://24.hu/kozelet/2021/07/12/idea-intezet-partok-kozvelemeny-kutatas-julius/</t>
  </si>
  <si>
    <t>MSZP 3%, Párbeszéd 2%</t>
  </si>
  <si>
    <t>Polonyi Gábor közlése</t>
  </si>
  <si>
    <t>https://drive.google.com/drive/folders/1EepDl8JA7kehmh3ecgIXRdi7Vgnef5z-?usp=sharing</t>
  </si>
  <si>
    <t>MSZP 6%, Párbeszéd 1%. A "közös lista" oszlopba irtam az eredeti közleményben "általában ellenzéki párt/jelölt" oszlopban megjelenő számokat. Budapesti támogatottásgi adatokat nem közöltek, hanem csak a nagyvárosokét", ezekben van 10%-kal több ellenzéki támogató, mint országosan.</t>
  </si>
  <si>
    <t>MSZP 4%, Párbeszéd 1%. A "közös lista" oszlopba irtam az eredeti közleményben "általában ellenzéki párt/jelölt" oszlopban megjelenő számokat.</t>
  </si>
  <si>
    <t>https://publicus.hu/blog/a-tobbseg-szerint-kampanyeszkoz-a-gyerekesek-adovisszateritese/</t>
  </si>
  <si>
    <t>http://republikon.hu/elemzesek,-kutatasok/21-07-02-kvk.aspx</t>
  </si>
  <si>
    <t>https://telex.hu/belfold/2021/07/02/republikon-partpreferencia-2021-junius</t>
  </si>
  <si>
    <t>MSZP 9%, Párbeszéd 3%</t>
  </si>
  <si>
    <t>MSZP 6%, Párbeszéd 2%.</t>
  </si>
  <si>
    <t>https://nezopont.hu/csokkentek-karacsony-eselyei/</t>
  </si>
  <si>
    <t>https://hvg.hu/itthon/20210624_Zavecz_junius_partpreferencia</t>
  </si>
  <si>
    <t>https://telex.hu/belfold/2021/06/24/fej-fej-mellett-a-dk-es-a-jobbik-a-ket-legtamogatottabb-ellenzeki-part</t>
  </si>
  <si>
    <t xml:space="preserve">MSZP 5.6%, Párbeszéd 1%. </t>
  </si>
  <si>
    <t xml:space="preserve">MSZP 6.8%, Párbeszéd 1.8%. </t>
  </si>
  <si>
    <t>https://nezopont.hu/valtozatlan-fidesz-elony/</t>
  </si>
  <si>
    <t>https://magyarnemzet.hu/belfold/nezopont-intezet-a-fidesz-elonye-valtozatlan-9943958/</t>
  </si>
  <si>
    <t>https://www.facebook.com/nezopontintezet/posts/4305936002784583</t>
  </si>
  <si>
    <t>Továbbra sem világos, hogy a kérdés "baloldaliként" irja-e le az ellenzéki közös listát</t>
  </si>
  <si>
    <t>https://hvg.hu/360/20210623_Median_Stabilizacio</t>
  </si>
  <si>
    <t>https://hvg.hu/360/20210616_Miniszterelnokjelolti_verseny_tisztulo_kep</t>
  </si>
  <si>
    <t>MSZP 1%, Párbeszéd 1%</t>
  </si>
  <si>
    <t>http://www.ideaintezet.hu/hu/hirek-aktualis/63/ellenzeki-vezetes-a-listak-versenyeben------2021--majus-junius</t>
  </si>
  <si>
    <t>https://magyarnemzet.hu/belfold/tovabb-nott-az-elegedettek-szama-9901025/</t>
  </si>
  <si>
    <t>https://nezopont.hu/ketharmados-elegedettseg/</t>
  </si>
  <si>
    <t>http://republikon.hu/elemzesek,-kutatasok/21-05-29-kvk.aspx</t>
  </si>
  <si>
    <t>https://telex.hu/belfold/2021/05/31/republikon-a-jobbik-mar-stabilan-az-ellenzek-vezeto-ereje</t>
  </si>
  <si>
    <t>MSZP 9%, Párbeszéd 2%</t>
  </si>
  <si>
    <t>MSZP 6%, Párbeszéd 1%.  A biztos szavazó aránya a telex.huban.</t>
  </si>
  <si>
    <t>https://nepszava.hu/3121613_ertelem-es-erzelem-felporgott-a-kampany-az-ellenzeki-terfelen</t>
  </si>
  <si>
    <t>A kisebb pártok és az "egyéb válasz" százalékát nem posztolták, az előbbit az egyes pártokra vonatkozó becslésből másoltam ide, a 21% "egyéb válasz" pedig csak egy becslés az alapján, hogy mi a többi számok összege a sorban,</t>
  </si>
  <si>
    <t>https://publicus.hu/blog/partok-tamogatottsaga-es-az-elovalasztas-2021-majus/</t>
  </si>
  <si>
    <t>https://szazadveg.hu/hu/2021/05/28/a-budapestiek-kozepes-gyengere-ertekelik-karacsony-gergely-fopolgarmesteri-teljesitmenyet~n1865</t>
  </si>
  <si>
    <t>A poszt grafikája szerint az MKKP stb nem volt válaszlehetőség az "Ön kire szavazna, ha csak az alábbiak közül választhatna" kérdésnél, csak "Fidesz", "Ellenzéki összefogás" és "Nem tudja-nem válaszol"</t>
  </si>
  <si>
    <t>https://telex.hu/belfold/2021/05/21/zavecz-felmeres-partok-tamogatottsaga-fidesz-ellenzeki-partok</t>
  </si>
  <si>
    <t>https://telex.hu/belfold/2021/05/24/a-magyarok-56-szazaleka-de-meg-a-fideszesek-fele-is-kozvetlen-allamfo-valasztast-szeretne</t>
  </si>
  <si>
    <t>http://www.zaveczresearch.hu/hatparti-ellenzek-kormanypartok-40-39/</t>
  </si>
  <si>
    <t xml:space="preserve">MSZP 6.2%, Párbeszéd 0.9%. </t>
  </si>
  <si>
    <t xml:space="preserve">MSZP 6.7%, Párbeszéd 0.8%. </t>
  </si>
  <si>
    <t>https://designrr.page/?id=92245&amp;token=2630185484&amp;type=FP</t>
  </si>
  <si>
    <t>https://www.facebook.com/444.hu/posts/4306096126118779</t>
  </si>
  <si>
    <t>MSZP 2, Párbeszéd 1%</t>
  </si>
  <si>
    <t>http://ideaintezet.hu/hu/hirek-aktualis/58/rendkivul-kielezett-verseny-a-politikai-tombok-kozott-2021--majus-elejen-</t>
  </si>
  <si>
    <t>https://telex.hu/belfold/2021/05/23/idea-intezet-felmeres-partpreferencia-aprilis-majus</t>
  </si>
  <si>
    <t>https://24.hu/belfold/2021/05/27/idea-intezet-valasztasi-eselyek-partpreferencia-elemzes-bocskei-balazs-szabo-andrea/</t>
  </si>
  <si>
    <t>egyéb pártok: Böcskei Balázs személyes közlése, 2021. május 24</t>
  </si>
  <si>
    <t>kisebb pártok: Böcskei Balázs személyes közlése, 2021. május 24</t>
  </si>
  <si>
    <t>https://nezopont.hu/nott-a-fidesz-elonye/</t>
  </si>
  <si>
    <t>https://magyarnemzet.hu/belfold/nezopont-nott-a-fidesz-kdnp-elonye-9742016/</t>
  </si>
  <si>
    <t>Szokatlan kommentáradat övezte a posztot, ld. https://www.facebook.com/nezopontintezet/posts/4174225279288990    https://www.facebook.com/nezopontintezet/posts/4177132562331595    és https://www.facebook.com/444.hu/posts/4248180895243636</t>
  </si>
  <si>
    <t>Téves adatok</t>
  </si>
  <si>
    <t>https://publicus.hu/blog/partok-tamogatottsaga-es-az-elovalasztas-2021-aprilis/</t>
  </si>
  <si>
    <t>https://nepszava.hu/3118685_szoros-a-csata-de-tarol-a-tarsashazakban-az-ellenzek</t>
  </si>
  <si>
    <t>https://444.hu/2021/05/06/publicus-kicsit-nepszerubb-az-ellenzeki-osszefogas-a-fidesz-kdnp-szovetsegenel</t>
  </si>
  <si>
    <t xml:space="preserve">Az adatok nyilvánvaló számitási hibával jelentek meg (a biztos szavazókra vonatkozó két adatsor nem kompatibilis egymással). MSZP 9, Párbeszéd 1%. </t>
  </si>
  <si>
    <t>Az adatok nyilvánvaló számitási hibával jelentek meg (a biztos szavazókra vonatkozó két adatsor nem kompatibilis egymással). MSZP 8, Párbeszéd 0%</t>
  </si>
  <si>
    <t>MSZP 6, Párbeszéd 1%. A Népszava szerint "Az ellenzéki előválasztás továbbra is népszerű: a kormánnyal szemben álló oldal szavazóinak 74 százaléka úgy gondolja, ezzel a módszerrel kell megtalálni a Fidesz ellenfeleit. (A MSZP-Párbeszéd hívei a legelkötelezettebbek 87 százalékkal, ugyanakkor a jobbikosok csak 58 százaléka ért egyet a módszerrel.)
Érdekesség, hogy az ellenzéki miniszterelnök-jelöltek népszerűségi versenyét még mindig Karácsony Gergely vezeti, aki továbbra sem jelentette be indulását, bár erre a hírek szerint már nem kell sokat várni. Amikor a valódi döntési helyzetre kérdez rá a kutatás (értsd: kit támogatna, ha csak az adott listából választhatna), akkor a megkérdezettek  26 százalékának a Párbeszéd társelnöke a favoritja, míg a hétvégén bejelentkezett DK-s, Dobrev Klára 21 százalékot kapna. Jakab Péter a Jobbik elnöke lényegében fej-fej mellett áll a független Márki-Zay Péterrel (előbbit 14, utóbbit 13 százaléknyian emelnék pajzsra), ímg Fekete-Győr András, a Momentum elnöke pedig jelen állás szerint 2 százalékra számíthat."</t>
  </si>
  <si>
    <t>http://republikon.hu/elemzesek,-kutatasok/21-04-30-kvk.aspx</t>
  </si>
  <si>
    <t>https://telex.hu/belfold/2021/04/30/aprilis-marcius-republikon-partpreferencia-valtozas-fidesz-erositett-a-bizonytalanoknal</t>
  </si>
  <si>
    <t>https://nezopont.hu/csucsot-dontott-az-oltaspartisag/</t>
  </si>
  <si>
    <t>https://nezopont.hu/a-magyarok-53-szazaleka-eliteli-a-baloldal-oltasellenesseget/</t>
  </si>
  <si>
    <t>A sajtóközleményekből hiányzó adatokat Závecz Tibor személyes közlése alapján pótoltam, és ennek kapcsán tizedes-jegy pontosságú számokat kaptam tőle, ezek láthatók most az adatbázisban</t>
  </si>
  <si>
    <t>https://telex.hu/belfold/2021/04/22/partok-nepszerusegi-lista</t>
  </si>
  <si>
    <t>https://hvg.hu/itthon/20210422_zavecz_kutatas_partprefencia_fidesz_jobbik_partok_ellenzek</t>
  </si>
  <si>
    <t>http://www.zaveczresearch.hu/ismet-erosodott-a-fidesz-es-a-jobbik-s-tovabbra-is-eldontetlen-a-kormanypartok-es-a-hatparti-ellenzek-versenye/</t>
  </si>
  <si>
    <t xml:space="preserve">MSZP 5.3%, Párbeszéd 1%. </t>
  </si>
  <si>
    <t xml:space="preserve">MSZP 6.9%, Párbeszéd 1.4%. </t>
  </si>
  <si>
    <t>HVG, de volt olyan kérdés is a kérdőivben, amit a Momentum rendelt meg, és volt olyan, amelyiket az LMP.  Ld. https://telex.hu/belfold/2021/04/20/median-momentum-elszamoltatas-felmeres és https://hvg.hu/itthon/20210421_Median_A_fideszesek_tobbsege_is_adott_volna_bertamogatast</t>
  </si>
  <si>
    <t>Nyomtatott HVG, 2021.05.13.</t>
  </si>
  <si>
    <t>https://hvg.hu/360/20210512_Median_Jarvanyban_eloz_a_Fidesz</t>
  </si>
  <si>
    <t>https://hvg.hu/360/20210414_Median</t>
  </si>
  <si>
    <t>https://nezopont.hu/jakab-vezeti-a-baloldali-miniszterelnok-jeloltek-versenyet-karacsony-masodik/</t>
  </si>
  <si>
    <t>http://www.ideaintezet.hu/hu/hirek-aktualis/55/erosodo-jobbik-mellett-tovabbra-is-ellenzeki-foleny</t>
  </si>
  <si>
    <t>https://24.hu/kozelet/2021/04/13/erosodo-jobbikot-ellenzeki-folenyt-mert-az-idea-intezet/</t>
  </si>
  <si>
    <t>http://www.atv.hu/belfold/20210413-idea-tovabbra-is-vezet-az-ellenzek-a-kormanypartokkal-szemben</t>
  </si>
  <si>
    <t>A sajtóbeszámolókban tévesen jelent meg az MKKP és a Mi Hazánk %-a, az itt szereplő értékek az IDEA weboldalán látható ábrát követik, miután emailben az IDEA kutatója annak a helyességét erősitette meg.</t>
  </si>
  <si>
    <t>https://mandiner.hu/cikk/20210331_nezopont_a_tobbseg_egyetert_a_keleti_nyitassal</t>
  </si>
  <si>
    <t>https://publicus.hu/blog/a-tobbseg-beoltatna-magat-koronavirus-ellen-az-ellenzeki-szavazoknal-magasabb-az-oltasi-hajlandosag/</t>
  </si>
  <si>
    <t>MSZP és Párbeszéd együtt jelennek meg az idősoros ábrákban  A június 2-án megjelent Publicus közlemény megfelelő ábrájában 1-1%-kal kevesebb a márciusi szám az MSZP-P-ről meg az ellenzéki közös listáról mint az áprilisban közölt 6 és 8%, ld. https://publicus.hu/wp-content/uploads/2021/06/new15-1-1024x576.png Az alacsonyabb érték realisztikusabb lehet, mert az áprilisban közölt márciusi adatsor úgy adja ki a 100%-ot, hogy még nincs is benne az MKKP meg a Mi Hazánk.</t>
  </si>
  <si>
    <t>http://republikon.hu/media/94017/21-04-01-kvk-republikon-prezentacio.pdf</t>
  </si>
  <si>
    <t>https://telex.hu/belfold/2021/04/04/republikon-marciusi-partpreferenciak</t>
  </si>
  <si>
    <t>https://hvg.hu/itthon/20210404_Beerte_a_Jobbik_a_DKt_es_a_Momentumot</t>
  </si>
  <si>
    <t>MSZP 6%, Párbeszéd 1%.  A biztos szavazó aránya a telex.hu ábrájában látszik csak.</t>
  </si>
  <si>
    <t>https://nezopont.hu/a-baloldal-nem-kormanyzokepes/</t>
  </si>
  <si>
    <t>https://nezopont.hu/fidesz-elony-az-aktivak-koreben-de-novekvo-bizonytalan-tabor/</t>
  </si>
  <si>
    <t>https://magyarnemzet.hu/belfold/fidesz-elony-az-aktivak-koreben-novekszik-a-bizonytalanok-tabora-9502940/</t>
  </si>
  <si>
    <t>A kérdé szövege a mellékelt ábra szerint (ld. még https://www.facebook.com/nezopontintezet/posts/4022609917783861): "Melyik párt vagy pártszövetség listájára szavazna, ha most vasárnap lennének a választások?" Nem világos, hogy nyilt kérdés (előre megadott kódokkal) vagy felolvassák-e a három válaszlehetőséget is, amelyek az ábra szerint : 1. Fidesz-KDNP, 2. baloldali közös lista, 3. más párt</t>
  </si>
  <si>
    <t>A Civitas májusi kutatási beszámolója szerint kérdeztek "közös ellenzéki listás" kérdést is már márciusban is, csak márciusban az a follow-up kérdés volt, májusban viszont a bemelegitő.</t>
  </si>
  <si>
    <t>https://designrr.page/?id=71673&amp;token=2044092031&amp;type=FP</t>
  </si>
  <si>
    <t>https://444.hu/2021/03/27/egy-friss-kutatas-szerint-ujra-a-jobbik-a-legnepszerubb-ellenzeki-part</t>
  </si>
  <si>
    <t>https://civitasintezet.hu/kiadvanyok/</t>
  </si>
  <si>
    <t>MSZP 3, Párbeszéd 1%</t>
  </si>
  <si>
    <t>http://www.zaveczresearch.hu/bovult-a-fidesz-es-a-jobbik-tabora-kielezett-maradt-a-verseny-a-kormanypartok-es-a-hatparti-ellenzek-kozott/</t>
  </si>
  <si>
    <t>https://hvg.hu/itthon/20210316_zavecz_fidesz_jobbik_kozvelemeny_kutatas</t>
  </si>
  <si>
    <t>https://telex.hu/belfold/2021/03/16/zavecz-research-partpreferenciak-fidesz-jobbik-mszp-dk-momentum-tamogatottsag</t>
  </si>
  <si>
    <t>"Az érintett ellenzéki pártok szavazóinak 95 százaléka a közös listára is voksolna. A lemorzsolódók aránya a teljes népesség arányában 2 százalék, az újonnan érkezőké 3 százalék s így a hat együttműködő ellenzéki párt közös listája 37 százalékot kapna, egy százalékponttal többet, mint az összeadott támogatottságuk" szerepel a ZRI oldalán</t>
  </si>
  <si>
    <t>Az MKKP és Mi Hazánk % nem jelent meg a nyilvános forrásokban, emailben tisztáztuk Závecz Tiborral</t>
  </si>
  <si>
    <t xml:space="preserve">MSZP 5%, Párbeszéd 1%. </t>
  </si>
  <si>
    <t xml:space="preserve">MSZP 7%, Párbeszéd 2%. </t>
  </si>
  <si>
    <t>http://ideaintezet.hu/hu/hirek-aktualis/53/stabil-az-ellenzeki-egyesitett-lista-elonye------2021--februar</t>
  </si>
  <si>
    <t>https://24.hu/belfold/2021/03/04/idea-ellenzeki-lista-39-fidesz-kdnp-36-mi-hazank-3-kutyapart-2/</t>
  </si>
  <si>
    <t>Részletes leirás a kérdésről: "A deklaráltan szoros ellenzéki együttműködés okán azonban szükségessé vált a korábban alkalmazott kérdéssor kiegészítése egy, az új helyzetre reagáló kérdéssel. ... „Melyik párt, pártszövetség listájára szavazna egy most vasárnap tartandó országgyűlési választás alkalmával?
    Fidesz–KDNP közös listájára,
    az ellenzéki pártok közös listájára (DK+Momentum+Jobbik+MSZP+LMP+P),
     a Magyar Kétfarkú Kutya Párt listájára,
    a Mi Hazánk Mozgalom listájára,
    egyéb párt listájára,
    (ebben a pillanatban ezt nem tudom megmondani; van véleményem, de azt nem kívánom megosztani; egyikre sem; semmiképp sem mennék el)
...  a hagyományos pártpreferencia kérdés, amelyet szintén közzé [tesszük]. Fontosnak tartjuk ... jelezni, hogy a politikai szituációnak megfelelően, a kormánypártok vs. ellenzéki pártok közös listájának támogatottságára vonatkozó kérdés a kérdőív egy korai szakaszában kerül lekérdezésre, függetlenül az egyes pártok választottságát mutató pártpreferencia-kérdéstől. Nem arról van tehát szó, hogy a pártok támogatóit rábírjuk, hogy mindenképpen válasszanak a listák között, hanem éppen fordítva: előbb listát kell választaniuk, majd a kérdőív egy későbbi szakaszában – tehát nem rögtön azt követően – egyébként pártot is."</t>
  </si>
  <si>
    <t>MSZP 6%, Párbeszéd 3%</t>
  </si>
  <si>
    <t>https://publicus.hu/blog/partok-tamogatottsaga-2021-februar/</t>
  </si>
  <si>
    <t>https://www.facebook.com/szanyi.tibor/posts/3794581893970250</t>
  </si>
  <si>
    <t>Nyomtatott Népszava</t>
  </si>
  <si>
    <t>MSZP 5, Párbeszéd 1%. Az "egyéb párt" valójában nem "egyéb" hanem ISZOMM</t>
  </si>
  <si>
    <t>MSZP 9, Párbeszéd 1%. Az "egyéb párt" valójában nem "egyéb" hanem ISZOMM</t>
  </si>
  <si>
    <t>MSZP 7, Párbeszéd 0%. Az "egyéb párt" valójában nem "egyéb" hanem ISZOMM</t>
  </si>
  <si>
    <t>https://hvg.hu/360/20210224_Median_elovalasztas</t>
  </si>
  <si>
    <t>http://republikon.hu/media/92634/21-03-02-kvk-republikon-kvk-prezentacio.pdf</t>
  </si>
  <si>
    <t>https://telex.hu/belfold/2021/03/03/republikon-februar-partpreferencia-felmeres</t>
  </si>
  <si>
    <t>https://hvg.hu/itthon/20210303_Republikon_februar_jobbik</t>
  </si>
  <si>
    <t>https://nezopont.hu/gyurcsany-ferenc-a-baloldal-vezetoje/</t>
  </si>
  <si>
    <t>https://24.hu/kozelet/2021/02/19/zavecz-research-feljott-a-partrangsor-3-helyere-a-jobbik/</t>
  </si>
  <si>
    <t>https://hvg.hu/itthon/20210219_Zavecz_Research_januar_felmeres</t>
  </si>
  <si>
    <t>https://szocialis.eu/kk_2021_02.pdf</t>
  </si>
  <si>
    <t>Pár nappal később még további adatok jelentek meg arról, hogy különböző miniszterelnök-jelöltek esetén miként szerepelne a közös lista, ld. https://24.hu/belfold/2020/12/21/ujabb-kozvelemeny-kutatas-josolt-ellenzeki-gyozelmet/</t>
  </si>
  <si>
    <t>https://magyarnemzet.hu/belfold/toretlen-a-tamogatottsag-9324719/</t>
  </si>
  <si>
    <t>https://magyarnemzet.hu/belfold/nezopont-meg-nem-akarnak-nyitast-a-magyarok-9353165/</t>
  </si>
  <si>
    <t>A feb. 10-i Magyar Nemzet cikk konfirmálja, hogy hetente van legalább egy ezres telefonos vizsgálat amiben kérdeznek járványhelyzetről és legalábbis Orbán Viktorral való elégedettségről is. Egy február eleji megkérdezettként Horváth C. György arról számolt be, hogy őt személyesen interjúvolta meg a Kutatópont, és szavazói szándékáról (ellenzéki közös listás kérdés) is kérdezték egy hosszú médiablokk után és az Orbán illetve Gyurcsány személyéről szóló kérdés előtt. Ld. https://www.facebook.com/permalink.php?story_fbid=10164516522730621&amp;id=788955620</t>
  </si>
  <si>
    <t>https://publicus.hu/blog/tobbseg-szerint-karacsony-alkalmas-lenne-miniszterelnok-jeloltnek/</t>
  </si>
  <si>
    <t>https://nepszava.hu/3111767_a-bizonytalanok-kozel-fele-elfogadna-karacsonyt</t>
  </si>
  <si>
    <t>A Publicus blog posztja 2019 dec és 2021 jan közt folyamatos havi idősort is mutat az egyik kérdésről</t>
  </si>
  <si>
    <t>http://ideaintezet.hu/hu/hirek-aktualis/50/az-ellenzek-egyesitett-listajanak-van-eselye-a-gyozelemre---2021--januar</t>
  </si>
  <si>
    <t>Mi Hazán és "egyéb párt" Böcskei Balázs személyes közlése</t>
  </si>
  <si>
    <t>https://24.hu/belfold/2021/02/04/orban-tamogatottsaga-nott-gyozhet-az-ellenzeki-lista/</t>
  </si>
  <si>
    <t>“van velemenyem, de nem kivanom megosztani” % Böcskei Balázs személyes közlése alapján</t>
  </si>
  <si>
    <t>MSZP 6%, Párbeszéd 2%</t>
  </si>
  <si>
    <t>Bige László</t>
  </si>
  <si>
    <t>https://telex.hu/belfold/2021/03/12/bige-laszlo-milliardos-politikai-kutatas-ellenzek</t>
  </si>
  <si>
    <t>A "Közös lista" szám itt a külön-külön mért hat ellenzéki párt együttes eredménye. A telex.hu ugyan "pártválasztókról" beszél, de a közölt számok alapján alighanem "biztos pártválasztókról"  van szó.</t>
  </si>
  <si>
    <t>Az "egyéb párt" és "egyéb válasz" %-a az ellenzéki pártoknak tartott prezentációból. A személyes kérdezést ez a forrás emliti csak: http://republikon.hu/media/93108/21-03-18-republikon-bizonytalnok.pdf</t>
  </si>
  <si>
    <t>Bige László (megbizásából Závecz Tibor átküldte az általuk a pártoknak bemutatott összefoglalót két diasorozatban)</t>
  </si>
  <si>
    <t>MSZP 5%, Párbeszéd 1%. Az "egyéb párt"  %-a csak becslés, a Munkáspárt, az MLP és "egyéb pártok" %-ok összegének LÁTSZÓ érték a pártoknak bemutatott prezentáció oszlopdiagramjában. A részvételi hajlandóságot a pártoknak tartott Bige-Závecz bemutató diái szerint négyfokú skálán mérték, a 40%-a a "biztos elmenne" aránya arra a kérdésre válaszolva, hogy "Ha most vasárnap lennének az országggyűlési választások, elmenne-e szavazni?")</t>
  </si>
  <si>
    <t>IVR</t>
  </si>
  <si>
    <t>https://szocialis.eu/kk_2021_01_pulzus.pdf</t>
  </si>
  <si>
    <t>"Az önállópártpreferenciákesetébena hat ellenzékipárt összesítetttámogatottságamintegy15%-al haladja meg a FIDESZ-KDNPtámogatottságát."</t>
  </si>
  <si>
    <t>https://publicus.hu/blog/novekszik-az-oltasi-hajlandosag-keleti-vakcinak-tovabbra-is-elutasitottak/</t>
  </si>
  <si>
    <t>MKKP és MH az "egyéb pártban" van</t>
  </si>
  <si>
    <t>https://magyarnemzet.hu/belfold/nezopont-fidesz-elony-elsosorban-az-aktivak-korebena-9283832/</t>
  </si>
  <si>
    <t>https://nezopont.hu/fidesz-elony-elsosorban-az-aktivak-koreben/</t>
  </si>
  <si>
    <t>https://www.facebook.com/nezopontintezet/photos/a.387611711283718/3900161990028655/</t>
  </si>
  <si>
    <t>http://republikon.hu/media/91049/21-01-31-republikon-kvk-prezentacio.pdf</t>
  </si>
  <si>
    <t>https://telex.hu/belfold/2021/02/02/republikon-befagytak-a-partpreferenciak-januarra</t>
  </si>
  <si>
    <t>A telex és a HVG "biztos szavazó pártválasztókról" beszélt, ami a Republikon oldalán megjelent prezi és Virág Andrea 2021. feb. 2-i emailje szerint egyszerűen csak pártválasztót jelent.  MSZP 8%, Párbeszéd 3%</t>
  </si>
  <si>
    <t>MSZP 6%, Párbeszéd 2%.  A biztos szavazó aránya a telex.hu ábrájában látszik csak. A telex és a HVG is biztos pártválasztónak értelmezte a pártválasztókat, a Republikon szerint "pártválasztókról" van szó.</t>
  </si>
  <si>
    <t>https://nezopont.hu/no-az-oltasi-hajlandosag-magyarorszagon/</t>
  </si>
  <si>
    <t>https://szazadveg.hu/hu/kutatasok/az-alapitvany-kutatasai/piackutatas-kozvelemeny-kutatas/az-ellenzeki-szavazok-dobrev-klarat-latnak-legszivesebben-miniszterelnok-jeloltkent</t>
  </si>
  <si>
    <t>https://888.hu/ketharmad/dobrev-klarat-latnak-legszivesebben-miniszterelnok-jeloltkent-az-ellenzeki-szavazok-4290712/</t>
  </si>
  <si>
    <t>https://magyarnemzet.hu/belfold/dobrev-klara-a-legeselyesebb-az-ellenzeki-elovalasztason-9135869/</t>
  </si>
  <si>
    <t>A poszt arra céloz, hogy dec 21-én egy nap alatt zajlott le az adatfelvétel. Kérdés szövege: "Ha csak az alábbiak közül választhatna, kire voksolna egy most tartandó parlamenti választáson?" Válaszlehetőségek Fidesz-KDNP, "ellenzéki összefogás", nem tudja, nem válaszol</t>
  </si>
  <si>
    <t>https://publicus.hu/blog/szajer-ugy-ertekrendek-csataja/</t>
  </si>
  <si>
    <t>https://nepszava.hu/3105159_a-magyarok-szerint-nincs-jogallam</t>
  </si>
  <si>
    <t>https://publicus.hu/blog/ep-kepviselok-megitelese-2020-december/</t>
  </si>
  <si>
    <t>https://nezopont.hu/nepszerubb-a-fidesz-mint-a-baloldali-kozos-lista/</t>
  </si>
  <si>
    <t>https://magyarnemzet.hu/belfold/nepszerubb-a-fidesz-kdnp-mint-a-baloldali-kozos-lista-9122300/</t>
  </si>
  <si>
    <t>https://www.facebook.com/nezopontintezet/photos/a.387611711283718/3798756080169247</t>
  </si>
  <si>
    <t>"A Fidesz-KDNP listával a felnőtt népesség 42, az Orbán Viktor miniszterelnökségét elutasító pártok közös listájával pedig 40 százaléka szimpatizál. Ebben a számításban már szerepelnek azok a rejtőzködő ellenzéki szimpatizánsok is, akik közvetlenül nem fejezik ki valamelyik párttal, vagy a közös listával való szimpátiájukat, azonban a miniszterelnök távozását szeretnék a következő választáson, hiszen róluk feltételezhető, hogy a kiélezett választási helyzetben a baloldali közös listát fogják támogatni."</t>
  </si>
  <si>
    <t>A közleményben az "egyéb válasz" tartalmazza az "egyéb pártok"at is</t>
  </si>
  <si>
    <t>http://ideaintezet.hu/hu/hirek-aktualis/49/lassan--de-morzsolodik-a-fidesz-tabor</t>
  </si>
  <si>
    <t>http://republikon.hu/elemzesek,-kutatasok/20-12-23-kvk.aspx</t>
  </si>
  <si>
    <t>https://telex.hu/belfold/2020/12/23/republikon-decemberi-partpreferencia</t>
  </si>
  <si>
    <t>A telex.hu "biztos pártválasztókról" beszél, ami Virág Andrea 2021. feb. 2-i emailje szerint egyszerűen csak pártválasztót jelent. MSZP 8%, Párbeszéd 3%</t>
  </si>
  <si>
    <t>MSZP 6%, Párbeszéd 2%. Telex.hu Mutatja a részvétel kérdés 4-fokú skáláját, konvencionális. A telex.hu-n megjelent szöveg 2% Párbeszédet emlitett, de az ábra 1%-ot mutatott, a 2 lehet felfelé kerekitett értek (ezzel jön ki a sorban a 100%), de a biztos szavazó pártválasztákra nézve mutatott 3%-kal inkább a 2 konzisztens, mint az 1, ezért én egyelőre a 2-t tartom a jobb tippnek. A Jobbikra is 6% a telex szövegben, MKKP 1, de az ábrában 5 és 2%, viszont a Republikon oldalára végül egyértelmű Párbeszéd 2, Jobbik 6-ot, MKKP-re 1-et tettek ki</t>
  </si>
  <si>
    <t>Az ELKH Társadalomkutató Intézetének az NKFI finanszirozta kutatási projektje</t>
  </si>
  <si>
    <t>https://tk.hu/uploads/files/2021/ertek_identi.pdf, 56. oldal</t>
  </si>
  <si>
    <t>Závecz RI lebonyolításban</t>
  </si>
  <si>
    <t>Az ELKH Társadalomkutatási Központ NKFI finanszirozta kutatási projektje</t>
  </si>
  <si>
    <t>https://tk.hu/uploads/files/2021/ertek_identi.pdf, 54. oldal</t>
  </si>
  <si>
    <t>https://hvg.hu/360/20201216_Median_kozhangulat_partpreferencia</t>
  </si>
  <si>
    <t>Dátum Hann Endre személyes közlése, 2020. december 16.</t>
  </si>
  <si>
    <t>https://hvg.hu/360/20201209_Median_Szajer</t>
  </si>
  <si>
    <t>6% egyikre sem, 24% nem tudja, nem válaszol. A kérdés szövege: „hogyan szavazna, ha a Fidesz–KDNP listájával szemben az ellenzék együttműködésén alapuló közös lista állna”</t>
  </si>
  <si>
    <t>3% egyikre sem, 17% nem tudja, nem válaszol</t>
  </si>
  <si>
    <t>Hann Endre személyes közlése, 2020. december 16.</t>
  </si>
  <si>
    <t>https://hvg.hu/360/20201202_Median_Hasit_a_migransozos_narrativa</t>
  </si>
  <si>
    <t>MSZP 1%, Párbeszéd 2%</t>
  </si>
  <si>
    <t>http://www.zaveczresearch.hu/elonyben-a-hatparti-ellenzek/</t>
  </si>
  <si>
    <t>https://hvg.hu/itthon/20201211_zavecz_kutatas_fidesz</t>
  </si>
  <si>
    <t>https://szocialis.eu/Zavar_az_eroben_2020_12_kvk.pdf</t>
  </si>
  <si>
    <t>Pár nappal később még további adatok jelentek meg arról, hogy különböző miniszterelnök-jelöltek esetén miként szerepelne a közös lista, ld. https://24.hu/belfold/2020/12/21/ujabb-kozvelemeny-kutatas-josolt-ellenzeki-gyozelmet/. Egyéb pártok és egyéb válaszok aránya csak itt jelent meg: https://hvg.hu/itthon/20210316_zavecz_fidesz_jobbik_kozvelemeny_kutatas</t>
  </si>
  <si>
    <t>Az egyéb párt 1% infó csak itt: https://szocialis.eu/Zavar_az_eroben_2020_12_kvk.pdf</t>
  </si>
  <si>
    <t>MSZP 6%, Párbeszéd 2%. A "biztos szavazó" és a megrendelő infó csak itt látható: https://szocialis.eu/Zavar_az_eroben_2020_12_kvk.pdf</t>
  </si>
  <si>
    <t>MSZP 7%, Párbeszéd 2%. A DK=19 számot Gyurcsány Ferenc is nagyon felkapta, persze https://www.facebook.com/watch/?ref=external&amp;v=203131377957166</t>
  </si>
  <si>
    <t>http://ideaintezet.hu/hu/hirek-aktualis/46/a-szajer-botrany-a-kirobbanasanak-idejen--meg--nem-befolyasolta-a-partpreferenciakat</t>
  </si>
  <si>
    <t>http://www.ideaintezet.hu/hu/hirek-aktualis/48/a--fo-varosi-nepesseg-nagyon-nem-ert-egyet-az-ingyenes-parkolassal--2020--november---december</t>
  </si>
  <si>
    <t>http://www.ideaintezet.hu/hu/hirek-aktualis/47/a-magyarok-tobb-mint-harmada-nem-oltatna-be-magat-a-koronavirus-elleni-vakcinaval</t>
  </si>
  <si>
    <t>MSZP 7%, Párbeszéd 2%</t>
  </si>
  <si>
    <t>9% egyikre sem, 17% nem tudja, nem válaszol.  A kérdés szövege: „hogyan szavazna, ha a Fidesz–KDNP listájával szemben az ellenzék együttműködésén alapuló közös lista állna”</t>
  </si>
  <si>
    <t>3% egyikre sem, 15% nem tudja, nem válaszol.  A kérdés szövege: „hogyan szavazna, ha a Fidesz–KDNP listájával szemben az ellenzék együttműködésén alapuló közös lista állna”</t>
  </si>
  <si>
    <t>MSZP 2%, Párbeszéd 1%</t>
  </si>
  <si>
    <t>MSZP 3%, Párbeszéd 1%</t>
  </si>
  <si>
    <t>https://publicus.hu/blog/partok-tamogatottsaga-2020-november/</t>
  </si>
  <si>
    <t>https://nepszava.hu/3102874_maga-moge-utasithatja-az-ellenzek-a-fideszt--de-csak-akkor-ha-nincsenek-kulon-utas-jatszmak</t>
  </si>
  <si>
    <t>https://publicus.hu/blog/fele-annyian-oltatnak-magukat-keleti-mint-nyugati-vakcinaval/</t>
  </si>
  <si>
    <t>MSZP 7%, Párbeszéd 1%</t>
  </si>
  <si>
    <t>MSZP 9%, Párbeszéd 1%</t>
  </si>
  <si>
    <t>MSZP 10%, Párbeszéd 2%</t>
  </si>
  <si>
    <t>http://republikon.hu/elemzesek,-kutatasok/20-12-02-kvk.aspx</t>
  </si>
  <si>
    <t>https://telex.hu/belfold/2020/12/02/republikon-enyhen-de-gyengult-a-fidesz-novemberben</t>
  </si>
  <si>
    <t>Valójában "biztos pártválasztókról" beszél, ami alighanem egyszerűen csak pártválasztót jelent. MSZP 8%, Párbeszéd 2%</t>
  </si>
  <si>
    <t>MSZP 5%, Párbeszéd 1%. Telex.hu Mutatja a részvétel kérdés 4-fokú skáláját, konvencionális</t>
  </si>
  <si>
    <t>https://szocialis.eu/gyorsjelentes_2020_nov.pdf</t>
  </si>
  <si>
    <t>Az "egyéb válasz" %-a csak saját becslés a megjelent adatok alapján. "A korábban a pártválasztásban bizonytalan szavazók körében is, amennyiben kevesebb listára lehet szavazni, nagyobb az ellenzéki pártok
listájának támogatottsága (27%), a FIDESZ-KDNP listáé 17%."</t>
  </si>
  <si>
    <t>http://www.zaveczresearch.hu/szoros-a-verseny-a-fidesz-es-az-ellenzek-kozott/</t>
  </si>
  <si>
    <t>https://hvg.hu/itthon/20201125_fidesz_dk_jobbik_lmp_momentum_parbeszed_mszp_ketfarku_zavecz_partpreferenciak_2020_november</t>
  </si>
  <si>
    <t>A biztos szavazók és biztos szavazó pártválasztók arány Závecz Tibor személyes közlése, 2020. nov. 27.</t>
  </si>
  <si>
    <t>https://24.hu/belfold/2020/11/25/zavecz-kutatas-fidesz-tamogatottsag/</t>
  </si>
  <si>
    <t>http://ideaintezet.hu/hu/hirek-aktualis/45/az-ellenzek-ossztamogatottsaga-magasabb--mint-a-kormanypartoke</t>
  </si>
  <si>
    <t>https://24.hu/belfold/2020/11/20/idea-intezet-mar-fidesz-feletti-az-ellenzek-ossztamogatottsaga-a-teljes-nepessegen-belul/</t>
  </si>
  <si>
    <t>http://www.atv.hu/belfold/20201120-idea-visszatert-a-fidesz-a-koronavirus-elotti-szintre</t>
  </si>
  <si>
    <t>https://publicus.hu/blog/mitol-felunk-jobban-a-jarvany-gazdasagi-hatasaitol-mint-az-emberei-vesztesegektol/</t>
  </si>
  <si>
    <t>A forrás az MKKP-t és MH-t csak mint 2% "egyéb pártot" mutatja</t>
  </si>
  <si>
    <t>http://republikon.hu/media/87527/20-10-30-republikon-partpreferencia.pdf</t>
  </si>
  <si>
    <t>https://24.hu/belfold/2020/10/30/harom-reszre-szakadt-az-orszag-nagyon-aktivak-a-valasztok/</t>
  </si>
  <si>
    <t>Valójában "biztos pártválasztókról" beszél, ami lehet, hogy egyszerűen csak pártválasztót jelent. MSZP 7%, Párbeszéd 2%</t>
  </si>
  <si>
    <t>MSZP 5%, Párbeszéd 1%.</t>
  </si>
  <si>
    <t>https://magyarnemzet.hu/belfold/gyurcsany-a-felelos-a-rendorattakert-8852627/</t>
  </si>
  <si>
    <t>https://nezopont.hu/a-rendorattak-felelossege/</t>
  </si>
  <si>
    <t>A cikk megjelent országszerte a megyei lapokban is.</t>
  </si>
  <si>
    <t>http://iranytuintezet.hu/letoltes/?file=/shared/elemzesek/kutat%C3%A1s_2020%20okt%C3%B3ber.pdf</t>
  </si>
  <si>
    <t>https://alfahir.hu/2020/10/29/iranytu_intezet_kozvelemenykutatas_ellenzeki_osszefogas</t>
  </si>
  <si>
    <t>Az "Egyéb válasz" valójában 17% "nem válaszol", 16% "nem tudja", 2% "biztosan nem szavazna"</t>
  </si>
  <si>
    <t>A "közös lista" oszlopban szereplő szám "Pártnélküli, ellenzéki"-t jelent.</t>
  </si>
  <si>
    <t>https://hvg.hu/itthon/20201022_fidesz_dk_jobbik_parbeszed_momentum_lmp_mi_hazank_ketfarku_kutyapart_partprefencia_oktober_zavecz_research</t>
  </si>
  <si>
    <t>MSZP 5%, Párbeszéd 2%. "Októberben a Fidesz szavazóinak 61 százaléka ígérte biztos részvételét, a többi párt híveinek együttes aktivitása 55 százalék." Augusztus óta elsősorban a városiak, az iskolázottak és a fiatalok körében esett vissza a Fidesz.</t>
  </si>
  <si>
    <t>MSZP 6%, Párbeszéd 2%. "Októberben a Fidesz szavazóinak 61 százaléka ígérte biztos részvételét, a többi párt híveinek együttes aktivitása 55 százalék." Augusztus óta elsősorban a városiak, az iskolázottak és a fiatalok körében esett vissza a Fidesz.</t>
  </si>
  <si>
    <t>Hann Endre személyes közlése, 2020. október 17.</t>
  </si>
  <si>
    <t>https://hvg.hu/360/20201021_Median_ellenzeki_politikusok_nepszerusege</t>
  </si>
  <si>
    <t>Módszertani kisérlet, kedvezőtlen következtetéshez vezetett az online minták politikai reprezentativitásáról</t>
  </si>
  <si>
    <t>http://www.ideaintezet.hu/hu/hirek-aktualis/43/a-momentum-es-a-jobbik-szavazoinak-az-elkotelezodeset-kockaztatna--ha-elutasitana-a-kozos-listat</t>
  </si>
  <si>
    <t>https://24.hu/belfold/2020/10/15/az-ellenzek-hivei-nagyon-akarjak-az-osszefogast-orbanek-ellen/</t>
  </si>
  <si>
    <t>https://publicus.hu/blog/partok-tamogatottsaga-az-osszefogas-szavazo-szuletese-2020-szeptember/</t>
  </si>
  <si>
    <t>https://nepszava.hu/3094122_egyre-tobben-csak-az-ellenzeki-osszefogasra-szavaznanak</t>
  </si>
  <si>
    <t>https://telex.hu/belfold/2020/10/03/cikk-cime-34</t>
  </si>
  <si>
    <t>Párbeszéd 1%</t>
  </si>
  <si>
    <t>http://www.zaveczresearch.hu/fidesz-34-szazalek-egyuttmukodo-ellenzek-32-szazalek/</t>
  </si>
  <si>
    <t>https://24.hu/belfold/2020/09/29/fidesz-ellenzek-tamogatottsag-kulonbseg/</t>
  </si>
  <si>
    <t>https://hvg.hu/itthon/20200929_fidesz_mszp_dk_momentum_partpreferencia_szeptember_zavecz_research</t>
  </si>
  <si>
    <t>MSZP 5%, Párbeszéd 2%.</t>
  </si>
  <si>
    <t>Külföldi megrendelő</t>
  </si>
  <si>
    <t>Párbeszéd 0%</t>
  </si>
  <si>
    <t>http://www.ideaintezet.hu/hu/hirek-aktualis/42/a-momentum--es-jobbik-szavazok-tobbsege-szerint-is-a-kulon-lista-csokkenti-a-kormanyvaltas-eselyet</t>
  </si>
  <si>
    <t>MSZP 5%, Párbeszéd 1%</t>
  </si>
  <si>
    <t>https://publicus.hu/blog/partok-tamogatottsaga-es-egyes-politikus-megitelese/</t>
  </si>
  <si>
    <t>Közös lista és egyéb pártok Pulai András 2020. október 11-i személyes közlése alapján.</t>
  </si>
  <si>
    <t>https://publicus.hu/blog/egy-lista-elovalasztas-es-kozos-miniszterelnok-jelolt-noveli-inkabb-az-ellenzek-gyozelmi-eselyeit/</t>
  </si>
  <si>
    <t>Párbeszéd 1%. https://publicus.hu/blog/egy-lista-elovalasztas-es-kozos-miniszterelnok-jelolt-noveli-inkabb-az-ellenzek-gyozelmi-eselyeit/ 1009 éx 1017 megkérdezettről is beszél</t>
  </si>
  <si>
    <t>Párbeszéd 2%. https://publicus.hu/blog/egy-lista-elovalasztas-es-kozos-miniszterelnok-jelolt-noveli-inkabb-az-ellenzek-gyozelmi-eselyeit/ 1009 éx 1017 megkérdezettről is beszél</t>
  </si>
  <si>
    <t>http://republikon.hu/elemzesek,-kutatasok/20-09-01-ellenzek.aspx</t>
  </si>
  <si>
    <t>https://24.hu/belfold/2020/09/01/republikon-fekete-gyor-nepszerubb-orbannal/</t>
  </si>
  <si>
    <t>MSZP 6%, Párbeszéd 1%</t>
  </si>
  <si>
    <t xml:space="preserve">MSZP 4%, Párbeszéd 1%. Závecz ZRI adatfelvétel. </t>
  </si>
  <si>
    <t>Pulai András 2020. október 11-i személyes közlése alapján.</t>
  </si>
  <si>
    <t>http://www.zaveczresearch.hu/tetemes-a-fidesz-elonye-de-egy-ellenzeki-kozos-lista-megkozelitene/</t>
  </si>
  <si>
    <t>https://szocialis.eu/gyorsjelentes_2020_09.pdf</t>
  </si>
  <si>
    <t>http://www.atv.hu/belfold/20200826-zavecz-tetemes-a-fidesz-elonye-de-egy-ellenzeki-kozos-lista-megkozelitene</t>
  </si>
  <si>
    <t xml:space="preserve">Az "egyéb válasz" %-a csak saját becslés a megjelent adatok alapján. "Ha csak a Fidesz-KDNP listája és az ellenzéki pártok közös listája közül lehetne választani, akkor nagyon szoros verseny lenne: a kormánypárt támogatóinak aránya 39, az ellenzéké 37 százalék. Egy páros versengésben tehát a Fidesz-KDNP 3 százalék többletszavazatot tudna behozni, ebben a helyzetben a bizonytalan szavazók egytizede mellettük aktivizálódna. Az ellenzéki közös listára szavazók aránya 6 százalékponttal nagyobb, mint az együttműködésben résztvevő hat párt összeadott szavazati aránya. Az új szavazók alapvetően a pártnélküliek csoportjából érkeznek, csaknem negyedrészüket egy „ki-ki alapon” történő versengés az ellenzéki lista mellett mozgósítja. Rajtuk kívül a Kétfarkú Kutyapárt tábora is csaknem teljes egészében ezt a politikai oldalt erősítené. Az MSZP, a DK, az LMP és a Párbeszéd tábora lényegében teljes egészében (98-100 százalékos arányban) felsorakozik a közös lista mögé, ugyanakkor a Jobbikosok és a Momentumosok körében némi lemorzsolódás jelentkezik: előbbiek 7, utóbbiak 10 százaléka nem támogatja, hogy csak egy listája legyen az ellenzéknek." </t>
  </si>
  <si>
    <t>MSZP 5%, Párbeszéd 1%. Az "egyéb pártok"-ra vonatkozó szám az ATV ábrájában még 2%-ként jelent meg, ami igen valószinűtlen a biztos szavazóknál látható 1% miatt, és mivel a ZRI saját oldalán utólag 1% jelent meg, alighanem csak annak volt az eredménye, hogy a számsor összeadásánál a kerekitési hibát igy tüntették el az eredeti sajtóközleményben.</t>
  </si>
  <si>
    <t xml:space="preserve">MSZP 6%, Párbeszéd 2%. HVG, atv: "a kormánypártiak 58 százaléka venne részt biztosan egy mostani parlamenti választáson, a másik térfélen 54 százalék." </t>
  </si>
  <si>
    <t>http://ideaintezet.hu/hu/hirek-aktualis/41/vihar-elotti-csend------koronavirus-jarvany-elso-hullama-utan-is-befagyott-partpreferenciakű</t>
  </si>
  <si>
    <t>http://www.ideaintezet.hu/hu/hirek-aktualis/40/ellenzeki-szavazo-kivansaga--kozos-lista-----kozos-jeloltek</t>
  </si>
  <si>
    <t>https://24.hu/belfold/2020/08/11/csak-orban-es-a-fidesz-ne-ezt-valljak-az-ellenzek-hivei/</t>
  </si>
  <si>
    <t>http://ideaintezet.hu/hu/hirek-aktualis/41/vihar-elotti-csend------koronavirus-jarvany-elso-hullama-utan-is-befagyott-partpreferenciak</t>
  </si>
  <si>
    <t>https://publicus.hu/blog/az-emberek-koltekezesi-szokasai-a-koronavirus-jarvany-ideje-alatt/</t>
  </si>
  <si>
    <t>A https://publicus.hu/blog/az-emberek-koltekezesi-szokasai-a-koronavirus-jarvany-ideje-alatt/ július 27-29-i adatfelvételt emlit (sőt az elején jún 27-29-et, de ez nyilván elirás)</t>
  </si>
  <si>
    <t>A https://publicus.hu/blog/az-emberek-koltekezesi-szokasai-a-koronavirus-jarvany-ideje-alatt/ július 27-29-i adatfelvételt emlit (sőt az elején jún 27-29-et, de az utóbbi nyilván elirás)</t>
  </si>
  <si>
    <t>https://publicus.hu/blog/a-kaleta-ugy-megiteleserol/</t>
  </si>
  <si>
    <t>A források a cikk kezdetén 1004, a végén 1001 fős mintákról szólnak, nem világos, de elképzelhetőm hogy ez ugyanaz a vizsgálat-e, mint a július 20 utáni</t>
  </si>
  <si>
    <t>https://publicus.hu/blog/kulcsfontossagu-intezmenyeink-politikatol-valo-fuggetlensege/</t>
  </si>
  <si>
    <t>https://nepszava.hu/3086676_mindenre-ralat-a-kormanyzati-polip</t>
  </si>
  <si>
    <t>https://nezopont.hu/a-kormanyparti-politikusok-nepszerubbek-mint-az-ellenzekiek/</t>
  </si>
  <si>
    <t>https://www.origo.hu/itthon/20200722-orban-viktor-tamogatottsag-csucs-nezopont-intezet.html</t>
  </si>
  <si>
    <t>https://24.hu/belfold/2020/07/16/zavech-reseach-fidesz-ellenzek-lista-felmeres/</t>
  </si>
  <si>
    <t>https://index.hu/belfold/2020/07/16/zavecz_felmeres_partpreferenciak_julius/</t>
  </si>
  <si>
    <t>http://www.atv.hu/belfold/20200716-zavecz-jelentos-fidesz-elony-szoros-a-verseny-a-masodik-helyert-a-dk-es-a-momentum-kozott</t>
  </si>
  <si>
    <t>MSZP 4%, Párbeszéd 1%</t>
  </si>
  <si>
    <t>https://nezopont.hu/kockazatos-a-kozos-lista/ (EREDETILEG: https://nezopontintezet.hu/2020/07/09/kockazatos-a-kozos-lista/)</t>
  </si>
  <si>
    <t>https://magyarnemzet.hu/belfold/kockazatos-a-kozos-lista-8352999/</t>
  </si>
  <si>
    <t>"Egy olyan elképzelt szituációban azonban, amikor csak a Fidesz-KDNP és az ellenzéki „közös lista” közül lehetne választani, a mostani kormánypártra az aktív szavazók 56 százaléka voksolna, míg az ellenzékre bevallottan 30, beazonosíthatóan további 11 százaléka. A fennmaradó három százalékos tábor ebben az esetben otthon maradna."</t>
  </si>
  <si>
    <t>https://nezopontintezet.hu/2020/07/09/kockazatos-a-kozos-lista/, https://nezopont.hu/kockazatos-a-kozos-lista/</t>
  </si>
  <si>
    <t xml:space="preserve">"az önkormányzati választáson közös jelölteket állító ellenzéki pártok (Momentum, DK, Jobbik, MSZP-P, LMP) összességében 43 százalékon állnak." A közleményben az "egyéb válasz" tartalmazza az "egyéb pártok"at is. </t>
  </si>
  <si>
    <t>http://www.ideaintezet.hu/hu/hirek-aktualis/39/milyen-a----tipikus----fidesz-tamogato-</t>
  </si>
  <si>
    <t>https://24.hu/belfold/2020/07/13/fidesz-szerelem-koronavirus-idejen/</t>
  </si>
  <si>
    <t>https://nezopontintezet.hu/2020/07/01/orban-viktor-a-jarvanykezeles-nyertese/</t>
  </si>
  <si>
    <t>https://publicus.hu/blog/az-augusztus-20-i-unnepsegek-es-a-lanchid-felujitasa-koruli-vitak/</t>
  </si>
  <si>
    <t>https://publicus.hu/blog/koronavirus-az-emberek-jovedelmi-helyzete-es-a-kormany-intezkedeseivel-valo-elegedettseguk/</t>
  </si>
  <si>
    <t>MH és MKKP az "egyéb pártok"-nak</t>
  </si>
  <si>
    <t>https://publicus.hu/blog/ellenzeki-varosvezetok-es-az-egyuttmukodes-megitelese/</t>
  </si>
  <si>
    <t>"Ezen adatsor nem része a szokásos havi, pártok támogatottságát mérő kutatássorozatnak."</t>
  </si>
  <si>
    <t>https://nezopontintezet.hu/2020/06/12/a-jobbik-2022-re-folosleges-lehet/</t>
  </si>
  <si>
    <t>https://nezopont.hu/a-jobbik-2022-re-folosleges-lehet/</t>
  </si>
  <si>
    <t>HVG nyomtatott kiadása</t>
  </si>
  <si>
    <t>https://hvg.hu/360/20200610_A_jarvany_enyhulesevel_erosodott_a_Fidesz_de_a_30_ev_alattiak_kozt_elverezne</t>
  </si>
  <si>
    <t>https://24.hu/belfold/2020/06/11/orban-bukna-ha-a-30-ev-alattiakon-mulna/</t>
  </si>
  <si>
    <t>MSZP 4, Parbeszed 1%</t>
  </si>
  <si>
    <t>MSZP 3, Parbeszed 1%</t>
  </si>
  <si>
    <t>https://24.hu/belfold/2020/06/11/aktivabb-szavazok-fagyos-partpreferenciak/</t>
  </si>
  <si>
    <t>https://publicus.hu/blog/partok-tamogatottsaga-2020-majus/</t>
  </si>
  <si>
    <t>https://nepszava.hu/3081187_igy-valtozott-a-partok-erosorrendje-a-jarvany-lecsengese-utan</t>
  </si>
  <si>
    <t>https://publicus.hu/blog/koronavirus-tul-a-kezdeti-sokkon/</t>
  </si>
  <si>
    <t>A Népszava szerint "májusban már az emberek 70 százaléka részt vett volna egy országgyűlési választáson, míg egy hónappal korábban ez az arány mindössze 49 százalék volt"</t>
  </si>
  <si>
    <t>Vicces, hogy az egyéb pártot a biztos szavazók közt még 1%-ra kerekítette fel, itt a szűkebb bázison viszont nullára, mert már így is 101-re jött ki az összeg. Vajon kit nem akart lefelé kerekíteni?</t>
  </si>
  <si>
    <t>A Jelen c. hetilap 2020/3. számának 23. oldalán</t>
  </si>
  <si>
    <t>https://szocialis.eu/tanulmanyok/jelen.png</t>
  </si>
  <si>
    <t>https://nezopontintezet.hu/2020/05/12/tartja-megnovekedett-nepszeruseget-a-fidesz/</t>
  </si>
  <si>
    <t>https://magyarnemzet.hu/belfold/friss-nagyot-zuhant-az-ellenzeki-partok-nepszerusege-8107748/</t>
  </si>
  <si>
    <t>http://iranytuintezet.hu/elemzesek-kutatasok/mind/239-a-koronavirus-jarvannyal-kapcsolatos-allampolgari-attitudok-es-velemenyek-vizsgalata/</t>
  </si>
  <si>
    <t>https://alfahir.hu/2020/04/29/iranytu_intezet_partreferencia_kozvelemenykutatas</t>
  </si>
  <si>
    <t>http://ideaintezet.hu/hu/hirek-aktualis/37/nem-tort-elore-a-fidesz-a-koronavirus-jarvanykezelessel</t>
  </si>
  <si>
    <t>https://nezopontintezet.hu/2020/04/20/a-fidesz-erezhetoen-erosodott/</t>
  </si>
  <si>
    <t>https://magyarnemzet.hu/belfold/megnott-a-fidesz-csokkent-az-ellenzek-tamogatottsaga-8020226/</t>
  </si>
  <si>
    <t>Az "egyéb" válasz lehet, hogy - korábbi és későbbi Nézőpont posztokhoz hasonlóan - magában foglalja az egyéb pártokat</t>
  </si>
  <si>
    <t>https://szocialis.eu/Kozvelemeny-kutatas-SZDI2020422.pdf</t>
  </si>
  <si>
    <t>https://index.hu/belfold/2020/04/22/a_fidesz_nott_a_koronavirus_alatt_bar_a_tobbseg_nem_elegedett/</t>
  </si>
  <si>
    <t>MSZP 9%, Párbeszéd 2%. A kutatási beszámoló szerint az adatok az "összes pártválasztóra" vonatkoznak, de ennek ellenmond az "egyéb pártok"-ra vonatkozó adat és a márciusi Závecz adatokkal való összehasonlításról elejtett megjegyzés.</t>
  </si>
  <si>
    <t>https://publicus.hu/blog/partok-tamogatottsaga-2020-aprilis/</t>
  </si>
  <si>
    <t>https://nepszava.hu/3077160_visszalengett-az-inga--a-publicus-szerint-erosodott-az-ellenzek</t>
  </si>
  <si>
    <t>https://publicus.hu/blog/koronavirus-teszteles-vedofelszerelesek-antidemokratikus-lepesek/</t>
  </si>
  <si>
    <t>https://publicus.hu/blog/partok-tamogatottsaga-2020-marcius-vege/</t>
  </si>
  <si>
    <t>https://nepszava.hu/3072547_a-virus-erositi-a-fideszt</t>
  </si>
  <si>
    <t>A Népszava cikk szerint a "biztos szavazók" aránya 75%-ról 48%-ra csökkent, és ötéves csúcsot ért el a kormánnyal való elégedettség, ti. csak 38% "nem szereti, ahogy az országban mennek a dolgok"</t>
  </si>
  <si>
    <t>http://ideaintezet.hu/hu/hirek-aktualis/35/nem-csokkeno-fidesz---kdnp--stabil-fopolgarmesteri-rokonszenv</t>
  </si>
  <si>
    <t>https://nezopontintezet.hu/2020/03/17/a-kormanyellenesek-is-tamogatjak-a-kormanyt/</t>
  </si>
  <si>
    <t>https://nezopontintezet.hu/en/2020/03/18/government-measures-find-support-among-opposition/</t>
  </si>
  <si>
    <t>https://nezopont.hu/a-kormanyellenesek-is-tamogatjak-a-kormanyt/</t>
  </si>
  <si>
    <t>MSZP 3%, Párbeszéd 0%. Az egyéb válasz 18% "rejtőzködő", 7% "nem szavazna"</t>
  </si>
  <si>
    <t>MSZP 4%, Parbeszed 1%</t>
  </si>
  <si>
    <t>Friedrich-Ebert-Stiftung</t>
  </si>
  <si>
    <t>http://www.zaveczresearch.hu/tartos-parteroviszonyok-zri-kozvelemenykutatas/</t>
  </si>
  <si>
    <t>https://index.hu/belfold/2020/03/31/50_szazalekot_kapna_a_fidesz_egy_orszagos_valasztason/</t>
  </si>
  <si>
    <t>https://www.policysolutions.hu/hu/hirek/496/orban10_publikacio</t>
  </si>
  <si>
    <t>MSZP 7%, Párbeszéd 2%. "Ahhoz képest, hogy a parlamenti ciklus közepén járunk, elég magas a választópolgárok aktivitási szintje, 48 százalék menne el egy mostani voksolásra. (Négy évvel ezelőtt, márciusban 42 százalék volt elszánt, nyolc éve 37 százalék.) Jelenleg a Fidesz és a Demokratikus Koalíció hívei a leginkább aktívak, kétharmaduk biztosan menne voksolni. A Momentumosok 60, az MSZP-sek 58, a Jobbikosok 55 százaléka lenne ezekben a napokban biztos szavazó.." index.hu, a ZRI oldalán később megjelent összefoglalót átvéve</t>
  </si>
  <si>
    <t>https://publicus.hu/blog/partok-tamogatottsaga-2020-marcius/</t>
  </si>
  <si>
    <t>https://nepszava.hu/3070369_publicus-negybol-harman-elmennenek-szavazni</t>
  </si>
  <si>
    <t>A Népszava cikk szerint a "biztos szavazók" aránya 75% (további 13% valószínűleg szavazna), 49% "inkább elégedetlen", 47% "inkább elégedett" azzal, "ahogy az országban mennek a dolgok"</t>
  </si>
  <si>
    <t>https://publicus.hu/blog/kormany-vs-ellenzek-az-onkormanyzatokban/</t>
  </si>
  <si>
    <t>https://nepszava.hu/3065640_egeszsegugybol-egyest-adtak-a-kormanynak</t>
  </si>
  <si>
    <t>Dátum még nem lett publikálva, pártpreferencia adatok is csak márciusban</t>
  </si>
  <si>
    <t>Dátum és pártpreferencia megoszlás még nem lett publikálva</t>
  </si>
  <si>
    <t>Dátum és pártpreferencia megoszlás még nem lett publikálva. Az "egyéb pártok" %-a csak saját becslés a többi adatok alapján.</t>
  </si>
  <si>
    <t>http://www.zaveczresearch.hu/aktivabba-valtak-a-valasztok/</t>
  </si>
  <si>
    <t>https://index.hu/belfold/2020/02/24/politikailag_nagyjabol_harom_egyenlo_reszre_oszthato_az_orszag/</t>
  </si>
  <si>
    <t>https://hvg.hu/itthon/20200224_Novelte_taborat_a_Fidesz</t>
  </si>
  <si>
    <t>MSZP 7%, Párbeszéd 2%. "A Fidesszel szimpatizálók 75 százaléka menne el szavazni, ha most lenne választás, míg az ellenzékiek aktivitási szintje csupán 63 százalék. A pártnélküliek csupán 21 százalékát érdekli annyira a politika, hogy elmenne most szavazni. " index.hu "Az ellenzéki pártok támogatóinak átlagos aktivitása mögött nagy különbségek vannak: a DK-sok 72 százalékos részvételi hajlandóságától az LMP-sek 53 százalékáig terjed a skála." 24.hu</t>
  </si>
  <si>
    <t>https://nezopont.hu/a-fidesz-erezhetoen-erosodott/</t>
  </si>
  <si>
    <t>A február végi Magyar Nemzet nem ismerte ezt az adatot, ld. https://magyarnemzet.hu/belfold/tovabb-erosodott-a-fidesz-kdnp-7823696/</t>
  </si>
  <si>
    <t>https://hvg.hu/360/20200226_Median_Jon_vissza_a_Fidesz</t>
  </si>
  <si>
    <t>MSZP 7, Parbeszed 1%</t>
  </si>
  <si>
    <t>MSZP 5, Parbeszed 1%</t>
  </si>
  <si>
    <t>MSZP 6, Parbeszed 1%</t>
  </si>
  <si>
    <t>http://ideaintezet.hu/hu/hirek-aktualis/32/egy-evvel-ezelotti-szinten-a-fidesz-kdnp--beallt-ellenzeki-tamogatottsag-trendek</t>
  </si>
  <si>
    <t>https://nepszava.hu/3065737_orban-nelkul-is-stabil-a-kormanyparti-tabor</t>
  </si>
  <si>
    <t>http://republikon.hu/elemzesek,-kutatasok/200226-partok-politikusok.aspx</t>
  </si>
  <si>
    <t>https://hvg.hu/itthon/20200228_Orbani_ertekeket_vallanak_maguknak_a_szavazok_de_a_Fidesznek_nincs_tartaleka</t>
  </si>
  <si>
    <t>http://republikon.hu/elemzesek,-kutatasok/191120-ellenzeki-nepszeruseg.aspx</t>
  </si>
  <si>
    <t>MSZP 8%, Párbeszéd 3%</t>
  </si>
  <si>
    <t>MSZP 6%, Párbeszéd 2%. Závecz ZRI adatfelvétel. A Republikon nem közölte az adatfelvételek időpontját.</t>
  </si>
  <si>
    <t>http://www.zaveczresearch.hu/a-fidesz-tabora-csokkent-az-ellenzeke-nem-valtozott-tobb-lett-a-bizonytalan/</t>
  </si>
  <si>
    <t>https://444.hu/2020/01/25/zavecz-csokken-a-fidesz-tabora-de-ettol-nem-lett-erosebb-az-ellenzek?fbclid=IwAR1qG9ZwF5rxZYjYluBLJwy2kNuMO9DVw0DHmqZhAsIpubbcqZvF9f5MSew</t>
  </si>
  <si>
    <t>https://24.hu/belfold/2020/01/24/zavecz-research-csokkent-fidesz/</t>
  </si>
  <si>
    <t>https://nezopontintezet.hu/2020/01/29/valtozatlanul-vezet-a-fidesz-kdnp-a-teljes-ellenzekkel-szemben/</t>
  </si>
  <si>
    <t>Az "egyéb" válasz magában foglalja az egyéb pártokat</t>
  </si>
  <si>
    <t>A "Legvalószínűbb listás eredmény" cimű adatsor láthatólag nem konziszten az "aktiv szavazók"-kal, hiszen az előbbit úgy definiálja a Nézőpont oldalán az egyik ábra lábjegyzete, hogy "a választási részvételüket biztosra igérők ponteciális pártpreferenciája"</t>
  </si>
  <si>
    <t xml:space="preserve">Az "egyéb válasz" %-a csak saját becslés a megjelent adatok alapján. </t>
  </si>
  <si>
    <t>http://www.ideaintezet.hu/hu/hirek-aktualis/30/a-2019-es-ev-meglepetes-embere--karacsony-gergely------2020--januar</t>
  </si>
  <si>
    <t>https://publicus.hu/blog/partok-tamogatottsaga-2019-december/</t>
  </si>
  <si>
    <t>http://www.zaveczresearch.hu/ev-vegi-dobogosok-fidesz-32-dk-9-momentum-7/</t>
  </si>
  <si>
    <t>https://index.hu/belfold/2019/12/20/nagyon_nepszeru_a_fidesz_masodik_a_dk/</t>
  </si>
  <si>
    <t>https://hvg.hu/360/20191218_median_partpreferencia</t>
  </si>
  <si>
    <t>https://hvg.hu/itthon/20191212_A_fideszesek_harmada_semmikepp_sem_akar_atletikai_vebet_Budapesten</t>
  </si>
  <si>
    <t>https://24.hu/kozelet/2019/12/18/idea-intezet-kutatas-dk-momentum/</t>
  </si>
  <si>
    <t>https://24.hu/kozelet/2019/12/16/karacsony-gergely-ellenzeki-szimpatia-ismertseg/</t>
  </si>
  <si>
    <t>https://nepszava.hu/3059275_tobb-millio-magyar-el-tartalek-nelkul</t>
  </si>
  <si>
    <t>Dátum nem lett publikálva, a pártpreferencia adatok is csak utólag. MH és MKKP az "egyéb pártok" része.</t>
  </si>
  <si>
    <t>Dátum és pártpreferencia megolszlás még nem lett publikálva</t>
  </si>
  <si>
    <t>https://nezopontintezet.hu/2019/12/10/a-fidesz-kdnp-az-osszefogott-ellenzekkel-szemben-is-vezet/</t>
  </si>
  <si>
    <t>https://magyarnemzet.hu/belfold/vezet-a-fidesz-kdnp-az-osszefogassal-szemben-is-7573238/</t>
  </si>
  <si>
    <t>https://www.magyarhirlap.hu/belfold/20191210-nezopont-tovabbra-is-a-kormanypartokat-tamogatjak-a-legtobben</t>
  </si>
  <si>
    <t>Az "egyéb válasz" %-a csak saját becslés a megjelent adatok alapján. Az "Aktív szavazók"-ra vonatkozó adatsor csak a Nézőpont oldalán jelent meg, a megelőző hónapban a 9 százalék "egyéb válasz" csak a szövegben kerül emlitésre, mint "inaktivak", a decemberi közleményekben viszont semmilyen utalás nem volt e csoport méretére</t>
  </si>
  <si>
    <t>http://www.zaveczresearch.hu/a-fidesz-gyengult-a-momentum-erosodott/</t>
  </si>
  <si>
    <t>https://hvg.hu/itthon/20191121_Zavecz_Hatalmasat_gyengult_a_Fidesz_a_fovarosban_de_a_falvakban_is_sok_szavazot_veszitettek</t>
  </si>
  <si>
    <t>https://index.hu/belfold/2019/11/21/zri_zavecz_research_partok_tamogatottsaga_fidesz_mszp_dk_jobbik_momentum/</t>
  </si>
  <si>
    <t>MSZP 8%, Párbeszéd 1%</t>
  </si>
  <si>
    <t>A pártválasztásra vonatkozó adatokat (még) nem tették publikussá</t>
  </si>
  <si>
    <t>http://www.ideaintezet.hu/hu/hirek-aktualis/27/karacsony-gergely-a-legnepszerubb-politikus-az-ellenzeki-szavazok-koreben</t>
  </si>
  <si>
    <t>https://24.hu/belfold/2019/11/13/ellenzeki-dobogo-karacsony-dobrev-jakab/</t>
  </si>
  <si>
    <t>Böcskei Balázs személyes közlése</t>
  </si>
  <si>
    <t>Az "egyeb part" tartalmazza a Parbeszedet</t>
  </si>
  <si>
    <t>https://nezopontintezet.hu/2019/11/12/stagnal-a-fidesz-kdnp-elonye-az-onkormanyzati-valasztas-utan/</t>
  </si>
  <si>
    <t>https://magyarnemzet.hu/belfold/magabiztosan-vezet-a-fidesz-a-nezopontnal-7484480/</t>
  </si>
  <si>
    <t>https://www.magyarhirlap.hu/belfold/20191112-nezopont-tovabbra-is-orzi-elonyet-a-fidesz</t>
  </si>
  <si>
    <t>Az "egyéb" válasz magában foglalja az egyéb pártokat, a szöveg szerint ebből 17 százalék az "inaktiv". A 26 és a 17% közti nagy különbségnek ellentmondva, az "aktiv szavazók" közti 9 százalék "inaktiv" mellett már legfeljebb csak kerekitesnyi hiba nagyságrendben van "egyéb válasz" (a pontos számot nem tüntetik fel).</t>
  </si>
  <si>
    <t>Az "Aktív szavazók"-ra vonatkozó adatsor csak a Nézőpont oldalán jelent meg, a 9 százalék "egyéb válasz" csak a szövegben kerül emlitésre, mint "inaktivak"</t>
  </si>
  <si>
    <t>https://publicus.hu/blog/partok-tamogatottsaga-2019-oktober/</t>
  </si>
  <si>
    <t>https://nepszava.hu/3055097_egyutt-megelozik-a-fideszt</t>
  </si>
  <si>
    <t>https://szazadveg.hu/hu/kutatasok/az-alapitvany-kutatasai/piackutatas-kozvelemeny-kutatas/a-fidesz-kdnp-elonye-toretlen</t>
  </si>
  <si>
    <t>Az MKKP nyilván az "egyéb párt"-ban</t>
  </si>
  <si>
    <t>https://kozvelemenykutatok.hu</t>
  </si>
  <si>
    <t>Az "egyeb part" az egyeb valasz resze</t>
  </si>
  <si>
    <t>http://www.ideaintezet.hu/hu/hirek-aktualis/26/a-durvabb-kampany-se-valtoztatott-a-szavazok-partszimpatiajan</t>
  </si>
  <si>
    <t>http://www.zaveczresearch.hu/kampanyban-is-valtozatlan-eroviszonyok/</t>
  </si>
  <si>
    <t>https://hvg.hu/itthon/20190920_Zavecz_Egyedul_a_Fidesz_tamogatottsaga_nott_szeptemberben</t>
  </si>
  <si>
    <t>https://index.hu/belfold/2019/09/20/onkormanyzati_valasztas_kampany_partpreferenciak_zavecz_research_felmeres/</t>
  </si>
  <si>
    <t>https://publicus.hu/blog/partok-tamogatottsaga-2019-augusztus/</t>
  </si>
  <si>
    <t>https://nezopontintezet.hu/2019/09/04/stabilan-33-millio-fidesz-szimpatizans-van-magyarorszagon/</t>
  </si>
  <si>
    <t>https://magyarnemzet.hu/belfold/tobb-mint-harommillioan-tamogatjak-a-fidesz-kdnp-t-7268714/</t>
  </si>
  <si>
    <t>Az "egyéb" válasz magában foglalja az egyéb pártokat.</t>
  </si>
  <si>
    <t>https://index.hu/belfold/2019/08/15/zavecz_budapesten_es_a_megyei_jogu_varosokban_erosebb_az_ellenzek_mint_a_fidesz/</t>
  </si>
  <si>
    <t>https://nepszava.hu/3046701_zavecz-megelozi-az-ellenzek-a-fideszt-budapesten</t>
  </si>
  <si>
    <t>A dátumról a Népszava csak "augusztus első felét" mond, a többi forrás annyit se.</t>
  </si>
  <si>
    <t>http://www.ideaintezet.hu/hirek-aktualis/23/ellenzeki-eroviszonyok--stabilizalodo-atrendezodes------2019--augusztus</t>
  </si>
  <si>
    <t>https://24.hu/belfold/2019/08/08/2540613ellenzek-fidesz-kozvelemeny-kutatas-idea-intezet/</t>
  </si>
  <si>
    <t>https://publicus.hu/blog/partok-tamogatottsaga-2019-julius/</t>
  </si>
  <si>
    <t>https://nepszava.hu/3045777_az-ellenzeki-partok-fej-fej-mellett-nezik-messzirol-a-fidesz-hatat</t>
  </si>
  <si>
    <t>A Nepszava szerint "A nyári voksolási hajlandóság egyébként mérsékelt (62 százalék állította, hogy biztosan elmenne szavazni). A leglelkesebbek a Momentum (92 százalék) és a DK (88 százalék) támogatói, de a Jobbik szavazóinak csak a 60 százaléka aktív. A kormánypártiak közül 74 százalék menne el szavazni, míg a szocialista szimpatizánsok 73 százaléka ígéri biztosra részvételét."</t>
  </si>
  <si>
    <t>https://nezopontintezet.hu/2019/08/05/40-szazalekpontos-elonnyel-vezet-a-fidesz-kdnp/</t>
  </si>
  <si>
    <t>https://nezopontintezet.hu/en/2019/08/05/fidesz-kdnp-leads-by-40-percentage-point-advantage/</t>
  </si>
  <si>
    <t>http://www.zaveczresearch.hu/a-nyar-kozepere-csokkent-a-politikai-aktivitas/</t>
  </si>
  <si>
    <t>https://24.hu/belfold/2019/07/19/zavecz-300-ezerrel-nott-a-partnelkuliek-szama/</t>
  </si>
  <si>
    <t>https://nepszava.hu/3043823_erdekesen-alakulnak-az-eroviszonyok-az-ellenzeki-oldalon-a-zavecz-merese-szerint</t>
  </si>
  <si>
    <t xml:space="preserve">
https://hvg.hu/itthon/20190710_Median_Erosodott_a_DK_es_a_Momentum_az_LMP_szavazotabora_a_felere_csokkent</t>
  </si>
  <si>
    <t>https://index.hu/belfold/2019/07/10/median_kozvelemeny-kutatas_momentum_dk/</t>
  </si>
  <si>
    <t>https://publicus.hu/blog/partok-tamogatottsaga-2019-junius/</t>
  </si>
  <si>
    <t>https://nezopontintezet.hu/2019/07/02/utcahosszal-vezet-a-fidesz-kdnp-az-ep-valasztas-utan/</t>
  </si>
  <si>
    <t>https://nezopontintezet.hu/en/2019/07/02/fidesz-kdnp-holds-comfortable-lead-after-ep-elections/</t>
  </si>
  <si>
    <t>https://24.hu/belfold/2019/06/17/zavecz-tovabb-tart-a-fidesz-a-dk-es-a-momentum-lendulete/</t>
  </si>
  <si>
    <t>https://nepszava.hu/3039867_zavecz-a-fidesz-vezet-de-a-dk-es-a-momentum-lendulete-tovabb-tart</t>
  </si>
  <si>
    <t>http://www.zaveczresearch.hu/kutatasi-eredmenyeink/</t>
  </si>
  <si>
    <t>A Momentum támogatottsága kiegyenlitődött a korcsoportok között, a DK-é is meglehetősen</t>
  </si>
  <si>
    <t>http://www.ideaintezet.hu/hirek-aktualis/20/mint-az-ep-valasztason--erosodik-a-dk-es-momentum--</t>
  </si>
  <si>
    <t>https://24.hu/belfold/2019/06/18/az-ep-valasztas-utan-nott-a-dk-es-momentum-szavazotabora/</t>
  </si>
  <si>
    <t>http://www.ideaintezet.hu/hu/hirek-aktualis/20/mint-az-ep-valasztason--erosodik-a-dk-es-momentum--</t>
  </si>
  <si>
    <t>https://nezopont.hu/a-fidesz-kdnp-nyerte-a-valasztast/  EREDETILEG https://nezopontintezet.hu/2019/05/26/a-fidesz-kdnp-nyerte-a-valasztast/</t>
  </si>
  <si>
    <t>Nem világos, hogy biztos szavazó pártválasztókra vagy valami másra vonatkozik a számsor</t>
  </si>
  <si>
    <t>szakértői becslés</t>
  </si>
  <si>
    <t>https://nezopont.hu/ha-jol-mozgosit-a-fidesz-kdnp-55-szazalekot-is-elerhet/</t>
  </si>
  <si>
    <t>https://web.archive.org/web/20190523181907/https://hvg.hu/itthon/201921_mozdulnake</t>
  </si>
  <si>
    <t>https://www.facebook.com/median.hu/photos/a.1378324522412809/2415156932062891</t>
  </si>
  <si>
    <t>A https://nezopont.hu/a-nezopont-intezet-becsult-a-legpontosabban-az-ep-valasztas-elott/  csak ezt vette figyelembe az előrejelzések értékelésénél. "az öt évvel ezelőtti EP-voksolás előtti utolsó felmérésében a Medián 46 százaléknyi „biztos” szavazót mutatott ki, aztán a valóságos részvételi arány 29 százalék volt. A HVG számára készült friss országos Medián-gyorsfelmérésben a megkérdezettek 51 százaléka állította, hogy biztosan elmegy szavazni az EP-választáson, és ennek alapján talán nem túl nagy kockázat a részvételi arányt a 34–36 százalékos sávban valószínűsíteni." (HVG online)</t>
  </si>
  <si>
    <t>https://nezopont.hu/a-fidesz-kdnp-nyerhet-majus-26-an-a-masodik-helyezett-kilete-kerdeses/</t>
  </si>
  <si>
    <t>https://publicus.hu/blog/partok-ep-es-orszaggyulesi-tamogatottsaga-2019-majus/</t>
  </si>
  <si>
    <t xml:space="preserve">Kérdés: "Most vasárnap melyik párt listájára szavaz az Európai Parlamenti választásokon?". </t>
  </si>
  <si>
    <t>https://hvg.hu/itthon/201921_mozdulnake</t>
  </si>
  <si>
    <t>az öt évvel ezelőtti EP-voksolás előtti utolsó felmérésében a Medián 46 százaléknyi „biztos” szavazót mutatott ki, aztán a valóságos részvételi arány 29 százalék volt. A HVG számára készült friss országos Medián-gyorsfelmérésben a megkérdezettek 51 százaléka állította, hogy biztosan elmegy szavazni az EP-választáson, és ennek alapján talán nem túl nagy kockázat a részvételi arányt a 34–36 százalékos sávban valószínűsíteni. (HVG online)</t>
  </si>
  <si>
    <t>A posztból úgy tűnik, hogy ezt  egy közvélemény-kutatói konferencián adta elő a a Századvég képviselője. Nem világos, hogy mi a köze ennek a számsornak a sajtóban publikálthoz, és hogy biztos szavazó pártválasztókra vagy valami másra vonatkozik a számsor.</t>
  </si>
  <si>
    <t>https://szazadveg.hu/hu/kutatasok/az-alapitvany-kutatasai/piackutatas-kozvelemeny-kutatas/a-magyarok-elsopro-tobbsege-valtozast-szeretne-az-europai-unioban</t>
  </si>
  <si>
    <t>https://web.archive.org/web/20190602210123/https://szazadveg.hu/hu/kutatasok/az-alapitvany-kutatasai/piackutatas-kozvelemeny-kutatas/a-magyarok-elsopro-tobbsege-valtozast-szeretne-az-europai-unioban</t>
  </si>
  <si>
    <t>"Ön az alábbiak közül melyik pártra szavazna a május 26-án tartandó Európai Parlamenti választásokon?" Az MKKP nyilván az "egyéb párt"-ban. Az "egyéb válasz" "Bizonytalan, nem válaszol" a Századvég grafikonjában. Legközelebb 2020 elején tettek közé ilyesféle adatot, sajnos nagyon töredékesen, ld. https://szazadveg.hu/hu/kutatasok/az-alapitvany-kutatasai/piackutatas-kozvelemeny-kutatas/a-ciklus-kozepen-is-tud-javitani-a-fidesz-kdnp</t>
  </si>
  <si>
    <t>https://nezopont.hu/megnyerte-az-ellenzeki-kampanyhajrat-a-dk/ EREDETILEG https://nezopontintezet.hu/2019/05/21/megnyerte-az-ellenzeki-kampanyhajrat-a-dk/</t>
  </si>
  <si>
    <t>https://magyarnemzet.hu/belfold/nezopont-erosodott-gyurcsany-partja-6943445/</t>
  </si>
  <si>
    <t>"A kutatás 32 százalékos részvételt jelez előre" Volt még egy "szakértői becslésük" is: https://nezopont.hu/ha-jol-mozgosit-a-fidesz-kdnp-55-szazalekot-is-elerhet/</t>
  </si>
  <si>
    <t>http://www.zaveczresearch.hu/szoros-versenyben-a-jobbik-az-mszp-es-a-dk/</t>
  </si>
  <si>
    <t>https://hvg.hu/itthon/20190516_Ugyanannyi_kepviseloje_lehet_a_Jobbiknak_MSZPnek_es_DKnak_is_az_Epben</t>
  </si>
  <si>
    <t>Fura, hogy a biztos szavazó pártválasztók között lenullázódik az egyéb párt</t>
  </si>
  <si>
    <t>"márciusban 38, áprilisban 43, májusban 45 százalék volt azok aránya, akik egy mostani választáson magukat biztos részt vevőnek tekintették és rendelkeznek pártpreferenciával is" irja a ZRI honlap</t>
  </si>
  <si>
    <t>http://iranytuintezet.hu/elemzesek-kutatasok/mind/237-partpreferenciak-alakulasa-az-europai-parlamenti-valasztas-elott/</t>
  </si>
  <si>
    <t>https://alfahir.hu/2019/05/14/jobbik_ep_valasztas_2019_iranytu_intezet</t>
  </si>
  <si>
    <t>http://www.ideaintezet.hu/hu/hirek-aktualis/17 EREDETILEG: http://www.ideaintezet.hu/hirek-aktualis/17/erosodo-fidesz-----kdnp-es-lmp---momentum-libikoka</t>
  </si>
  <si>
    <t>https://24.hu/belfold/2019/05/06/europai-unio-megitelese-kutatas</t>
  </si>
  <si>
    <t>24.hu megrendelésére</t>
  </si>
  <si>
    <t>https://magyarhang.org/belfold/2019/05/04/oriasi-kulonbsegek-ket-egyideju-zavecz-meresben/</t>
  </si>
  <si>
    <t>Állitólag speciális, LMP-megrendelte kérdésekkel a pártprefencia kérdés előtt, és Závecz szerint ezért nem feltétlen összehasonlithatók a válaszok más adatokkal. Ráadásul a Magyar Hang nem irja meg, hogy a biztos pártválasztókra vagy valaki másra vonatkoznak-e az adatok.  Mindenesetre ők azt irják, Fidesz 62.2, Jobbik 5.6, MSZP 7.7, DK 7.3, LMP 6.3, Momentum 5.1, MKKP 2.4, Mi Hazánk 3.4.</t>
  </si>
  <si>
    <t>https://publicus.hu/blog/partok-ep-tamogatottsaga-2019-aprilis/</t>
  </si>
  <si>
    <t>https://nepszava.hu/3035093_fidesz-szavazok-szerint-fontosabb-az-ep-valasztas-mint-az-onkormanyzati</t>
  </si>
  <si>
    <t>Kérdés: "Idén májusban melyik párt listájára szavaz az Európai Parlamenti választásokon?". Rejtély, hova tűnt az MKKP és az MH. Egy előadásban április végén Pulai András azt mondta, hogy "már január (vagy december?) óta" külön felteszik a kire szavazna kérdést az EP és az ogy választással kapcsolatban is. Ld. 47:00 körül itt https://www.facebook.com/watch/?v=599323433809699</t>
  </si>
  <si>
    <t>Az egyéb párt arányára csak következtettem a többiek összegéből. Ebből nyilván 2-2% MH illetve MKKP.</t>
  </si>
  <si>
    <t>https://hvg.hu/itthon/20190502_Felmeres_EPmandatumot_szerezhet_a_Momentum_a_Jobbik_nagyon_visszaesett</t>
  </si>
  <si>
    <t>A kérdés az EP választásra vonatkozott. Állitólag speciális kérdésekkel a pártprefencia kérdés előtt, és Závecz szerint ezért nem feltétlen összehasonlithatók a válaszok más adatokkal. Az "egyéb párt" alatt a Liberálisok 1 százaléka értendő itt.</t>
  </si>
  <si>
    <t>https://szazadveg.hu/hu/kutatasok/az-alapitvany-kutatasai/piackutatas-kozvelemeny-kutatas/eros-kormanyparti-gyozelem-varhato-az-ep-valasztasokon</t>
  </si>
  <si>
    <t>https://regi.szazadveg.hu/hu/kutatasok/az-alapitvany-kutatasai/piackutatas-kozvelemeny-kutatas/eros-kormanyparti-gyozelem-varhato-az-ep-valasztasokon</t>
  </si>
  <si>
    <t>https://web.archive.org/web/20210918200137/https://regi.szazadveg.hu/hu/kutatasok/az-alapitvany-kutatasai/piackutatas-kozvelemeny-kutatas/eros-kormanyparti-gyozelem-varhato-az-ep-valasztasokon</t>
  </si>
  <si>
    <t>https://magyarnemzet.hu/belfold/nezopont-tovabb-nott-a-fidesz-kdnp-nepszerusege-6889859/</t>
  </si>
  <si>
    <t>https://nezopontintezet.hu/2019/05/03/a-fidesz-nyerte-a-kampanykezdest/</t>
  </si>
  <si>
    <t>Az "egyéb" válasz aránya csak következtetés a biztos szavazó adatok alapján.</t>
  </si>
  <si>
    <t>http://www.zaveczresearch.hu/az-ep-kampany-valamelyest-mozditott-a-partpreferenciakon/</t>
  </si>
  <si>
    <t>https://index.hu/belfold/2019/04/17/partok_tamogatottsaga_partpreferencia_kozvelemeny-kutatas_fidesz_jobbik_mszp_zavecz_research/</t>
  </si>
  <si>
    <t>Az index cikk szerint "A ZRI Závecz Research Intézet április első felében végzett közvélemény-kutatása szerint a z emberek aktivitási szintje megemelkedett: egy hónap alatt 38-ról 43 százalékra nőtt azok aránya, akik egy választás biztos résztvevőjének tekintik magukat s van is párt, amelyre leadnák a voksukat."</t>
  </si>
  <si>
    <t>https://hvg.hu/itthon/20190417_Median_Az_MSZP_beerte_a_Jobbikot_a_Fidesz_ismet_erosodott</t>
  </si>
  <si>
    <t>Az MH nyilván az "egyéb párt"-ban</t>
  </si>
  <si>
    <t>http://www.ideaintezet.hu/hirek-aktualis/16/indulo-ep-kampany-valtozatlan-eroviszonyokkal---2-es-fel-millioan-a-fidesz-taboraban</t>
  </si>
  <si>
    <t>http://www.atv.hu/belfold/20190409-idea-2-es-fel-millioan-tamogatjak-a-fideszt</t>
  </si>
  <si>
    <t>"közösségi média alapú kérdőív segítségével"</t>
  </si>
  <si>
    <t>https://index.hu/belfold/2019/03/29/hiaba_nepszerubb_a_fidesz_teljesen_elveszitheti_szomabthelyet_kozvelemeny-kutatas/</t>
  </si>
  <si>
    <t xml:space="preserve">Mértek polgármester preferenciát is, Nemény András megverne több fideszest is.  VP: https://www.facebook.com/valasztasi.kalauz/posts/pfbid02gzvfDAM1HBTmYKwRTj7oyE4QKLvKJRqu55dqRNbJfX4DLWSHmcG5DExLTnpkAbTml </t>
  </si>
  <si>
    <t>https://publicus.hu/blog/partok-orszaggyulesi-es-ep-tamogatottsaga-2019-marcius/</t>
  </si>
  <si>
    <t>https://publicus.hu/wp-content/uploads/2019/03/2019_03_ppef_detail.png</t>
  </si>
  <si>
    <t>https://nepszava.hu/3030602_az-mszp-szavazoi-a-legelkotelezettebbek-egyre-tobben-elegedetlenek-az-orszag-allapotaval</t>
  </si>
  <si>
    <t>https://publicus.hu/wp-content/uploads/2019/03/2019_03_ppef_all.png</t>
  </si>
  <si>
    <t>https://kozvelemenykutatok.hu/#1</t>
  </si>
  <si>
    <t>https://nezopontintezet.hu/2019/03/31/tovabb-nott-a-fidesz-kdnp-tamogatottsaga-marciusban/</t>
  </si>
  <si>
    <t>A Nézőpont oldala nem szól az összes megkérdezettről, csak a közvelemenykutatok.hu. Az "egyéb" párt aránya csak következtetés a biztos szavazó adatok alapján.</t>
  </si>
  <si>
    <t>Závecz Tibor közlése</t>
  </si>
  <si>
    <t>http://www.zaveczresearch.hu/kismervu-valtozasok-a-partpreferenciakban/</t>
  </si>
  <si>
    <t>https://444.hu/2019/04/03/a-mostani-allas-szerint-a-fidesznek-12-az-ellenzeknek-9-mandatuma-lenne-az-ep-valasztason</t>
  </si>
  <si>
    <t>A ZRI oldala megjegyzi "A magyar választóközönség
aktivitási szintje jelenleg 46 százalékos, a múlt hónaphoz képest valamelyest, 3 százalékponttal kisebb lett. Azok, akik részvételi szándékuk mellett pártpreferenciával is rendelkeznek, a választásra jogosultak 38 százalékát teszik."</t>
  </si>
  <si>
    <t>A ZRI oldala megjegyzi "A magyar választóközönség aktivitási szintje jelenleg 46 százalékos, a múlt hónaphoz képest valamelyest, 3 százalékponttal kisebb lett. Azok, akik részvételi szándékuk mellett pártpreferenciával is rendelkeznek, a választásra jogosultak 38 százalékát teszik." A ZRI oldalon a Mi Hazán 1%-ra lett kerekitve.</t>
  </si>
  <si>
    <t>https://hvg.hu/itthon/20190311_IDEA_a_baloldal_semmit_nem_profitalt_a_tuloratorvenyes_tiltakozasokbol</t>
  </si>
  <si>
    <t>http://www.ideaintezet.hu/hirek-aktualis/15/hvg-hu---idea--a-baloldal-semmit-nem-profitalt-a-tuloratorvenyes-tiltakozasokbol</t>
  </si>
  <si>
    <t>"Egyéb pártok" (benne az MH) aránya utólagos következtetés csak a megelőző és azt követő hónap IDEA adatjai és a többi számok összege alapján.</t>
  </si>
  <si>
    <t>https://publicus.hu/blog/partok-tamogatottsaga-es-potencialis-ep-egyuttmukodesek-2019-februar/</t>
  </si>
  <si>
    <t>https://publicus.hu/wp-content/uploads/2019/03/ppref_2019_02_detail.png</t>
  </si>
  <si>
    <t>https://publicus.hu/wp-content/uploads/2019/03/2019_02_ppef_all.png</t>
  </si>
  <si>
    <t>https://nezopontintezet.hu/2019/03/01/5427/</t>
  </si>
  <si>
    <t>Az "egyéb" párt aránya csak következtetés a biztos szavazó adatok alapján.</t>
  </si>
  <si>
    <t>http://www.zaveczresearch.hu/stabil-partpreferenciak/</t>
  </si>
  <si>
    <t>https://hvg.hu/itthon/20190215_A_tuloratorveny_mar_nem_rombolja_a_Fidesz_nepszeruseget</t>
  </si>
  <si>
    <t>http://www.ideaintezet.hu/hirek-aktualis/14/24-hu---idea-intezet--gyengult-a-fidesz--erosodott-a-jobbik</t>
  </si>
  <si>
    <t>https://hvg.hu/itthon/20190205_Felmeres_esett_a_Fidesz_tamogatottsaga_novekszik_a_Jobbik_tabora</t>
  </si>
  <si>
    <t>https://hvg.hu/itthon/20190206_Median_Felmillio_tamogatot_veszitett_el_a_Fidesz</t>
  </si>
  <si>
    <t>https://444.hu/2019/02/06/median-3-honap-alatt-tobb-mint-felmillio-szimpatizanst-veszitett-a-fidesz-kdnp</t>
  </si>
  <si>
    <t>https://nezopontintezet.hu/2019/02/11/valtozatlan-a-fidesz-kdnp-tamogatottsaga/</t>
  </si>
  <si>
    <t>https://kozvelemenykutatok.hu/partpreferenciatrend/</t>
  </si>
  <si>
    <t>https://docs.google.com/spreadsheets/d/1eitltXmNIU4tHgrYiaQPWPHaG4tN0xVSZO4w_k0mVyA/edit#gid=0</t>
  </si>
  <si>
    <t>Az egyéb párt arányára csak következtettem a többiek összegéből.</t>
  </si>
  <si>
    <t>https://publicus.hu/blog/partok-tamogatottsaga-2019-januar/</t>
  </si>
  <si>
    <t>https://publicus.hu/wp-content/uploads/2019/01/2019_01_ppef_all-1024x773.png</t>
  </si>
  <si>
    <t>https://nepszava.hu/3023405_feltuzeltek-szavazoikat-a-partok</t>
  </si>
  <si>
    <t>Népszava szerint "a szavazók 81 százaléka menne el voksolni, ha most vasárnap lennének az országgyűlési választások …. A Publicus Intézet január végén lapunk megbízásából megmérte a közelgő uniós választások részvételi hajlandóságát is. A felmérésből az derült ki, hogy csaknem 4,25 millió ember állította biztosra, hogy voksol majd. Az 52 százalékos részvételi hajlandóság vélhetően túlzó"</t>
  </si>
  <si>
    <t>https://szazadveg.hu/hu/kutatasok/az-alapitvany-kutatasai/piackutatas-kozvelemeny-kutatas/stabil-a-kormanypartok-tamogatottsaga</t>
  </si>
  <si>
    <t>https://regi.szazadveg.hu/hu/kutatasok/az-alapitvany-kutatasai/piackutatas-kozvelemeny-kutatas/stabil-a-kormanypartok-tamogatottsaga</t>
  </si>
  <si>
    <t>Momentum, MKKP, MH nyilvan mind "egyeb part"</t>
  </si>
  <si>
    <t>http://www.zaveczresearch.hu/a-partlistat-biztosan-vezeto-fidesz-tamogatokat-veszitett/</t>
  </si>
  <si>
    <t>https://hvg.hu/itthon/20190116_Zavecz_a_Fidesz_elvesztett_negyedmillio_szavazot</t>
  </si>
  <si>
    <t>https://hvg.hu/itthon/20190103_A_rabszolgatorveny_ellenere_sem_szavaznanak_kevesebben_a_Fideszre</t>
  </si>
  <si>
    <t>http://www.ideaintezet.hu/hirek-aktualis/13/---rabszolgatorveny----miatti-tiltakozasok--a-bizonytalanok-is-ellenzeki-allasponton</t>
  </si>
  <si>
    <t>https://publicus.hu/blog/partok-tamogatottsaga-2018-december/</t>
  </si>
  <si>
    <t>https://nepszava.hu/3019793_rabszolgatorveny-egyre-tobben-latjak-ugy-hogy-rossz-iranyba-mennek-a-dolgok</t>
  </si>
  <si>
    <t>A Népszava szerint "Az összes megkérdezett 68 százaléka állította azt, hogy elmenne mindenképpen szavazni." Csak a Népszava közöl adatot a biztos szavazókról, és dec. 13-15-ben adja meg a dátumot.</t>
  </si>
  <si>
    <t>http://www.zaveczresearch.hu/a-partok-tamogatottsaga/</t>
  </si>
  <si>
    <t>http://www.zaveczresearch.hu/partpreferenciak-a-tuntetesek-elott/</t>
  </si>
  <si>
    <t>A ZRI oldalon meg a sajtóban 13 jött ki az MSZP-P összegére, de csak 12.4</t>
  </si>
  <si>
    <t>https://nezopontintezet.hu/2018/12/22/a-fidesz-nepszerusege-nott-a-radikalizalodo-ellenzeke-csokkent-a-valasztasok-ota/</t>
  </si>
  <si>
    <t>Az "egyéb" párt aránya csak következtetés a többi összege alapján.</t>
  </si>
  <si>
    <t>https://kozvelemenykutatok.hu/2018-decemberi-kutatasi-eredmenyek-median/</t>
  </si>
  <si>
    <t>https://hvg.hu/itthon/20181212_Median_A_magyarok_kicsit_jobban_kedvelik_Kaslert_Orbant_most_epp_nem_annyira</t>
  </si>
  <si>
    <t>http://www.ideaintezet.hu/hirek-aktualis/12/fidesz-kdnp-es-jobbik--egyutt-vesztettek-tamogatokat-----erosodo-momentum</t>
  </si>
  <si>
    <t>https://nezopontintezet.hu/2018/12/04/erosodott-a-fidesz-tovabb-gyengult-a-jobbik/</t>
  </si>
  <si>
    <t>https://publicus.hu/blog/partok-tamogatottsaga-2018-november/</t>
  </si>
  <si>
    <t>https://www.vasarnapihirek.hu/friss/harmadot_bukott_a_jobbik</t>
  </si>
  <si>
    <t>http://www.zaveczresearch.hu/holtversenyben-az-mszp-es-a-jobbik/</t>
  </si>
  <si>
    <t>http://www.ideaintezet.hu/hirek-aktualis/11/veszely-nelkuli-zonaban-a-fidesz-kdnp--kuszob-alatti-lmp</t>
  </si>
  <si>
    <t>https://nezopontintezet.hu/2018/11/09/a-valasztok-fele-fidesz-szavazo/</t>
  </si>
  <si>
    <t>http://www.zaveczresearch.hu/ismet-csokkent-a-jobbik-tabora/</t>
  </si>
  <si>
    <t>https://hvg.hu/itthon/201845__partok_es_politikusok_nepszerusege__erosodo_fidesz__ingatagok</t>
  </si>
  <si>
    <t>https://publicus.hu/blog/partok-tamogatottsaga-2018-oktober/</t>
  </si>
  <si>
    <t>https://www.vasarnapihirek.hu/fokusz/feleves_godorben_az_lmp</t>
  </si>
  <si>
    <t>https://publicus.hu/blog/partok-tamogatottsaga-2018-szeptember/</t>
  </si>
  <si>
    <t>http://www.zaveczresearch.hu/az-elmult-egy-honapban-keves-a-valtozas-1-szazalekkal-indul-a-mi-hazank-mozgalom/</t>
  </si>
  <si>
    <t>https://hvg.hu/itthon/20180926_Median_Bo_felmillio_biztos_szavazot_vesztett_a_Fidesz_az_elmult_honapokban</t>
  </si>
  <si>
    <t>A HVG online októberi ábrája szerint biztosan szavazna 53%</t>
  </si>
  <si>
    <t>https://nezopontintezet.hu/2018/10/01/most-vasarnap-az-ep-mandatumok-tobb-mint-60-szazalekat-a-fidesz-szerezne-meg-3/</t>
  </si>
  <si>
    <t>https://szazadveg.hu/hu/kutatasok/az-alapitvany-kutatasai/piackutatas-kozvelemeny-kutatas/eros-fidesz-kdnp-gyengulo-ellenzek</t>
  </si>
  <si>
    <t>https://regi.szazadveg.hu/hu/kutatasok/az-alapitvany-kutatasai/piackutatas-kozvelemeny-kutatas/eros-fidesz-kdnp-gyengulo-ellenzek</t>
  </si>
  <si>
    <t>https://kozvelemenykutatok.hu/2018-augusztusi-kutatasi-eredmenyek-zri-zavecz/</t>
  </si>
  <si>
    <t>A ZRI oldalon csak 4 volt az LMP</t>
  </si>
  <si>
    <t>https://publicus.hu/blog/partok-tamogatottsaga-2018-augusztus/</t>
  </si>
  <si>
    <t>https://www.vasarnapihirek.hu/fokusz/kuszob_alatt_az_lmp_es_a_dk</t>
  </si>
  <si>
    <t>A közvelemenykutatok.hu oldal elirta a datumot, a Publicus blog adta meg az egyéb pártok arányát</t>
  </si>
  <si>
    <t>A közvelemenykutatok.hu oldal elirta a datumot és az egyéb pártot, a VH irta csak meg az utóbbit: "minden egyéb, a felmérésben szereplő pártra pedig összesen 3 százalék voksolna a biztos szavazók közül. Így például a Jobbikból kiváltak által útjára indított, Toroczkai László által fémjelzett és most párttá alakult Mi Hazánk mozgalom sem mozgatta meg a szavazóka"</t>
  </si>
  <si>
    <t>https://nezopontintezet.hu/2018/09/03/a-fidesz-az-egyetlen-neppart/</t>
  </si>
  <si>
    <t>https://nezopont.hu/a-fidesz-az-egyetlen-neppart/</t>
  </si>
  <si>
    <t>Az "egyéb válasz" arányát csak kikövetkeztettem</t>
  </si>
  <si>
    <t>http://www.zaveczresearch.hu/lejtmenetben-a-jobbik/</t>
  </si>
  <si>
    <t>https://kozvelemenykutatok.hu/10696-2/</t>
  </si>
  <si>
    <t>https://fuhu.hu/igy-all-most-a-partok-nepszerusege/</t>
  </si>
  <si>
    <t>https://www.vasarnapihirek.hu/fokusz/beeloztek_a_ketfarkuak</t>
  </si>
  <si>
    <t>"Egyéb pártok" (benne az MH) aránya utólagos következtetés csak a megelőző és azt követő hónap Publicus adatjai és a többi számok összege alapján.</t>
  </si>
  <si>
    <t>https://nezopontintezet.hu/2018/07/25/lejtmenetben-a-jobbik/</t>
  </si>
  <si>
    <t>https://nezopont.hu/lejtmenetben-a-jobbik/</t>
  </si>
  <si>
    <t>https://szazadveg.hu/hu/kutatasok/az-alapitvany-kutatasai/piackutatas-kozvelemeny-kutatas/stabil-fidesz-kdnp-gyengulo-ellenzek</t>
  </si>
  <si>
    <t>https://www.bama.hu/orszag-vilag/szazadveg-eros-fidesz-kdnp-gyengulo-ellenzek-1408892/</t>
  </si>
  <si>
    <t>https://regi.szazadveg.hu/hu/kutatasok/az-alapitvany-kutatasai/piackutatas-kozvelemeny-kutatas/stabil-fidesz-kdnp-gyengulo-ellenzek</t>
  </si>
  <si>
    <t>https://nezopontintezet.hu/2018/06/30/a-2014-es-valasztasok-ota-nem-volt-ilyen-magas-a-fidesz-kdnp-tamogatottsaga/</t>
  </si>
  <si>
    <t>Az "egyéb válasz" arányát csak kikövetkeztettem, az adatfelvétel még az MH megalakulása előtt történt</t>
  </si>
  <si>
    <t>https://publicus.hu/blog/partok-tamogatottsaga-2018-junius/</t>
  </si>
  <si>
    <t>https://www.vasarnapihirek.hu/szerintem/beerte_a_jobbikot_az_mszp</t>
  </si>
  <si>
    <t>A Publicus blog két ábrája között mintha ellentmondás lenne az "egyéb párt" arányában</t>
  </si>
  <si>
    <t>"Egyéb pártok" aránya utólagos következtetés csak a megelőző és azt követő hónap Publicus adatjai és a többi számok összege alapján.</t>
  </si>
  <si>
    <t>http://www.zaveczresearch.hu/muloban-az-aktivitas-de-a-fidesz-szavazok-lenduletben-maradtak/</t>
  </si>
  <si>
    <t>https://hvg.hu/itthon/201823_medianfelmeres_gyozteshez_huzas</t>
  </si>
  <si>
    <t>A dátumot még ellenőrizni kell, a HVG online csak "május végét" mond.</t>
  </si>
  <si>
    <t>https://nezopontintezet.hu/2018/06/02/tovabb-erosodott-a-fidesz-kdnp-kozel-400-000-fovel-bovult-a-kormanypartok-tabora/</t>
  </si>
  <si>
    <t>http://www.zaveczresearch.hu/kik-szavaztak-hogyan-szavaztak-aprilis-8-an/</t>
  </si>
  <si>
    <t xml:space="preserve">A ZRI oldalon szereplő beszámolóban van pár hiba. Adatfelvétel dátumát 2017-re teszi, az ábrák 2018. márciust irnak, a cikk cime meg a tényleges választáson leadott szavaztokra utal. </t>
  </si>
  <si>
    <t>A ZRI oldalon szereplő beszámoló tele van hibákkal. Adatfelvétel dátumát 2017-re teszi, az ábrák 2018. márciust irnak, a cikk cime meg a tényleges választáson leadott szavaztokra utal. A cikk hibásan kerekiti le a Fidesz szavazatot 50-re</t>
  </si>
  <si>
    <t>https://publicus.hu/blog/partok_tamogatottsaga_es_az_ellenzeki_politizalas-2018_majus/</t>
  </si>
  <si>
    <t>https://www.vasarnapihirek.hu/szerintem/bojkottra_szavaz_a_tobbseg</t>
  </si>
  <si>
    <t xml:space="preserve">Az MH még nem alakult meg, az Együtt még kap 1 százalékot. </t>
  </si>
  <si>
    <t>Az MH még nem alakult meg, az Együtt még kapott 1 százalékot, és volt még 3 százalék "egyéb párt" (utóbbi aránya a közeli hónapokban is rendhagyóan magas a Publicus "biztos szavazó" adataiban).</t>
  </si>
  <si>
    <t>Az MH még nem alakult meg, az Együtt még kap 1 százalékot.</t>
  </si>
  <si>
    <t>Index.hu</t>
  </si>
  <si>
    <t>https://index.hu/belfold/2018/valasztas/2018/05/16/zavecz_felmeres_valasztasok_utan_kozvelemeny-kutatas_fidesz_ketharmad_migransozas/</t>
  </si>
  <si>
    <t>Érdekes adatok a választók motivációjáról, az eredményre adott reakciójáról az ellenzéki szavazóknak, és egy közös lista támogatottságáról</t>
  </si>
  <si>
    <t>https://nezopontintezet.hu/2018/05/08/a-fidesz-kdnp-vel-szimpatizal-a-tobbseg/</t>
  </si>
  <si>
    <t>https://publicus.hu/blog/partok-tamogatottsaga-es-atszavazasok-2018-aprilis/</t>
  </si>
  <si>
    <t>Az egy hónappal későbbi riport számol be a 37%-ról meg az egyéb pártok 2%-áról</t>
  </si>
  <si>
    <t>"Egyéb pártok" aránya utólagos következtetés csak a megelőző és azt követő hónap Publicus adatjai és a többi számok összege alapján. A Publicus blog csak az Együtt 1%-át emliti.</t>
  </si>
  <si>
    <t>részeredmény</t>
  </si>
  <si>
    <t>RTL és 444.hu</t>
  </si>
  <si>
    <t>https://444.hu/2018/04/07/billego-ketharmad-egy-ket-valasztokerulet-is-szamit</t>
  </si>
  <si>
    <t>Részeredmény szombat délelőttig</t>
  </si>
  <si>
    <t>https://444.hu/2018/04/08/median-a-fidesz-elveszitheti-a-ketharmadot</t>
  </si>
  <si>
    <t>Mandátumbecslés is</t>
  </si>
  <si>
    <t>https://index.hu/belfold/2018/valasztas/2018/04/06/65_koruli_reszvetelt_40_feletti_fideszt_mer_a_zri/</t>
  </si>
  <si>
    <t>https://index.hu/belfold/2018/valasztas/2018/04/08/mi_varhato_a_legutolso_kozvelemeny-kutatasok_szerint/</t>
  </si>
  <si>
    <t>https://m.hvg.hu/360/hetilap360/2018/14/20181405magyar3 EREDETILEG https://hvg.hu/itthon/201814__medianfelmeres__erosodo_fidesz__nepszeru_kormany__rejtozo_ketharmad</t>
  </si>
  <si>
    <t>https://m.hvg.hu/360/hetilap360/2018/14/20181405magyar3</t>
  </si>
  <si>
    <t>https://web.archive.org/web/20180406141749/https://hvg.hu/itthon/201814__medianfelmeres__erosodo_fidesz__nepszeru_kormany__rejtozo_ketharmad</t>
  </si>
  <si>
    <t>A  preferenciájukat titkolók illetve a kutatásra nem válaszolók szavazási szándékára vonatkozó becslésekkel korrigált számsor. Mandátumbecslést is adtak mellé, 142 Fidesz stb.</t>
  </si>
  <si>
    <t>http://publicus.hu/blog/partok_tamogatottsaga_szakertoi_becsles_2018_aprilis/</t>
  </si>
  <si>
    <t>http://republikon.hu/elemzesek,-kutatasok/180405-mandatum.aspx</t>
  </si>
  <si>
    <t>https://infostart.hu/valasztas-2018/2018/04/06/igy-nezhet-ki-a-parlament-a-valasztasok-utan-itt-a-legujabb-mandatumbecsles</t>
  </si>
  <si>
    <t>A Republikon poszt csak mandátumbecslést ad meg, a listás százalékok az index.hu cikkben jelentek meg</t>
  </si>
  <si>
    <t>http://iranytuintezet.hu/elemzesek-kutatasok/mind/235-a-valasztas-elotti-utolso-meresunk/</t>
  </si>
  <si>
    <t>Ember Zoltán közlése</t>
  </si>
  <si>
    <t>Mint az előző hónapokban, itt is viccesen adják meg az adatfelvétel időpontját: "Az utolsó, becslés alapját jelentő ezer fős kutatásunk mintavétele 2018. április 3-tól április 6-ig zajlott."</t>
  </si>
  <si>
    <t>"a választáson való részvételi hajlandóság már december óta növekszik folyamatosan, az elmúlt két hétben jelentősen megugrott, jelenleg 71 százalékon áll (+/- 3 százalék), vagyis 68 százaléktól a magyar rekordot jelentő 74 százalékig terjed becslésünk szerint. Ez csúcsot jelent az Intézet méréseinek történetében, 70 százalék feletti eredményt még sohasem mértünk, kiélezett időközi választás esetén sem."</t>
  </si>
  <si>
    <t>https://infostart.hu/valasztas-2018/2018/04/05/nezopont-nem-lesz-kormanyvaltas-112-123-kormanyparti-mandatum-varhato</t>
  </si>
  <si>
    <t>https://index.hu/belfold/2018/valasztas/2018/04/05/fidesz_gyozelmet_josol_a_nezopont/</t>
  </si>
  <si>
    <t>Vasárnapi Hírek</t>
  </si>
  <si>
    <t>https://index.hu/belfold/2018/valasztas/2018/04/05/publicus_annyival_esett_a_fidesz_tamogatottsaga_amennyivel_a_jobbike_nott/</t>
  </si>
  <si>
    <t>http://publicus.hu/images/uploads/2018_04_ppref_idosor.png</t>
  </si>
  <si>
    <t>Az egyéb pártok nullája innen: http://publicus.hu/images/uploads/2018_04_ppref_idosor.png</t>
  </si>
  <si>
    <t>http://publicus.hu/images/uploads/2018_04_ppref_all.png</t>
  </si>
  <si>
    <t>A ZRI oldalon nem szerepel, és az index.hu sem világos a forrás tekintetében: "A ZRI Závecz Research Intézet az elmúlt egy hétben végzett felmérésében a választópolgárok 59 százaléka jelezte, hogy biztosan részt vesz a vasárnapi parlamenti választáson. A korábbi választásokat közvetlenül megelőző mérések és valóságos részvételi arányok összevetéséből azt feltételezik, hogy április 8-án 64-68 százalék közötti arányban mennek el az emberek voksolni. Ebben a felmérésben a biztos szavazó pártválasztók körében a következő eredmények születtek: ...." Több más média is az index cikk alapján számolt be a kutatásról, de pl. https://pcblog.atlatszo.hu/2018/04/06/igy-josoltak-a-kozvelemeny-kutatok-a-korabbi-valasztasok-elott/ a szakértői becslést idézi csak fel, a kutatásokra vonatkozó táblázatába nem veszi fel. A https://web.archive.org/web/20180412202217/https://kozvelemenykutatok.hu/#2 oldalon sem szerepel.</t>
  </si>
  <si>
    <t>https://ideaintezet.hu/hu/hirek-aktualis/7/nem-eleg-hallani-az-eselyes-jeloltrol--tudni-is-kell--ki-az EREDETILEG  http://www.ideaintezet.hu/hirek-aktualis/7/nem-eleg-hallani-az-eselyes-jeloltrol--tudni-is-kell--ki-az</t>
  </si>
  <si>
    <t>https://web.archive.org/web/20200723061910/https://szazadveg.hu/hu/kutatasok/az-alapitvany-kutatasai/piackutatas-kozvelemeny-kutatas/fordulat-a-partok-versenyeben-az-mszp-megelozte-a-jobbikot   EREDETILEG https://szazadveg.hu/hu/kutatasok/az-alapitvany-ku</t>
  </si>
  <si>
    <t>https://www.origo.hu/itthon/valasztas2018/20180403-fidesz-kdnp-felmeres-szazadveg.html</t>
  </si>
  <si>
    <t>https://regi.szazadveg.hu/hu/kutatasok/az-alapitvany-kutatasai/piackutatas-kozvelemeny-kutatas/fordulat-a-partok-versenyeben-az-mszp-megelozte-a-jobbikot</t>
  </si>
  <si>
    <t>66% "biztos" szavazó.</t>
  </si>
  <si>
    <t>http://iranytuintezet.hu/elemzesek-kutatasok/mind/233-az-iranytu-intezet-2018.-marciusi-orszagos-kozvelemeny-kutatasa/</t>
  </si>
  <si>
    <t>https://mno.hu/belfold/iranytu-intezet-a-jobbik-a-fidesz-fo-kihivoja-2458014</t>
  </si>
  <si>
    <t>https://index.hu/belfold/2018/valasztas/2018/03/28/valasztasi_kampany_marcius_28-an/az_iranytu_intezet_szerint_gyengul_a_fidesz/</t>
  </si>
  <si>
    <t>Egyéb válasz és egyéb pártok aránya Ember Zoltán közlése alapján. Ld. még https://kozvelemenykutatok.hu/2018-marciusi-kutatasi-eredmenyek-iranytu/</t>
  </si>
  <si>
    <t>https://nezopontintezet.hu/2018/04/03/tovabb-nott-az-orban-viktor-ujrazasat-tamogatok-aranya-karacsony-es-szel-megelozte-vonat/</t>
  </si>
  <si>
    <t>Miniszterelnök-jelöltek népszerűségét publikálták csak, pártpreferenciákat nem.</t>
  </si>
  <si>
    <t>http://republikon.hu/media/38516/republikon_kutatas_prez_1803.pdf</t>
  </si>
  <si>
    <t>https://24.hu/belfold/2018/04/03/valasztasi-becsles-fidesz-jobbik-mszp/</t>
  </si>
  <si>
    <t>http://republikon.hu/elemzesek,-kutatasok/180403-kvk.aspx</t>
  </si>
  <si>
    <t xml:space="preserve"> MSZP-P helyett ebben a hónapban MSZP-P-MLP pártszövetség szerepelt a kérdőivben. Forrás 3 (és Forrás 2 is, valamint https://kozvelemenykutatok.hu/2018-marciusi-kutatasi-eredmenyek-republikon/): "a biztos pártválasztók körében Fidesz-KDNP 49 százalékon áll, a Jobbik az előző hónaphoz hasonlóan 19 százalékon, míg a harmadik az MSZP-Párbeszéd pártszövetség 17 százalékkal."</t>
  </si>
  <si>
    <t xml:space="preserve"> MSZP-P helyett ebben a hónapban MSZP-P-MLP pártszövetség szerepelt a kérdőivben. </t>
  </si>
  <si>
    <t>https://publicus.hu/blog/partok_tamogatottsaga_2018_marcius/</t>
  </si>
  <si>
    <t>http://publicus.hu/images/uploads/2018_03_ppref_all.png</t>
  </si>
  <si>
    <t>Az MKKP 1%-a innen: http://publicus.hu/images/uploads/2018_03_ppref_all.png</t>
  </si>
  <si>
    <t>http://www.atv.hu/belfold/20180328-nezopont-a-fidesz-50-szazalek-felett-a-jobbik-elmarad-a-14-es-eredmenyetol</t>
  </si>
  <si>
    <t>Egyéb válasz aránya ez alapján: https://kozvelemenykutatok.hu/2018-marciusi-kutatasi-eredmenyek-iranytu/</t>
  </si>
  <si>
    <t>https://nezopontintezet.hu/2018/03/28/valtozatlanul-vezet-a-fidesz-a-kampany-veghajrajaban/</t>
  </si>
  <si>
    <t>https://nezopontintezet.hu/wp-content/uploads/2018/03/Nezopont_Intezet_kutatas20180328.png</t>
  </si>
  <si>
    <t>http://www.zaveczresearch.hu/nott-az-aktivitas-erosodott-a-jobbik/</t>
  </si>
  <si>
    <t>https://index.hu/belfold/2018/03/20/zavecz_majdnem_annyian_szavaznanak_a_fideszre_mint_a_teljes_ellenzekre/</t>
  </si>
  <si>
    <t>ZRI: "február első felében 46, most már 56 százalék ígérte részvételét az április 8-i választásra"</t>
  </si>
  <si>
    <t>https://hvg.hu/itthon/20180314_median_kozvelemeny_kutatas_marcius</t>
  </si>
  <si>
    <t>A "biztos szavazók"  aránya itt: https://m.hvg.hu/360/hetilap360/2018/14/20181405magyar3 EREDETILEG https://hvg.hu/itthon/201814__medianfelmeres__erosodo_fidesz__nepszeru_kormany__rejtozo_ketharmad	https://m.hvg.hu/360/hetilap360/2018/14/20181405magyar3	https://web.archive.org/web/20180406141749/https://hvg.hu/itthon/201814__medianfelmeres__erosodo_fidesz__nepszeru_kormany__rejtozo_ketharmad</t>
  </si>
  <si>
    <t>60% "biztos" szavazó.</t>
  </si>
  <si>
    <t>https://nezopontintezet.hu/wp-content/uploads/2018/03/P%C3%A1rtpref.png</t>
  </si>
  <si>
    <t>"a hódmezővásárhelyi időközi választás után egyszeri jelleggel, kivételesen 1000 fős telefonos mintán végzett pártpreferencia-kutatást, szemben a havi rendszerességgel publikált 2000 fős, személyes mintán végzett trendkutatásokkal"</t>
  </si>
  <si>
    <t>http://iranytuintezet.hu/elemzesek-kutatasok/mind/231-az-iranytu-intezet-2018.-februari-orszagos-kozvelemeny-kutatasa/</t>
  </si>
  <si>
    <t>https://alfahir.hu/2018/03/07/kozvelemeny_kutatas_iranytu_kormanyvaltas_2018_as_valasztasok</t>
  </si>
  <si>
    <t>https://mno.hu/belfold/amortizaljak-a-botranyok-a-kormanyparti-elonyt-2451954</t>
  </si>
  <si>
    <t>Együtt aránya a márciusi riportban. Egyéb válasz innen: https://kozvelemenykutatok.hu/2018-februari-kutatasi-eredmenyek-iranytu/</t>
  </si>
  <si>
    <t>Együtt aránya a márciusi riportban. MKKP és egyéb párt Ember Zoltán közlése</t>
  </si>
  <si>
    <t>http://www.ideaintezet.hu/hirek-aktualis/6/friss-felmeres--csokken-a-fidesz-elonye--erosodik-az-ellenzek</t>
  </si>
  <si>
    <t>http://www.atv.hu/belfold/20180310-friss-felmeres-csokken-a-fidesz-elonye-erosodik-az-ellenzek</t>
  </si>
  <si>
    <t>https://szazadveg.hu/hu/kutatasok/az-alapitvany-kutatasai/piackutatas-kozvelemeny-kutatas/aktivizalodott-a-fidesz-kdnp-tabor-hodmezovasarhely-utan</t>
  </si>
  <si>
    <t>https://www.origo.hu/itthon/20180301-szazadveg-aktivizalodott-a-fidesz-kdnp-tabor.html</t>
  </si>
  <si>
    <t>http://republikon.hu/media/38494/republikon_kutatas_prez_1802.pdf</t>
  </si>
  <si>
    <t>https://24.hu/belfold/2018/02/28/megroggyant-a-fidesz-araszol-felfele-az-ellenzek/</t>
  </si>
  <si>
    <t>http://republikon.hu/elemzesek,-kutatasok/180228-kvk.aspx</t>
  </si>
  <si>
    <t>Az MSZP-P helyett ebben a hónapban MSZP-P-MLP pártszövetség szerepelt a kérdőivben. "Jelenleg a Republikon mérései szerint Orbán Viktor pártja 48 százalékon áll a biztos szavazók között – ez (bár továbbra is masszív támogatottságot jelez) a legkevesebb 2017 nyara óta, júniusban mért az intézet legutóbb 50 százalék alatti értéket." irja Forrás 3  (és Forrás 2 is ilyen kétértelmű a bázissal kapcsolatban, meg https://kozvelemenykutatok.hu/2018-februari-kutatasi-eredmenyek-republikon/ is)</t>
  </si>
  <si>
    <t xml:space="preserve">Az MSZP-P helyett ebben a hónapban MSZP-P-MLP pártszövetség szerepelt a kérdőivben. </t>
  </si>
  <si>
    <t>http://iranytuintezet.hu/letoltes/?file=/shared/kutatasok/Hogy%20szavazn%C3%A1nak%20az%20akt%C3%ADv%20Facebook-felhaszn%C3%A1l%C3%B3k_2018.03.01..pdf</t>
  </si>
  <si>
    <t>http://iranytuintezet.hu/elemzesek-kutatasok/mind/229-hogy-szavaznanak-az-aktiv-facebook-felhasznalok/</t>
  </si>
  <si>
    <t>A teljes minta 5240/8050 része a pártválasztó.</t>
  </si>
  <si>
    <t>http://nezopontintezet.hu/analysis/valtozatlan-eroviszonyok-kampanystartnal/</t>
  </si>
  <si>
    <t>https://nezopontintezet.hu/wp-content/uploads/2018/02/P%C3%A1rtpref-febru%C3%A1r.png</t>
  </si>
  <si>
    <t>Az "egyéb párt" itt az MLP. "A rejtőzködők között ezúttal csak 2% a kormányellenesek aránya."</t>
  </si>
  <si>
    <t>Az "egyéb párt" itt az MLP.</t>
  </si>
  <si>
    <t>http://publicus.hu/blog/partok_tamogatottsaga_es_egyes_politikusok_nepszersege_2018_februar/</t>
  </si>
  <si>
    <t>http://publicus.hu/images/uploads/2018_02_ppref_all.png</t>
  </si>
  <si>
    <t>http://www.zaveczresearch.hu/alig-mozdulnak-szavazok/</t>
  </si>
  <si>
    <t>https://index.hu/belfold/2018/valasztas/2018/02/20/kozvelemeny-kutatas_zri_zavecz_research_fidesz_jobbik_mszp_lmp_dk_egyutt_momentum/</t>
  </si>
  <si>
    <t>https://szazadveg.hu/hu/kutatasok/az-alapitvany-kutatasai/piackutatas-kozvelemeny-kutatas/stabil-fidesz-kdnp-elony-erosodo-lmp</t>
  </si>
  <si>
    <t>https://www.origo.hu/itthon/20180215-itt-a-szazadveg-alapitvany-friss-februari-merese.html</t>
  </si>
  <si>
    <t>https://regi.szazadveg.hu/hu/kutatasok/az-alapitvany-kutatasai/piackutatas-kozvelemeny-kutatas/stabil-fidesz-kdnp-elony-erosodo-lmp</t>
  </si>
  <si>
    <t>http://republikon.hu/media/38487/republikon_kutatas_prez_1801.pdf</t>
  </si>
  <si>
    <t>https://24.hu/belfold/2018/02/09/lejott-a-tortenelmi-magassagbol-a-fidesz/</t>
  </si>
  <si>
    <t>http://republikon.hu/elemzesek,-kutatasok/180213-kvk.aspx</t>
  </si>
  <si>
    <t>Az egyéb pártok 2%-ból 1% MLP</t>
  </si>
  <si>
    <t>https://hvg.hu/itthon/20180131_Median_Elbizonytalanodott_a_tabora_kerdes_a_Fideszgyozelem_merteke</t>
  </si>
  <si>
    <t>Az "egyéb párt" 1% Munkáspárt 2% egyéb</t>
  </si>
  <si>
    <t>Az "egyéb párt" 1% Munkáspárt 1% egyéb</t>
  </si>
  <si>
    <t>Az "egyéb párt" 1% Munkáspárt 0% egyéb</t>
  </si>
  <si>
    <t>https://szazadveg.hu/hu/kutatasok/az-alapitvany-kutatasai/piackutatas-kozvelemeny-kutatas/valtozatlan-fidesz-kdnp-foleny</t>
  </si>
  <si>
    <t>https://index.hu/belfold/2018/valasztas/2018/02/01/szazadveg_a_jobbik_tavolodik_az_mszp-tol</t>
  </si>
  <si>
    <t>Tárki</t>
  </si>
  <si>
    <t>http://www.tarki.hu/hu/news/2018/kitekint/20180129_valasztas.html</t>
  </si>
  <si>
    <t>http://old.tarki.hu/hu/news/2018/kitekint/20180129_valasztas.html</t>
  </si>
  <si>
    <t>MSZP-t és Párbeszédet külön kezelte. "a választók a négy évvel korábbihoz képest valamivel aktívabbak:  … 53 százalékuk biztosan, további egyharmaduk, 33 százalékuk pedig valószínűleg elmegy szavazni 2018 áprilisában"</t>
  </si>
  <si>
    <t>MSZP-t és Párbeszédet külön kezelte</t>
  </si>
  <si>
    <t>http://publicus.hu/blog/partok_tamogatottsaga_es_egyes_politikusok_nepszerusege_2018_januar/</t>
  </si>
  <si>
    <t>http://publicus.hu/images/uploads/2018_01_ppref_all.png</t>
  </si>
  <si>
    <t>http://publicus.hu/images/uploads/2018_01_ppref_idosor.png</t>
  </si>
  <si>
    <t>http://nezopontintezet.hu/analysis/2018_januar_partpreferencia_nezopont/</t>
  </si>
  <si>
    <t>https://nezopontintezet.hu/wp-content/uploads/2018/01/P%C3%A1rtpref-janu%C3%A1r.png</t>
  </si>
  <si>
    <t>Az egyéb válasz aránya csak következtetés. Az "egyéb párt" itt az MLP. Az MSZP 5, "a Párbeszéd ezen a bázison ezúttal sem érte el a mérhetőségi szintet". "A rejtőzködők közül csak 3% a kormányellenesek aránya."</t>
  </si>
  <si>
    <t>Az "egyéb párt" itt az MLP. Az MSZP 9 és a P 1%.</t>
  </si>
  <si>
    <t>http://www.zaveczresearch.hu/alacsony-aktivitas-valtozatlan-eroviszonyok/</t>
  </si>
  <si>
    <t>http://hvg.hu/itthon/20180119_Majdnem_ugyanannyian_akarjak_levaltani_a_kormanyt_mint_ahanyan_kitartananak_mellette</t>
  </si>
  <si>
    <t>A ZRI oldalon és a HVG-ben is 13 jelent meg mint MSZP % mert a P .5%-a "egyéb párt"-nak lett számolva. HVG: " a választópolgárok 45 százaléka jelezte, hogy elmenne voksolni"</t>
  </si>
  <si>
    <t>https://mno.hu/belfold/iranytu-intezet-gyengult-a-fidesz-de-magasan-vezet-2443709</t>
  </si>
  <si>
    <t>http://iranytuintezet.hu/elemzesek-kutatasok/mind/215-az-iranytu-intezet-2018.-januari-orszagos-kozvelemeny-kutatasa/</t>
  </si>
  <si>
    <t>"A kutatás szerint az emberek 14 százaléka bizonytalan, nyolc százalék nem válaszolt, hét százalék pedig nem is akar elmenni szavazni." A februári online poll beszámolójából derül ki, hogy a Párbeszédet az MSZP-től külön kódolták, és az még az MSZP januárban bemondott 6%-án túl még 0 százalék. Együtt, Momentum és egyéb párt ugyanezen beszámolóban</t>
  </si>
  <si>
    <t>Együtt aránya a márciusi riportban, valamint a februári  online. Az "egyéb" párt aránya csak következtetés a többi összege alapján.</t>
  </si>
  <si>
    <t>AZ ÁBRÁK</t>
  </si>
  <si>
    <t>A trendek jobb értelmezhetősége érdekében néhány ábrában foglaltam össze a fontosabb adatokat. Ezeket változtatás nélkül, a forrás pontos megjelölésével közölheti bárhol.</t>
  </si>
  <si>
    <t>Az ábrák a módszertani okokból a többiekkel össze nem hasonlítható adatfelvételek adatait kizárják az elemzésből.</t>
  </si>
  <si>
    <t>A legfrissebb adatokon alapuló ábrákat itt találja meg összegyűjtve: https://tinyurl.com/y6xwodvv</t>
  </si>
  <si>
    <t>Észrevételeit és javaslatait kérem, hogy küldje a Vox.Populi.HU@gmail.com cimre.</t>
  </si>
  <si>
    <t>KÉREM, HOGY IGY ADJA MEG AZ ADATOK FORRÁSÁT, HA HASZNÁLJA EZEKET AZ ADATOKAT:</t>
  </si>
  <si>
    <t>Tóka Gábor, 2019-. "Választási közvélemény-kutatások Magyarországon." Excel adatbázis. URL: kozvelemeny.wordpress.com</t>
  </si>
  <si>
    <t>TECHNIKAI RÉSZLETEK</t>
  </si>
  <si>
    <t>Az adatok összegzése során először az adatfelvétel "összes megkérdezettre" vonatkozó adataiból újra kiszámítom (az "alpha" oszlopban szereplő konstanssal való szorzással) az "összes pártválasztóra" vonatkozó számsort, majd ezt a számsort átlagolom (ha a források ilyet is megadtak) az összes pártválasztóra nézve a forrásokban megjelenő számsor megfelelő tagjaival.</t>
  </si>
  <si>
    <t>Utána ugyanezt megteszem a "biztos szavazókra" és a "biztos pártválasztókra" vonatkozó adatokkal, tehát ha a források megengedik ezt, akkor két - ideális esetben csak a kerekítési hibák miatt különböző - számsort állitok elő az adott adatfelvétel "biztos pártválasztóival" kapcsolatban, majd ezeket átlagolom. Ahol csak az "összes pártválasztóra" illetve csak az "biztos szavazó pártválasztókra" vonatkozó adat van egy adatfelvételből, ott azt az egy számsort használom.</t>
  </si>
  <si>
    <t>Az ábrákat az "Adatok" munkalap tartalmából előállító R kódot az ábrák keletkezésének időpontját mutató alkönyvtárakban találja, az ábrákban megjelenő közös nevezőre hozott adatokat tartalmazó Excel file mellett. Ez „Az_ábrákon_bemutatott_becslések.xlsx” állomány bemutatja az eredeti forrásokban szereplő adatok alapján becsült statisztikai hibahatárokat is. A „biztos szavazó pártválasztókra” vonatkozó hibahatárok durva becslések csupán, mert a pontos számításhoz szükséges adatok nem állnak rendelkezésre. A „biztos szavazó pártválasztókra” és az „összes pártválasztókra” vonatkozó adatok átlagának statisztikai hibahatáraként, durva leegyszerűsítéssel de a nagyságrend tekintetében nem teljesen pontatlanul, a „biztos szavazó pártválasztókra” vonatkozó hibahatárokat ismétlem meg.</t>
  </si>
  <si>
    <t>https://telex.hu/belfold/2024/10/11/tisza-part-magyar-peter-fidesz-ellenzek-kozvelemeny-kutatas-zavecz-research?fbclid=IwY2xjawF2YI9leHRuA2FlbQIxMAABHfLQXIS9jFf0pbP7uPPdcxeEgTrWqQIMfWMODBELKCWJnj7oyo8oolbjyw_aem_QluYTYVkRyZ4I449o3q7og</t>
  </si>
  <si>
    <t>https://24.hu/belfold/2024/10/11/fidesz-tisza-zavecz-oszi-kutatas/</t>
  </si>
  <si>
    <t>https://hvg.hu/itthon/20241011_tisza-part-fidesz-zavecz-kozvelemeny-kutatas</t>
  </si>
  <si>
    <t>https://hvg.hu/itthon/20241016_idea-intezet-tisza-part-fidesz-kozvelemeny-kutatas</t>
  </si>
  <si>
    <t>https://24.hu/belfold/2024/10/16/idea-intezet-kozvelemenykutatas-fidesz-tisza-partpreferencia/</t>
  </si>
  <si>
    <t>http://www.ideaintezet.hu/hu/hirek-aktualis/125/a-tisza-a-fidesz-kdnp-nyakan--negy-parlamenti-part-0-szazalekon</t>
  </si>
  <si>
    <t>VP: https://www.facebook.com/valasztasi.kalauz/videos/905925404809564</t>
  </si>
  <si>
    <t>https://publicus.hu/blog/a-fidesz-szavazok-relativ-tobbsege-sem-tartja-elfogadhatonak-orban-balazs-1956-al-es-az-orosz-ukran-haboruval-kapcsolatos-szavait/</t>
  </si>
  <si>
    <t>https://444.hu/2024/10/23/eloszor-fordult-elo-hogy-egy-kozvelemeny-kutatas-szerint-a-tisza-megelozte-a-fidesz</t>
  </si>
  <si>
    <t>Partizán</t>
  </si>
  <si>
    <t>https://www.facebook.com/partizanpolitika/posts/pfbid07krfXJnZxZAZ1oJZ4ECuMoEHUgjMJ1Q465FaAtzqFnF9KEUcFsq911GbNAyvDeHRl</t>
  </si>
  <si>
    <t>https://www.facebook.com/21kutatokozpont/posts/pfbid02Jp2cVwwEz5cyutEB9hQK8QkzVGCf5WQA4ikmLg4qP1nz44N23UmKikbrHUTziynzl</t>
  </si>
  <si>
    <t>Az összes pártválasztók között Budapesten ennyi százalékponttal nagyobb a közös listán induló ellenzék (2024 májusától a TISZA Párt) támogatottsága, mint országosan. Ez egy  2021 novemberében bevezetett cella, azóta gyűjtöm csak módszeresen az erről megjelenő információkat. Az ennél korábbi adatforrások esetén esetleges, hogy hol kerestem ki az erre vonatkozó információt.</t>
  </si>
  <si>
    <t>http://web.archive.org/web/20220329135708/https://azonnali.hu/cikk/20220329_publicus-szorosnak-igerkezik-a-vasarnapi-valasztas</t>
  </si>
  <si>
    <t>Párbeszéd</t>
  </si>
  <si>
    <t>https://hirklikk.hu/kozelet/vezet-az-ellenzek-az-i-keruletben/423225/</t>
  </si>
  <si>
    <t>https://telex.hu/belfold/2023/11/09/21-kutatokozpont-kozvelemeny-kutatas-debrecen-onkormanyzati-valasztas-akkumulatorgyar</t>
  </si>
  <si>
    <t>VP: https://www.facebook.com/valasztasi.kalauz/posts/pfbid014izUG6eNSzDpZUC4iMe2bbvzcrFAKo72PXkQsdfM2UGXS12CRsn99A4P6pJkMsKl</t>
  </si>
  <si>
    <t>https://publicus.hu/blog/partok-tamogatottsaga-2024-oktober/</t>
  </si>
  <si>
    <t>https://nepszava.hu/3255104_tisza-part-39-fidesz-37-felmeres-publicus-intezet-tizennyolc-ev</t>
  </si>
  <si>
    <t>https://nezopont.hu/valtozatlan-a-partverseny-allasa/</t>
  </si>
  <si>
    <t>"A Nézőpont Intézet által használt legvalószínűbb listás eredmény minden, a választáson való részvételét biztosra ígérő válaszadót figyelembe vesz. Azon rejtőzködő szavazókat, akik valamilyen okból nem mondják meg pártpreferenciájukat, egyéb válaszaik alapján statisztikai módszerrel azonosítja be. A bevallott és beazonosított szavazók pártpreferenciája alapján a Fidesz-KDNP legvalószínűbb listás eredménye 46 százalék lenne, mely nagyjából az árvíz előtti (45 százalék) és alatti (47 százalék) támogatottságának felel meg. "</t>
  </si>
  <si>
    <t>https://szazadveg.hu/cikkek/stabil-kormanyparti-vezetes/</t>
  </si>
  <si>
    <t>https://magyarnemzet.hu/belfold/2024/11/folenyesen-gyozne-a-fidesz-kdnp-ha-most-lennenek-a-valasztasok</t>
  </si>
  <si>
    <t>https://www.facebook.com/realpr93/posts/pfbid02wVLeYiHuy6tV6fLRKpB1SfvGDrzRAiFu5YgaeZ3UdNKoCepcByPyRzoHUbRraS6Sl</t>
  </si>
  <si>
    <t>https://republikon.hu/elemzesek,-kutatasok/241105.aspx</t>
  </si>
  <si>
    <t>A részvételt 4-fokú skálán mérik, 63-13-10-9 a megoszlás (6% NT-NV).</t>
  </si>
  <si>
    <t>https://hvg.hu/360/20241105_Median-kozvelemeny-kutatas-partpreferenciak-Fidesz-Tisza</t>
  </si>
  <si>
    <t>https://www.facebook.com/median.hu/posts/pfbid0S2RMtb6iGriZZVRP8ong5dPxWvBFs5Bup6ZjnL2fU3xsPsJJLnUnEPB4QiS4YApyl</t>
  </si>
  <si>
    <t>https://www.facebook.com/ideaintezet/posts/pfbid02pvdwsoKfuWPnXfr4estUh9oeusqweDYWLZwG3hA2vRRUKDwUiub4kXVfHHr19YMvl</t>
  </si>
  <si>
    <t>https://24.hu/belfold/2024/11/14/idea-tisza-part-fidesz-kutatas-partpreferencia/</t>
  </si>
  <si>
    <t>"legvalószínűbb listás eredmény", ld. https://nezopont.hu/valtozatlan-a-partverseny-allasa/</t>
  </si>
  <si>
    <t>https://nezopont.hu/hu/tevekenysegeink/kozvelemeny-kutatasok/12-szazalekpontos-fidesz-elony</t>
  </si>
  <si>
    <t>https://www.facebook.com/nezopontintezet/posts/pfbid023yFQ2Ws47vYW7amqqPmxCW63fHRkg6FiRyghMJysEZs5aREkgYxgdGPF6uUWdBk6l</t>
  </si>
  <si>
    <t>https://magyarnemzet.hu/belfold/2024/11/novelte-elonyet-a-fidesz-kdnp</t>
  </si>
  <si>
    <t>https://www.facebook.com/pulaiandras.hu/posts/pfbid027oph6fmehFdVZxCWGu2QL9DaEHT187avwvG3tWocP2WXftnnLk8CG1gZUFXWZXs3l</t>
  </si>
  <si>
    <t>https://nepszava.hu/3259022_tisza-part-fidesz-publicus-intezet-felmeres-elony-hangfelvetel</t>
  </si>
  <si>
    <t>https://publicus.hu/blog/partok-tamogatottsaga-2024-november/</t>
  </si>
  <si>
    <t>https://nezopont.hu/hu/tevekenysegeink/kozvelemeny-kutatasok/magyar-peter-visszavonulasat-akarjak</t>
  </si>
  <si>
    <t>VP: https://www.facebook.com/valasztasi.kalauz/posts/pfbid02zGYaKCYyufhHsVjwucJ118tXeb2hZXsPoKZY24ATc2i1QBeh19jKVBwT1RgYX5JYl</t>
  </si>
  <si>
    <t>"ellenzéki összefogás"-t emlegető mock election kérdés is van</t>
  </si>
  <si>
    <t>Volt egy followup cikk is MP hangfelvételeiről, arról VP itt:</t>
  </si>
  <si>
    <t>https://www.facebook.com/hvghu/posts/pfbid0kzHhAiE14yTkCLhHAUjJkv56VwK1GrGZ1oCNoaJR2wgKifXBr14pQAtaZHKjPTpul</t>
  </si>
  <si>
    <t>https://szazadveg.hu/cikkek/orzi-vezeto-szerepet-a-fidesz-kdnp/</t>
  </si>
  <si>
    <t>https://hvg.hu/360/20241128_Median-kozvelemenykutatas-november-Tisza-Magyar-Peter-Fidesz</t>
  </si>
  <si>
    <t>https://tarsadalomkutato.hu/egyertelmuen-a-fidesz-vezeti-a-partversenyt/</t>
  </si>
  <si>
    <t>https://magyarnemzet.hu/belfold/2024/11/ha-most-vasarnap-lenne-egy-orszaggyulesi-valasztas-magabiztosan-nyerne-a-fidesz</t>
  </si>
  <si>
    <t>"politikai szempontból aktív = választási részvételüket biztosra vagy valószínűre ígérők"</t>
  </si>
  <si>
    <t>https://hvg.hu/itthon/20241126_magyar-peter-koalicio-momentum-dk-21-kutatokozpont</t>
  </si>
  <si>
    <t>https://www.facebook.com/realpr93/posts/pfbid0b9fk4RDHDMzzqBH5VYNuSzGZ3yr5nnQwrAViGmDT2T2rjweNqJ1eiiokGLHwK8uMl</t>
  </si>
  <si>
    <t>VP: https://www.facebook.com/valasztasi.kalauz/posts/pfbid028dfPRVfFEXi2vMg15oKbA8ey8Qemp1iiccYaKDqimo8NBJJj78rTFNNboRmDqkdyl</t>
  </si>
  <si>
    <t>https://telex.hu/belfold/2024/12/05/magyar-peter-fidesz-2026-orszaggyulesi-valasztas-egyeni-szabadsag-nepszeruseg-valasztoi-attitud</t>
  </si>
  <si>
    <t>HUN-REN Társadalomtudományi Kutatóközpont Mobilitás Centrum</t>
  </si>
  <si>
    <t>https://hvg.hu/itthon/20241205_Zavecz-tisza-fidesz-ebx</t>
  </si>
  <si>
    <t>https://telex.hu/belfold/2024/12/11/idea-intezet-felmeres-tisza-part-fidesz-kozvelemeny-kutatas</t>
  </si>
  <si>
    <t>https://www.facebook.com/ideaintezet/posts/pfbid0LBLsjMiE9Qu2aRDWrEXjXTbM6ZAEzHrH8XBixwSAGMb4aBkQp1M3pL5sV6DxCSTBl</t>
  </si>
  <si>
    <t>https://szazadveg.hu/cikkek/elso-helyen-a-fidesz-kdnp-egyre-tobben-fordulnak-el-magyar-petertol/</t>
  </si>
  <si>
    <t>https://www.facebook.com/Szazadveg/posts/pfbid02chmi4THVbqTne51TzM3W86UTkTz9iFCm5fUhJxuMRaarVCrFDsgJJgiywNsPzQjol</t>
  </si>
  <si>
    <t>https://mandiner.hu/belfold/2024/12/friss-kutatas-elso-helyen-a-fidesz-kdnp-egyre-tobben-fordulnak-el-magyar-petertol</t>
  </si>
  <si>
    <t>VP: https://www.facebook.com/valasztasi.kalauz/posts/pfbid04Z7txZUmtk691fdWm9SgNVv34H7YGXz1KUJCqzZrUN6zijPt5BDvY7gZQ6SDeALDl</t>
  </si>
  <si>
    <t>https://www.facebook.com/nezopontintezet/posts/pfbid0wVoP3SkcT92cE467G1FUcnNQjSVCTUc9Qg7zw6wYanuRDJFDc431PMDssEapurDEl</t>
  </si>
  <si>
    <t>https://magyarnemzet.hu/belfold/2024/12/a-mandatumok-61-szazalekat-kapna-a-fidesz-ha-most-vasarnap-lennenek-a-valasztasok</t>
  </si>
  <si>
    <t>https://nezopont.hu/hu/tevekenysegeink/kozvelemeny-kutatasok/61-szazalekos-fidesz-tobbseg</t>
  </si>
  <si>
    <t>https://republikon.hu/elemzesek,-kutatasok/24-12-16_kvk_december.aspx</t>
  </si>
  <si>
    <t>https://www.facebook.com/republikon/posts/pfbid02o6PpgUqBs7jiPdQ2jg14Fpre7GDxzcz1KQc9Np8HUUqBChcmLRtYZzMCkcAgCHRel</t>
  </si>
  <si>
    <t>https://telex.hu/belfold/2024/12/16/republikon-fidesz-tisza-biztos-partvalasztok</t>
  </si>
  <si>
    <t>A részvételt 4-fokú skálán mérik, 60-16-9-11 a megoszlás (4% NT-NV).</t>
  </si>
  <si>
    <t xml:space="preserve">A cikk azt mondja, hogy innentól a választásokig áttérnek arra, hogy a "legvalószinűbb belföldi listás eredményt" teszik közzé. Teljesen homályos, hogy ennek mi köze van adatokhoz, de kutatásra hivatkoznak, és odateszik mellé egy heti kutatásuk technikai infóit. VP: </t>
  </si>
  <si>
    <t>http://www.ideaintezet.hu/hu/hirek-aktualis/126/novelte-elonyet-a-tisza--negy-part-bejutasi-kuszob-felett</t>
  </si>
  <si>
    <t>http://www.ideaintezet.hu/hu/hirek-aktualis/127/a-mintegy-1-3-millio-fradi-szurkolo-majdnem-haromnegyede-fidesz---kdnp---vagy-mi-hazank-szavazo</t>
  </si>
  <si>
    <t>https://nepszava.hu/3262191_publicus-dombovar-idokozi-valasztas-felmeres</t>
  </si>
  <si>
    <t>https://magyarnemzet.hu/belfold/2024/12/itt-az-uj-kozvelemeny-kutatas-a-fidesz-kdnp-tovabb-novelte-elonyet</t>
  </si>
  <si>
    <t>https://tarsadalomkutato.hu/tovabb-nott-a-fidesz-elonye/</t>
  </si>
  <si>
    <t>https://liner.hu/magyar-tarsadalomkutato-fidesz-elonye-tisza-part-orban-viktor-magyar-peter/</t>
  </si>
  <si>
    <t>https://www.szeretlekmagyarorszag.hu/hirek/15-szazalekkal-vezet-a-fidesz-a-biztos-szavazok-koreben-a-kormanykozeli-kutatointezet-szerint/</t>
  </si>
  <si>
    <t>"a 18. életévét már betöltött lakosságot reprezentáló mintán továbbra is 12 százalékos a Fidesz előnye", miként novemberben is</t>
  </si>
  <si>
    <t>VP: https://www.facebook.com/valasztasi.kalauz/videos/8609582479150323</t>
  </si>
  <si>
    <t>VP: https://www.facebook.com/valasztasi.kalauz/posts/pfbid0iezQMtwMqymV8cU5CH1Lwxx7xw5VcLvbYGnu7SrAb8uSmaeXaLVSm5ck9Mrqxe7Al</t>
  </si>
  <si>
    <t>VP: https://www.facebook.com/valasztasi.kalauz/posts/pfbid0eQHUc4zUfDgMXXzBT1pNmGUNXDbUmT4jdW24qtzzzHTfFKuNKLMd4JHz2cLnidUKl</t>
  </si>
  <si>
    <t>VP: https://www.facebook.com/valasztasi.kalauz/posts/pfbid035NQhgzEmZwtShanWUQoebRQx6VaJaP8rq6qL6Xv5H9imRfhi4oyG66mrSUVwX6gql  Az "egyéb pártba" könyveltem el 1% Szocialisták és Demokratákat.</t>
  </si>
  <si>
    <t>VP: https://www.facebook.com/valasztasi.kalauz/posts/pfbid0GiWdQi4znb71XqhgKpTWybJ6MUog77rjfvjhvA49terNwoMjNp1AdRqFkr9aHY7Hl</t>
  </si>
  <si>
    <t xml:space="preserve">VP: https://www.facebook.com/valasztasi.kalauz/posts/pfbid0SgmMSJvRe4PwNPwmhA3F9c56TuNt6ZUshHjzaL8bvD8WpUb6hjZWkuBRxx9AwtSfl és https://www.facebook.com/valasztasi.kalauz/posts/pfbid02WNB7KrtCwoS4FLTumEGJiQj1xra8RSv2ddzhYaYLRkaZ9ac1JDeYicuPyjeji74Sl </t>
  </si>
  <si>
    <t>VP: https://www.facebook.com/valasztasi.kalauz/posts/pfbid02zQK9HatQNSYtf1KrzGHFJFA9Y1aperUtMKQgTb8oNKMvUXYLkg8f5JcTkQcAKJn4l</t>
  </si>
  <si>
    <t>VP: https://www.facebook.com/valasztasi.kalauz/posts/pfbid04tZdSzDfYDJWV4tgkZRV9EsuLoJQ2Q1wPnvwwBU8RFZJAk9qcKr9dE15PUF6UogKl</t>
  </si>
  <si>
    <t>https://nepszava.hu/3262987_magyarorszag-kozbeszed-politika-felmeres-menczer-tamas-magyar-peter-publicus-intezet</t>
  </si>
  <si>
    <t>https://telex.hu/belfold/2024/12/28/partpreferencia-publicus-2024-december-tisza-fidesz</t>
  </si>
  <si>
    <t>https://nezopont.hu/hu/tevekenysegeink/kozvelemeny-kutatasok/a-valasztok-nem-akarnak-elore-hozott-valasztast</t>
  </si>
  <si>
    <t>https://www.origo.hu/itthon/2025/01/nezopont-intezet-6</t>
  </si>
  <si>
    <t>https://magyarnemzet.hu/belfold/2025/01/kinos-teny-magyar-peter-szamara-a-valasztok-nagy-resze-nem-akar-elorehozott-valasztast</t>
  </si>
  <si>
    <t>VP:  https://www.facebook.com/valasztasi.kalauz/posts/pfbid05GCTzTvm2F3Tc2prqhfqeEVcfXNX61W3TopahH9vRpxDX5aySH1LwMiUgNMPtXoAl</t>
  </si>
  <si>
    <t>Opinio</t>
  </si>
  <si>
    <t xml:space="preserve">https://europion.hu/tolna2/ </t>
  </si>
  <si>
    <t>https://republikon.hu/elemzesek,-kutatasok/250112-ertekrend-kutatas.aspx</t>
  </si>
  <si>
    <t>https://21kutatokozpont.hu/wp-content/uploads/2021/11/21KK_repro_final.pdf</t>
  </si>
  <si>
    <t>"A 21 Kutatóközpont és a PATENT Egyesület közös projektje" a "Holland Nagykövetség pályázatának támogatásával"</t>
  </si>
  <si>
    <t>https://europion.hu/ugyfelkapu/</t>
  </si>
  <si>
    <t>VP: https://www.facebook.com/valasztasi.kalauz/posts/pfbid02iVwVnKRXap7vT7BiV75pfVf2hQzhF2pMSCz6h1T3teox3NieR6Qvm8XG4gmUqoWRl</t>
  </si>
  <si>
    <t>16+ évesekre alapozott minta, "A súlyozási eljárásban a válaszadók a 2024-es EP-választáson leadott szavazatát (pontosabban az erre való visszaemlékezést) is figyelembe vették." VP: https://www.facebook.com/valasztasi.kalauz/posts/pfbid02iVwVnKRXap7vT7BiV75pfVf2hQzhF2pMSCz6h1T3teox3NieR6Qvm8XG4gmUqoWRl</t>
  </si>
  <si>
    <t>VP:  https://www.facebook.com/valasztasi.kalauz/posts/pfbid02iVwVnKRXap7vT7BiV75pfVf2hQzhF2pMSCz6h1T3teox3NieR6Qvm8XG4gmUqoWRl</t>
  </si>
  <si>
    <t>https://www.facebook.com/ideaintezet/posts/pfbid0eBrPocBJFH9hDVJsgbcnaESmKt8qaWPvSobYCRNe5bFmyXKnVvRdq8rPAuZLSHvql</t>
  </si>
  <si>
    <t>https://republikon.hu/elemzesek,-kutatasok/250128_kvk_januar.aspx</t>
  </si>
  <si>
    <t>https://24.hu/belfold/2025/01/28/republikon-felmeres-partok-tisza-elony-fidesz-mi-hazank-dk/</t>
  </si>
  <si>
    <t>https://www.facebook.com/24ponthu/posts/pfbid0FsiV3sgmnRx2Juo1PXHYULsvvRP5KDCNF3aE45mziweNf1DyV22MjqqTzDrnHLoQl</t>
  </si>
  <si>
    <t>A részvételt 4-fokú skálán mérik, 60-20-5-10 a megoszlás (6% NT-NV).</t>
  </si>
  <si>
    <t>VP:  https://www.facebook.com/valasztasi.kalauz/posts/pfbid0iW4GAGfyY34p4qLHc9xqtpRw7SCYhubkqsiFq2dsNM3y2a2pD4rXLQBbh7nAWXaDl</t>
  </si>
  <si>
    <t>VP: https://www.facebook.com/valasztasi.kalauz/posts/pfbid0iW4GAGfyY34p4qLHc9xqtpRw7SCYhubkqsiFq2dsNM3y2a2pD4rXLQBbh7nAWXaDl</t>
  </si>
  <si>
    <t>https://www.facebook.com/republikon/posts/pfbid02PeeL3wNFGdUnNgMr37PXbqeBmhuV7k41sMEKuS6dc7BgowXYs4i1edMfWqzfiA5Yl</t>
  </si>
  <si>
    <t>VP a Nézőpont mandátumelemzéséról, benne linkekkel a "legvalószínűbb listás eredményt" elmagyarázó posztokhoz: https://kozvelemeny.org/2025/01/30/mikent-ne-becsuljunk-parlamenti-mandatummegoszlast-illusztracio-a-nezopont-becslesei-alapjan/</t>
  </si>
  <si>
    <t>https://publicus.hu/blog/partok-tamogatottsaga-2025-januar/</t>
  </si>
  <si>
    <t>https://nepszava.hu/3266956_publicus-felmeres-tisza-part-minden-kategoria-fidesz-felmeres</t>
  </si>
  <si>
    <t>VP: https://www.facebook.com/valasztasi.kalauz/posts/pfbid0vRU3ZqBLj1X2Smpn2aeTbbBsK4vidGn4dAqQ27Bt5VnA1ThQqwwEkbispeCXUMxgl</t>
  </si>
  <si>
    <t>https://tarsadalomkutato.hu/a-fidesz-nyeri-a-2026-os-valasztasokat-a-magyarok-szerint/</t>
  </si>
  <si>
    <t>https://nepszava.hu/3267546_publicus-intezet-majka-csurran-cseppen-videoklip-bindzsisztan-orban-kormany-felmeres</t>
  </si>
  <si>
    <t>https://nezopont.hu/hu/tevekenysegeink/kozvelemeny-kutatasok/brusszellel-szemben-a-nyugdijasok-mellett</t>
  </si>
  <si>
    <t xml:space="preserve">push-poll szöveggel a 13. havi nyugdíjról. Következtetés (fészbúk poszt): BRÜSSZELLEL SZEMBEN, A NYUGDÍJASOK MELLETT❗️VP: https://www.facebook.com/valasztasi.kalauz/posts/pfbid02p517GA5JeCgtE1YaRh4gzXpvjpP9zw5Y4t14iKtsMq1fLhWsoT6xSUvRoSH2Dx6hl
Még az Európai Unióból érkező javaslatokkal szemben is meg kell tartani a 13. havi nyugdíjat – derül ki a Nézőpont Intézet közvélemény-kutatásából. </t>
  </si>
  <si>
    <t>https://szazadveg.hu/cikkek/a-tarsadalmi-csoportok-helyzete-magyarorszagon-2019-2024/</t>
  </si>
  <si>
    <t>VP: https://www.facebook.com/valasztasi.kalauz/posts/pfbid02p517GA5JeCgtE1YaRh4gzXpvjpP9zw5Y4t14iKtsMq1fLhWsoT6xSUvRoSH2Dx6hl</t>
  </si>
  <si>
    <t>https://www.facebook.com/realpr93/posts/pfbid02SgvXFocpN99urKnsEQqo5xj64neTih5wzP9PVykzEzhM1sMtRiJDYtJWjJFXWZFDl</t>
  </si>
  <si>
    <t>https://magyarnemzet.hu/belfold/2025/02/most-is-szeretik-a-magyarok-a-rezsicsokkentest?fbclid=IwY2xjawIn00dleHRuA2FlbQIxMAABHRiQFV-8fhQUpvBWNaZ13T_9x8O0yeBtUgHXdcdMhdyZx3cj18vwL4R8jQ_aem_OdhK_ZaVUn2Cbgv_IuCzXA</t>
  </si>
  <si>
    <t>Saját finanszírozás, ld. https://voxpopuli.444.hu/2025/02/19/nema-kormanynak-tamogatoi-sem-ertik-a-szavat-europion-kozvelemeny-kutatas-mini-dubajrol alján.</t>
  </si>
  <si>
    <t>https://www.facebook.com/realpr93/posts/pfbid0gceDwxY81v49qP58SRXNfTNxA9TMZtF4JQCfE7q6E5f8K4DZStawBsKuS99ud7xdl</t>
  </si>
  <si>
    <t>VP: https://www.facebook.com/realpr93/posts/pfbid0gceDwxY81v49qP58SRXNfTNxA9TMZtF4JQCfE7q6E5f8K4DZStawBsKuS99ud7xdl</t>
  </si>
  <si>
    <t>https://nezopont.hu/hu/tevekenysegeink/kozvelemeny-kutatasok/a-magyar-valasztok-a-drogkereskedok-ellen</t>
  </si>
  <si>
    <t>https://republikon.hu/media/157755/A-felelem-bere.pdf</t>
  </si>
  <si>
    <t>https://www.facebook.com/ideaintezet/posts/pfbid02pyRmMnk8etEZRZXgV4VUSj1MfxNov9E39irBQKVD3VsiYhFdr5qM3ExRcJkT3Vstl</t>
  </si>
  <si>
    <t>https://www.facebook.com/republikon/posts/pfbid0VtUWimeg8biZvVqPS67cwQ9oA6i8SKx9eaM3WfQRsZ8Dq87YCuMKaisZFnR6cqUEl</t>
  </si>
  <si>
    <t>A részvételt 4-fokú skálán mérik, 60-21-8-6 a megoszlás (5% NT-NV).</t>
  </si>
  <si>
    <t>https://republikon.hu/elemzesek,-kutatasok/250301-kkv.aspx</t>
  </si>
  <si>
    <t>https://hvg.hu/itthon/20250301_republikon-intezet-februar-felmeres-tisza-part-fidesz</t>
  </si>
  <si>
    <t>https://24.hu/belfold/2025/03/01/republikon-kutatas-partprefrencia-tisza-fidesz/</t>
  </si>
  <si>
    <t>https://tarsadalomkutato.hu/a-magyar-felnottek-kozel-haromnegyede-tamogatja-a-ket-es-haromgyermekes-anyak-szja-mentesseget/</t>
  </si>
  <si>
    <t>VP: https://www.facebook.com/valasztasi.kalauz/posts/pfbid02AvWhgvYB3Aeck5cSGrNK5YfPQPbYf25Ea9mGDhaBneQ8c81swUt7Y4kjLP2CDjTsl</t>
  </si>
  <si>
    <t>https://publicus.hu/blog/mi-a-kormanyvaltast-akaro-szavazo-vagya/</t>
  </si>
  <si>
    <t>https://iranytuintezet.hu/kutatas/az-egyes-partok-szavazotaboranak-szociodemografiai-osszetetele-2024-25-tel/</t>
  </si>
  <si>
    <t>https://www.facebook.com/iranytuintezet/posts/pfbid02CsSFWUw8yRuN6jnEjNaQKQnxzSeYwhCUbddB5KJYczhfCe6usWJFswZfUW8diP97l</t>
  </si>
  <si>
    <t>https://nepszava.hu/3271088_felmeres-tisza-part-fidesz-partpreferencia-iranytu-intezet</t>
  </si>
  <si>
    <t>https://publicus.hu/blog/partok-tamogatottsaga-2025-marcius/</t>
  </si>
  <si>
    <t>https://nepszava.hu/3272208_publicus-tisza-part-fidesz-kozvelemenykutatas</t>
  </si>
  <si>
    <t>https://nezopont.hu/hu/tevekenysegeink/kozvelemeny-kutatasok/tetozott-a-tisza</t>
  </si>
  <si>
    <t>https://www.facebook.com/nezopontintezet/posts/pfbid02Hhg51MG3F51nYYq6DWpjg2ekWNAxMoSHw8W1kqzuKMVcMCfmeCPD8V9QTZGAUFzzl</t>
  </si>
  <si>
    <t>https://magyarnemzet.hu/belfold/2025/03/tisza-arad-fidesz-kozvelemeny-kutatas-nezopont</t>
  </si>
  <si>
    <t>https://hvg.hu/360/20250312_Median-Tisza-Part-Fidesz-part-preferenciak-nepszeruseg-felmeres</t>
  </si>
  <si>
    <t>https://hvg.hu/itthon/20250314_Nem-mindegy-ki-mondja-Median-Orban-Magyar-ebx</t>
  </si>
  <si>
    <t>https://hvg.hu/360/20250314_hvg-dacreakcio-a-homofob-uszitasra-pride-magyar-allaspont</t>
  </si>
  <si>
    <t>Érdekes "Duna-párti" adatok belőle: https://republikon.hu/elemzesek,-kutatasok/250318_feketen-feheren.aspx</t>
  </si>
  <si>
    <t>VP: https://www.facebook.com/valasztasi.kalauz/posts/pfbid035ed77y4PsmMxjkqPcnv9nQFKqjEg4fZckPitH2MUA4xeyFNUSPKr2g28kB67FEzbl</t>
  </si>
  <si>
    <t>VP: https://www.facebook.com/valasztasi.kalauz/posts/pfbid02ErmhKg1MoR119zpNiTjV1b1xwJozRmVcB3fRi675UMyTtuP1gBvf2D36EgQfUeJal</t>
  </si>
  <si>
    <t>VP: https://www.facebook.com/valasztasi.kalauz/posts/pfbid02HHm765jJVL7qCFKAbbUx3ogFS1YDSEbZpFLRq1pqo4CdkQU4QNK9uPCmcD4aJdmRl</t>
  </si>
  <si>
    <t>https://nezopont.hu/hu/tevekenysegeink/kozvelemeny-kutatasok/tovabbra-is-orban-viktor-a-legnepszerubb-politikus</t>
  </si>
  <si>
    <t>https://nezopont.hu/hu/tevekenysegeink/kozvelemeny-kutatasok/a-tisza-szavazoi-is-szigoritanak-magyar-peter-vagyonbevallasat</t>
  </si>
  <si>
    <t>https://24.hu/belfold/2025/03/28/tisza-fidesz-felmeres-zavecz-2025-marcius/</t>
  </si>
  <si>
    <t>https://telex.hu/belfold/2025/03/28/zavecz-kozvelemeny-kutatas-tisza-part-fidesz-dk-kutyapart-mi-hazank</t>
  </si>
  <si>
    <t>https://nezopont.hu/hu/tevekenysegeink/kozvelemeny-kutatasok/a-valasztok-tobb-mint-ketharmada-elutasitja-a-tisza-partiak-tamogatjak-ukrajna-eu-tagsagat</t>
  </si>
  <si>
    <t>Connect Europe Association</t>
  </si>
  <si>
    <t>A megrendelő https://connecteurope.eu/about/ nem pedig https://connecteurope.org</t>
  </si>
  <si>
    <t>Adatok.bázisa</t>
  </si>
  <si>
    <t>https://republikon.hu/elemzesek,-kutatasok/250407_ukran-eu-tagsag-kvk.aspx</t>
  </si>
  <si>
    <t>https://telex.hu/belfold/2025/04/09/republikon-intezet-marcius-felmeres-momentum-tisza-fidesz-partpreferenciak</t>
  </si>
  <si>
    <t>https://republikon.hu/elemzesek,-kutatasok/250409_kvk_marcius.aspx</t>
  </si>
  <si>
    <t>https://www.facebook.com/republikon/posts/pfbid02nRoFsFFAzmaThfZ88vr52n2RAEZ2STXVkkdaPVdMUvpPd1hc9rmiBt3e7pft4sBXl</t>
  </si>
  <si>
    <t>A részvételt 4-fokú skálán mérik, 64-13-8-10 a megoszlás (5   % NT-NV).</t>
  </si>
  <si>
    <t>https://24.hu/belfold/2025/04/10/21-kutatokozpont-tisza-part-fidesz-kozvelemeny-kutatas/</t>
  </si>
  <si>
    <t>https://www.facebook.com/21kutatokozpont/posts/pfbid02nwwWxRC54m6Dyagh5d6d3CCbaeWjPskBoq44So9WZd9b5cCVEafFw1pjBMfFhBotl</t>
  </si>
  <si>
    <t>https://telex.hu/belfold/2025/04/10/21-kutatokozpont-tisza-fidesz-szavazok</t>
  </si>
  <si>
    <t>https://telex.hu/belfold/2025/04/11/magyar-peter-nepszeruseg-orban-viktor-preferencia-kutatas-21-kutatokozpont</t>
  </si>
  <si>
    <t>https://www.portfolio.hu/gazdasag/20250415/nagy-a-baj-az-arcsokkenessel-nem-erzik-a-magyarok-755181</t>
  </si>
  <si>
    <t>https://nezopont.hu/hu/tevekenysegeink/kozvelemeny-kutatasok/ketharmad-a-tisza-part-politikusa-ellen</t>
  </si>
  <si>
    <t>https://magyarnemzet.hu/belfold/2025/04/ketharmad-a-tisza-part-politikusa-ellen</t>
  </si>
  <si>
    <t>https://www.facebook.com/nezopontintezet/posts/pfbid0gjDywLxYecLvBohGiwx5rcELU9pehNQsrsyrGaik3MPRJ7BqmAsMhAoX4R8mNZwXl</t>
  </si>
  <si>
    <t>VP: https://www.facebook.com/valasztasi.kalauz/posts/pfbid02XdX7KbYHVe2eEb3GYMXCGZfGpycJjJ4dR44CwY39n4ivdaN3UPgo6zwPpLoRcK9fl</t>
  </si>
  <si>
    <t>VP: https://www.facebook.com/valasztasi.kalauz/posts/pfbid027tGgmkaTq15RKaQBToU48bgZtNBqbK8bzbkzodAK9WiJsMCXMxwBCRyoSkdG1Lycl</t>
  </si>
  <si>
    <t>VP: https://www.facebook.com/valasztasi.kalauz/posts/pfbid0nGxUFAmVnSsbvLHHdE752RjUB7Wrq8LT6uXRY1c4DNXpsJMrQGiQPYDBwh5U5Kv1l</t>
  </si>
  <si>
    <t>https://archiv.nezopont.hu/hatastalan-a-partpreferenciakra-az-elovalasztas/</t>
  </si>
  <si>
    <t>https://archiv.nezopont.hu/marki-zay-nem-huz-felfele/</t>
  </si>
  <si>
    <t>https://archiv.nezopont.hu/a-fidesz-all-nyeresre-2021-vegen/</t>
  </si>
  <si>
    <t>https://archiv.nezopont.hu/marki-zay-nepszerutlenebb-a-baloldalnal/</t>
  </si>
  <si>
    <t xml:space="preserve">"Biztos" vagy "valószinű" résztvevők. Csak az ellenzéken belüli arányokat közölték először, aztán egy konferencia alapján idézte a sajtó Pillók Péter számait, végül megjelent a Századvég oldalán a teljes beszámoló. 2025-ben már csak ilyen oldalakon érhető el, mint https://hirado.hu/belfold/belpolitika/cikk/2021/10/15/a-valasztok-kozel-ketharmada-a-fidesz-kdnp-gyozelmere-szamit-2022-ben </t>
  </si>
  <si>
    <t>https://archiv.nezopont.hu/a-nezopont-intezet-valasztasok-elotti-utolso-nyilvanos-meresi-eredmenye/</t>
  </si>
  <si>
    <t>https://www.facebook.com/photo/?fbid=992994219581891&amp;set=a.508321001382551</t>
  </si>
  <si>
    <t>https://24.hu/belfold/2025/04/28/idea-intezet-ukrajna-eu-s-csatlakozas-kozvelemeny-kutatas/</t>
  </si>
  <si>
    <t>https://publicus.hu/blog/partok-tamogatottsaga-2025-aprilis/</t>
  </si>
  <si>
    <t>Publicus Omnibusz</t>
  </si>
  <si>
    <t>https://telex</t>
  </si>
  <si>
    <t>hu/belfold/2025/04/29/publicus-kozvelemeny-kutatas-partok-fidesz-magyar-peter</t>
  </si>
  <si>
    <t>VP: https://www.facebook.com/valasztasi.kalauz/posts/pfbid02kxQh1NjJEtBhqY9zGzjZLLV72mgrYVxhG1M6HfPQ4tJwq9qHX7ZkB7u4KomjBMrdl</t>
  </si>
  <si>
    <t>https://www.facebook.com/ideaintezet/posts/pfbid02Uzk9noEfDaoDww2Xn351sr9XhoC24V8nSHCQ32ud7pnMfhwduCXtc16N9xADeZJAl</t>
  </si>
  <si>
    <t>VP: https://www.facebook.com/valasztasi.kalauz/posts/pfbid02gV33iWWm3KHPjBsBnvrmethSELZtfVus9FxWXbKcc9N49BdnQd3vtMFY2gQAinnql</t>
  </si>
  <si>
    <t>VP: https://www.facebook.com/valasztasi.kalauz/posts/pfbid0vLpmVqYNxHAPLd7nivacr5GtHCSdLwiFw9Umv32QDJzrERCeTTb9f68v9u3bvD2Rl</t>
  </si>
  <si>
    <t>https://republikon.hu/elemzesek,-kutatasok/250505_kvk.aspx</t>
  </si>
  <si>
    <t>https://telex.hu/belfold/2025/05/06/republikon-intezet-aprilis-partpreferencia-meres-kozvelemeny-kutatas-tisza-part-39-fidesz-35</t>
  </si>
  <si>
    <t>VP: https://www.facebook.com/valasztasi.kalauz/posts/pfbid0m7oe1SNgYsvMupaNcCRRXSDejYdzr24MXJmoLwgMan8icBsCabid9etfHCHoxxVjl</t>
  </si>
  <si>
    <t>https://21kutatokozpont.hu/wp-content/uploads/2021/11/Gyor_04_30.pdf</t>
  </si>
  <si>
    <t>A Pintér Bence polgármestert támogató Tiszta Szívvel A Városért Egyesület</t>
  </si>
  <si>
    <t>http://www.ideaintezet.hu/hu/hirek-aktualis/120/a-kormanypartok-es-az-ellenzeki-partok-tamogatottsaga-is-csokkent-az-utobbi-idoszakban</t>
  </si>
  <si>
    <t>http://www.ideaintezet.hu/uploads/docs/38/pa--rtpreferencia_ideainte--zet_2024_a--prilis.pdf</t>
  </si>
  <si>
    <t>VP 2025: https://www.facebook.com/valasztasi.kalauz/posts/pfbid088hj1HMAPZoTiSmJtMnYdf77L88AUyWr77L3xHPVTptaDU3eMidJ8RrsyMcbF5Stl?notif_id=1747066971769318&amp;notif_t=feedback_reaction_generic&amp;ref=notif</t>
  </si>
  <si>
    <t>VP 2024: https://www.facebook.com/valasztasi.kalauz/posts/pfbid0jY56VqshbUhw5qBUQKotxkBs98nsptVWvDA39o5M3i9gdbL9fTtH1AkXP5UceSapl</t>
  </si>
  <si>
    <t>Tordai Bence</t>
  </si>
  <si>
    <t>https://telex.hu/belfold/2025/05/12/median-felmeres-tordai-bence-buda-valasztokerulet-orsi-gergely</t>
  </si>
  <si>
    <t>https://www.facebook.com/watch/live/?ref=watch_permalink&amp;v=2483264338685248</t>
  </si>
  <si>
    <t>BP 4 OEVK (a leendő, nem a mostani)</t>
  </si>
  <si>
    <t>VP: https://www.facebook.com/valasztasi.kalauz/posts/pfbid037SJ1JKaRi2UT4AHNZ9bGHtBcCu9UNXmT6BKKwS1rykh5oXB9mGBWf4eg7AK8Gijql</t>
  </si>
  <si>
    <t>https://median.hu/2025/05/14/jo-a-hangulat-budan/</t>
  </si>
  <si>
    <t>A Párbeszéd és a 2RK 1-1 százalékára a Medián posztjában jelent meg.</t>
  </si>
  <si>
    <t>Policy Solutions</t>
  </si>
  <si>
    <t>https://telex.hu/belfold/2025/05/22/felmeres-az-orban-rendszer-15-eves-teljesitmenyerol</t>
  </si>
  <si>
    <t>VP:  https://www.facebook.com/valasztasi.kalauz/posts/pfbid02maMFpw2ffQ1sx5UG2uif1S9h3k711izaXsjQWn3FDQewndHrteLGm4EhXZBaoNqfl   Az "egyéb pártba" könyveltem el 2% Szocialisták és Demokratákat.</t>
  </si>
  <si>
    <t>VP: https://www.facebook.com/valasztasi.kalauz/posts/pfbid0EMrnCZhT9oB5xAkqY8H3DkRdjWp47UKXDsJVPC5U3jsGDaQviGh5cmhaPxFM1pk4l.   És.   https://www.facebook.com/valasztasi.kalauz/posts/pfbid02vQKyHWWKYCHkuwdzr2TBWhvgFajkRajt9fC5VWCWxqx9H3UQPFq7YYTVWANea55zl</t>
  </si>
  <si>
    <t>VP: https://www.facebook.com/valasztasi.kalauz/posts/pfbid02vQKyHWWKYCHkuwdzr2TBWhvgFajkRajt9fC5VWCWxqx9H3UQPFq7YYTVWANea55zl</t>
  </si>
  <si>
    <t xml:space="preserve">https://www.origo.hu/itthon/2019/09/erdos-gergely-a-baloldal-fegyvertelen-az-eredmenyes-kormanyparti-polgarmesterekkel-szemben </t>
  </si>
  <si>
    <t>https://ujpestihirek.hu/index.php/helyi-temak/egy-friss-felmeres-szerint-ujpesten-nincs-eselyes-ellenzeki-jelolt</t>
  </si>
  <si>
    <t>https://www.origo.hu/itthon/2019/09/szazadveg-elemzes-4</t>
  </si>
  <si>
    <t xml:space="preserve">https://archiv.nezopont.hu/tarlos-istvan-elonyet-merik-a-kutatointezetek/ </t>
  </si>
  <si>
    <t>https://publicus.hu/blog/publicus-ep-kutatasa-az-egyik-legpontosabb-2024-ben/</t>
  </si>
  <si>
    <t>https://publicus.hu/blog/partok-tamogatottsaga-2025-majus/</t>
  </si>
  <si>
    <t>https://nepszava.hu/3280793_felmeres-partok-nepszeruseg-tisza-part-fidesz</t>
  </si>
  <si>
    <t>PUBLICUS weboldala "A Publicus Intézet közel 20 éve Magyarország egyik meghatározó piac-, és közvéleménykutató cége. Legpontosabb eredményeket mérte többek között a 2024-es főpolgármester-választáson, és EP választáson, a 2019-es főpolgármester-választáson, vagy a 2016-os „kvótanépszavazás” esetén. További eredményeinkről ide kattintva tájékozódhat."</t>
  </si>
  <si>
    <t>NÉPSZAVA: "Az összes megkérdezett 85 százaléka állította, hogy ha most vasárnap lennének az országgyűlési választások, biztosan elmenne szavazni, további 4 százalék valószínűleg részt venne a szavazáson. 6 százalék biztosan, további 2 százalék pedig valószínűleg távol maradna az urnáktól. A kormánypárt híveinek 93 százaléka biztosan, 5 százaléka pedig valószínűleg elmenne szavazni, de ennél is lelkesebbek az ellenzéki szavazók: 97 százalékuk biztosra, további 2 százalék pedig valószínűre mondta a részvételét."</t>
  </si>
  <si>
    <t>https://www.facebook.com/partizanpolitika/posts/pfbid02P3SJ9xWiFwjiMRwTSDZfVfnBe6JzzD2J8TgvrRMrQ5uszeL9QQpCeVq7BaB32zkJl</t>
  </si>
  <si>
    <t>https://www.youtube.com/watch?v=C5lC7GOalHA</t>
  </si>
  <si>
    <t>Médiafórum</t>
  </si>
  <si>
    <t>VP: https://www.facebook.com/valasztasi.kalauz/posts/pfbid02wA8ChturNa8g8CzgyEtg4DXv3wyZN4UV55oCkAEyfZRKeWRq975mqs3xdq9gmY23l</t>
  </si>
  <si>
    <t>https://telex.hu/belfold/2025/05/29/21-kutatokozpont-partizan-felmeres-atlathatosagi</t>
  </si>
  <si>
    <t>Az itt megjelenő pártpreferencia adatok pusztán a Vox Populi becslési a Partizánban megjelentek alapján: https://www.facebook.com/valasztasi.kalauz/posts/pfbid02wA8ChturNa8g8CzgyEtg4DXv3wyZN4UV55oCkAEyfZRKeWRq975mqs3xdq9gmY23l</t>
  </si>
  <si>
    <t>https://publicus.hu/blog/tobbseg-szerint-van-buntetojogi-felelossege-matolcsynak-az-mnb-alapitvanyok-ugyeben/</t>
  </si>
  <si>
    <t>https://publicus.hu/blog/ketharmadot-zavarja-a-ner-luxus-eletvitele/</t>
  </si>
  <si>
    <t>https://www.facebook.com/ideaintezet/posts/pfbid02G9QCNpZMUmtAWEEGFEGtsTvsJ2PGQvgJAZLqxyCr5zGhLVbxDuUkKfYV8VaPWHCkl</t>
  </si>
  <si>
    <t>https://24.hu/belfold/2025/05/30/idea-intezet-felmeres-tisza-elony/</t>
  </si>
  <si>
    <t>VP: https://www.facebook.com/valasztasi.kalauz/posts/pfbid0WWg9WsN83uQgXrZmbNzKQPP4NgSopg9dKrQPMdQrcmQFc6fXff2RdzFeT1vbJSesl</t>
  </si>
  <si>
    <t>VP: https://www.facebook.com/valasztasi.kalauz/posts/pfbid048rtd8gFHna5KKmeYGwkBsLcS5M31NmYU8SzyoZk6EFKrjDMYWv2Zjyn4vyA4ARVl</t>
  </si>
  <si>
    <t>Iránytú PDF utolsó oldala közli a biztos szavazók megoszlását</t>
  </si>
  <si>
    <t>"Egyéb pártok 0 százalékot kaptak, míg a megkérdezettek 10 százaléka azt mondta, nem mennének szavazni. Azok, akik nem tudják vagy nem válaszoltak, 12 százaléknyian voltak."</t>
  </si>
  <si>
    <t>https://hang.hu/belfold/21-kutatokozpont-zugloban-ketszer-annyian-szavaznanak-a-tiszara-mint-a-fideszre-176967</t>
  </si>
  <si>
    <t>https://republikon.hu/media/163159/Havi-kutatas_202505_Ri_HU.pdf</t>
  </si>
  <si>
    <t>A részvételt 4-fokú skálán mérik, 64-18-4-6 a megoszlás (8  % NT-NV).</t>
  </si>
  <si>
    <t>https://www.facebook.com/republikon/posts/pfbid02XupZWsiDGy7JnqwSeGaeZe7pQ6pd3nruwosPQj5zyd1rtaT26gog2ZHWzKZoPUyQl</t>
  </si>
  <si>
    <t>https://telex.hu/belfold/2025/06/05/republikon-intezet-kozvelemeny-kutatas-fidesz-kdnp-tisza-part-mi-hazank-mkkp-dk</t>
  </si>
  <si>
    <t>https://web.archive.org/web/20201203100433/https://iranytuintezet.hu/letoltes/?file=/shared/elemzesek/kutat%C3%A1s_2020%20okt%C3%B3ber.pdf</t>
  </si>
  <si>
    <t>Ez a számsor saját számításom a férfiakra és nőkre külön-külön megadott Iránytű adatsorok alapján, az általuk 2025 elején közölt 48:52 nemi arányokat feltételezve.</t>
  </si>
  <si>
    <t xml:space="preserve">Ez a számsor saját számításom a férfiakra és nőkre külön-külön megadott Iránytű adatsorok alapján, az általuk 2025 elején közölt 48:52 nemi arányokat feltételezve. (Az Iránytű posztja csak demográfiai alcsoportokra mutatta meg a választói preferenciák megoszlását.) A poszt az év első hat hónapjára közölt adatokat, ebből azért tudtam megsaccolni a második negyedév eredményeit, mert korábban már posztolták ugyanezeket a táblákat az első negyedévre, és a közlemények szerint nagyjából egyforma számú megkérdezett volt mindkét negyedévben. Az egyéb pártok a Nép Pártján és a Mindenki Magyarországa Néppárt. </t>
  </si>
  <si>
    <t>Ez a számsor saját számításom a férfiakra és nőkre külön-külön megadott Iránytű adatsorok alapján, az általuk 2025 elején közölt 48:52 nemi arányokat feltételezve. (Az Iránytű posztja csak demográfiai alcsoportokra mutatta meg a választói preferenciák megoszlását.) Az egyéb pártok a Nép Pártján és a Mindenki Magyarországa Néppárt. VP. https://www.facebook.com/valasztasi.kalauz/posts/pfbid02dxJaCDoVBEwNhPiJ6ZPMZXJCNqTq82LXUfmAwRPn5M4VVc3yi9GC4mTCjNxV6Da7l</t>
  </si>
  <si>
    <t>https://hvg.hu/360/20250618_A-Tisza-annyival-vezet-a-Fidesz-elott-amennyivel-Orbanek-vertek-2022-ben-Marki-Zay-hatos-fogatat</t>
  </si>
  <si>
    <t xml:space="preserve">https://nepszava.hu/3283995_median-nagyon-vezet-a-tisza-magyar-peterek-tobb-lelektaninak-minositheto-hatart-is-atleptek  </t>
  </si>
  <si>
    <t>A cég terepmunka gyakorlatára ld. https://index.hu/belfold/2019/09/13/szinapszis_magyar_tarsadalomkutato_intezet_amygdala/</t>
  </si>
  <si>
    <t>https://web.archive.org/web/20211027154410/https://szazadveg.hu/hu/2021/10/26/a-demokratikus-koalicio-eloretort-karacsony-gergely-tamogatottsaga-osszeomlott-budapesten~n2093</t>
  </si>
  <si>
    <t>eredetileg: https://nezopont.hu/marki-zay-nem-huz-felfele/</t>
  </si>
  <si>
    <t>"És ha mégsem lenne közös ellenzéki lista, akkor melyik pártéra szavazna?"</t>
  </si>
  <si>
    <t>A terepmunka utolsó napja márc 27, amit csak azért javítottam 26-ra, hogy ne mosódjon össze a márc 23-25-i telefonos (IVR?) kutatással.</t>
  </si>
  <si>
    <t>Az összes megkérdezett 8 százaléka úgy biztos vagy valószínű szavazó, hogy nem tudja-nem mondja meg, kire szavazna. A terepmunka utolsó napja márc 27, amit csak azért javítottam 26-ra, hogy ne mosódjon össze a márc 23-25-i telefonos (IVR?) kutatással.</t>
  </si>
  <si>
    <t>A terepmunka utolsó napja nov 17, amit csak azért javítottam 16-ra, hogy ne mosódjon össze a nov 9-11-i IVR kutatással. hvg.hu: "Az augusztusi felmérésben a kormánypártra a választókorúak 39 százaléka, az ellenzékre 37 százalék szavazott volna. Ahogy akkor, most is kiélezett a párharc, az eredmények ezúttal a hatpárti együttműködés felé billennek: az ellenzéki lista mögé 37 százalék sorakozik fel, a kormánypártit 34 százalék támogatja. Egyéb pártlistákat is említettek, összesen 2 százaléknyian, jellemzően a Mi Hazánkét és a Kétfarkú Kutya Pártét.   Závecz Tibor szerint egy ilyen verseny aktivizálja a választókat, a sokpárti preferenciakérdéshez képest kevesebb a bizonytalan, passzív és titkolózó – 32 helyett 27 százalék." 40% biztos szavazó pártválasztó.</t>
  </si>
  <si>
    <t xml:space="preserve">A terepmunka utolsó napja nov 17, amit csak azért javítottam 16-ra, hogy ne mosódjon össze a nov 9-11-i IVR kutatással. </t>
  </si>
  <si>
    <t>A terepmunka utolsó napja nov 17, amit csak azért javítottam 16-ra, hogy ne mosódjon össze a nov 9-11-i IVR kutatással.  hvg.hu: "A DK-sok 96, a momentumosok és a párbeszédesek 94-94 százaléka, az MSZP-sek 92, az LMP-sek 90 százaléka a közös listának is szavazója marad. A Jobbik híveinél ez arány valamivel kisebb, 81 százalék. A kieső, elbizonytalanodó szavazóit az ellenzék a bizonytalanoktól tudja pótolni. Mivel a Fidesz-KDNP listájának támogatói egy kicsivel aktívabbak, mint a közös ellenzéki listáé, ezért a biztos választók körében lényegében azonosak az eredmények: előbbi 49, utóbbi 50 százalékon áll."</t>
  </si>
  <si>
    <t>A Népszava cikk szerint a "biztos szavazók" aránya 73% (4-fokú skála, 2% nem tudom). Forrás 2 mutatja a táblázatot, amiből a tört számokat vettem, nyilvánvalóan súlyozott adatok.</t>
  </si>
  <si>
    <t>Az egyébből 0.2% Mi Hazánk, ld. Forrás 2</t>
  </si>
  <si>
    <t>https://archiv.nezopont.hu/valtozatlan-fidesz-elony/</t>
  </si>
  <si>
    <t>"A politikai kínálat és kereslet találkozásának hiányára utal az is, hogy a választópolgárok 48 százaléka menne el egy mostani szavazásra, s amikor a június 9-i EP és önkormányzati választási részvételükről érdeklődtek, már csak 42 százalék ígérte azt biztosra." Az egyéb pártból 1% SZOCDEM</t>
  </si>
  <si>
    <t>EM</t>
  </si>
  <si>
    <t>Azok aránya, akik válaszuk szerint nem egy konkrét pártra, hanem valamilyen ellenzéki összefogásra - mint az Együtt Magyarországért néven kampányoló hatpárti kzös lista 2022-ben - szavaznának. A részletekre ld. https://publicus.hu/blog/partok-tamogatottsaga-az-osszefogas-szavazo-szuletese-2020-szeptember/</t>
  </si>
  <si>
    <t>Az egyéb pártok 8%-a csak úgy jött ki, ogy 100 mínusz a közölt számok összege</t>
  </si>
  <si>
    <t>Az egyéb pártok 9%-a csak úgy jött ki, ogy 100 mínusz a közölt számok összege</t>
  </si>
  <si>
    <t>VP: https://www.facebook.com/valasztasi.kalauz/posts/pfbid0dC4M7jA9XHXuexQu9dqiiKRRn83j44jAZYz9MFZNgkWi7aFhJucamr3LdE4g4NFyl</t>
  </si>
  <si>
    <t>VP: https://www.facebook.com/valasztasi.kalauz/posts/pfbid0YoVLN5EPf4WeP4bPG3FA8jWScg9W1DVLBkKRHGiJXD9nDA6aMFYWWMQLK3iVHfG7l</t>
  </si>
  <si>
    <t>VP: https://www.facebook.com/valasztasi.kalauz/posts/pfbid0iMqgv3uVuBW4i1jzrFgygBorguiKYweqACEsLKyHcVahw2cKrrKvkHW7geGUDgTxl</t>
  </si>
  <si>
    <t>https://nezopont.hu/hu/tevekenysegeink/kozvelemeny-kutatasok/tovabbra-is-vezet-a-fidesz</t>
  </si>
  <si>
    <t>Még nem nyilvános az egyéb pártok és egyéb válasz aránya.</t>
  </si>
  <si>
    <t>A Népszava az online HVG előtt publikálta a számokat, valszeg a nyomtatott HVG jutott el hozzájuk szerda hajnalban</t>
  </si>
  <si>
    <t>https://www.atv.hu/belfold/20250628/zavecz-felmeres-tisza-part-fidesz/</t>
  </si>
  <si>
    <t>https://nezopont.hu/hu/tevekenysegeink/kozvelemeny-kutatasok/a-magyarok-egyetertenek-a-pride-korlatozasaval</t>
  </si>
  <si>
    <t>https://publicus.hu/blog/a-pride-megoszto-de-a-budapestiek-nagy-aranyban-tamogatjak-a-rendezvenyt/</t>
  </si>
  <si>
    <t>VP: https://www.facebook.com/valasztasi.kalauz/posts/pfbid0Q9nENRpMmJLEAbVZYrbBRaPRkvRLSJsaoivmgKCc9xaUB42armG1TouqsVSwd1Sml</t>
  </si>
  <si>
    <t>VP:  https://www.facebook.com/valasztasi.kalauz/posts/pfbid0Q9nENRpMmJLEAbVZYrbBRaPRkvRLSJsaoivmgKCc9xaUB42armG1TouqsVSwd1Sml</t>
  </si>
  <si>
    <t>VP: https://www.facebook.com/valasztasi.kalauz/posts/pfbid021t3PepGojdHMz1mWv7Np3jCMK5mfRjTaRhk7J7XSzxUPLkBsa87gajLcEbdZQrRCl</t>
  </si>
  <si>
    <t>https://24.hu/belfold/2025/06/30/21-kutatokozpont-tisza-part-fidesz-kozvelemeny-kutatas-2025-junius/</t>
  </si>
  <si>
    <t>Ez a számsor utólag jelent meg, a DK-nál kisebb pártokat egy 8%-os "egyéb pártba" vonták ott össze. Az átlagolás érdekében tizedesjegyre pontos becsléseket az összes megkérdezettre vonatkozó adatokból számoltam ki.</t>
  </si>
  <si>
    <t>Több országos minta budapesti megkérdezettjeire vonatkozik a számsor</t>
  </si>
  <si>
    <t>https://republikon.hu/elemzesek,-kutatasok/20250629_budapest-partpreferencia.aspx</t>
  </si>
  <si>
    <t>Közösségi gyűjtés</t>
  </si>
  <si>
    <t>https://24.hu/belfold/2025/06/30/zavecz-kutatas-hatalmas-a-tisza-elony-de-az-idoseknel-a-fidesz-vezet/</t>
  </si>
  <si>
    <t>https://publicus.hu/blog/partok-tamogatottsaga-2025-junius/</t>
  </si>
  <si>
    <t>https://nepszava.hu/3285632_publicus-vezet-a-tisza-a-magyaroknak-mar-a-ketharmada-elegedetlen-azzal-ahogyan-az-orszagban-mennek-a-dolgok</t>
  </si>
  <si>
    <t xml:space="preserve">VP:   </t>
  </si>
  <si>
    <t>VP: https://www.facebook.com/valasztasi.kalauz/posts/pfbid0KzeQ1QeBbtUQk46xw3w8joAaMn6f6WbyY8bhD9t1mAvg4r1Jh4dcZ65XfUicM2dyl</t>
  </si>
  <si>
    <t>https://nezopont.hu/hu/tevekenysegeink/kozvelemeny-kutatasok/a-videki-magyarorszagnak-koeszoenheti-elonyet-a-fidesz</t>
  </si>
  <si>
    <t>https://tarsadalomkutato.hu/ketparti-parlament-varhato/</t>
  </si>
  <si>
    <t>VP: https://www.facebook.com/valasztasi.kalauz/posts/pfbid02FUDQqMK6VkgcLfzLzbAkDy8ANkhYuTwTCBPuxpQitcuVx7ZTkXzo6dVLSu7YxSv6l</t>
  </si>
  <si>
    <t>További posztok: https://hvg.hu/360/20250626_Median-politikusok-alkalmassaga-Orban-Viktor-Magyar-Peter-Dobrev-Klara és https://hvg.hu/360/20250625_Median-Tisza-Part-ellenzeki-partok-kozvelemeny-kutatas és demográfia: https://hvg.hu/360/20250619_median-felmeres-tisza-fidesz-part-preferencia-nagyvarosok-falvak</t>
  </si>
  <si>
    <t>https://realpr93.hu/2025/07/09/a-fidesz-orzi-elso-helyet-csak-a-nagypartok-erosodtek/</t>
  </si>
  <si>
    <t>https://www.facebook.com/realpr93/posts/pfbid02PwShs8JsW1pwReipZkegggBHxVjqeSXtMGJFT9FGvSuYB7E3KKAkNE23nA9YUPmEl</t>
  </si>
  <si>
    <t>https://telex.hu/belfold/2025/07/10/21-kutatokozpont-felmeres-tisza-part-koalicios-kormanyzas-ellenzek</t>
  </si>
  <si>
    <t>https://hvg.hu/itthon/20250710_21-Kutatokozpont-Csak-a-valasztok-28-szazaleka-akarja-hogy-a-Fidesz-maradjon-kormanyon</t>
  </si>
  <si>
    <t>VP: https://www.facebook.com/valasztasi.kalauz/posts/pfbid0UcHbZSEJyAoE51mxLWBVWhjDTC9KcBnegQydPr4QihDL7Vekc47yyBdzbiVUmedTl</t>
  </si>
  <si>
    <t>A részvételt 4-fokú skálán mérik, 59-17-5-10 a megoszlás (9  % NT-NV).</t>
  </si>
  <si>
    <t>https://telex.hu/belfold/2025/07/11/republikon-kozvelemeny-kutatas-fidesz-kdnp-tisza-mi-hazank-mkkp-dk</t>
  </si>
  <si>
    <t>https://republikon.hu/elemzesek,-kutatasok/250711_kvk.aspx</t>
  </si>
  <si>
    <t>https://nepszava.hu/3286845_voks2025-felmeres-ukrajna-eu-csatlakozas-publicus</t>
  </si>
  <si>
    <t>VP: https://www.facebook.com/valasztasi.kalauz/posts/pfbid025QpSF3v3YS9dzHYiZpsFvnBcjD51xWtmvTxvN5T3wvXsuDFq5ah4S79fy3PUu3Y5l?__cft__[0]=AZVXXClE0NwyXiD62PuvQkNEBjsXeV7L_mmwUxEn8bkGUgBHKOFeBs231E5t7dzdoz8by9WMd8nYXCJSL5dSta5dw7iordYEqY47QTuqNkMDSfJjNbJxiJaN98h3B1RbHM9jmWnkKVkVV5UB0QiE1ZV5uC7hiKXOZUadi-8DSp0KsxCIPVliaFtt7JXKl8eTS14B9U-xnpPLqbpoDnBwDr5g&amp;__tn__=%2CO%2CP-R</t>
  </si>
  <si>
    <t>VP: https://www.facebook.com/valasztasi.kalauz/posts/pfbid02kQEQYTa9SzqxrY4gD4EUUygWhiZceLePZAxSUpTtdg7hPxs1PiXNbxxZrE1VbnjKl</t>
  </si>
  <si>
    <t>https://szazadveg.hu/cikkek/tovabbra-is-orban-viktort-tamogatjak-a-legtobben/</t>
  </si>
  <si>
    <t>https://web.archive.org/web/20220412161015/https://szazadveg.hu/hu/kozvelemeny-kutatasok</t>
  </si>
  <si>
    <t>Summa</t>
  </si>
  <si>
    <t>https://archiv.nezopont.hu/a-fidesz-nepszerusege-nott-a-radikalizalodo-ellenzeke-csokkent-a-valasztasok-ota/</t>
  </si>
  <si>
    <t>Az "egyéb válasz" arányára csak következtetni lehet</t>
  </si>
  <si>
    <t>Az "egyéb" párt aránya csak következtetés a biztos szavazó adatok alapján, mert a Nézőpont összevonta őket az egyéb válasszal, ld. https://hirado.hu/belfold/belpolitika/cikk/2018/12/04/erosodott-a-fidesz-tovabb-gyengult-a-jobbik</t>
  </si>
  <si>
    <t>http://www.ideaintezet.hu/hu/hirek-aktualis/13</t>
  </si>
  <si>
    <t>http://www.ideaintezet.hu/hu/hirek-aktualis/14</t>
  </si>
  <si>
    <t>http://www.ideaintezet.hu/hu/hirek-aktualis/12</t>
  </si>
  <si>
    <t>http://www.ideaintezet.hu/hu/hirek-aktualis/11</t>
  </si>
  <si>
    <t>Itt olvasható a közleményük a súlyozás újragondolásáról a 2018-as előrejelzési hibák nyomán: http://www.ideaintezet.hu/hu/hirek-aktualis/10</t>
  </si>
  <si>
    <t>https://archiv.nezopont.hu/a-fidesz-kdnp-nyerhet-majus-26-an-a-masodik-helyezett-kilete-kerdeses/</t>
  </si>
  <si>
    <t>https://archiv.nezopont.hu/a-fidesz-erezhetoen-erosodott/</t>
  </si>
  <si>
    <t>"Várható listás eredmény", alighanem példa arra, hogy néha a Fideszt emeli meg a Nézőpont imputlálása</t>
  </si>
  <si>
    <t>https://telex.hu/belfold/2021/02/19/fej-fej-mellett-a-fidesz-kdnp-es-az-ellenzek-a-zavecz-felmerese-szerint</t>
  </si>
  <si>
    <t>TISZA Párt</t>
  </si>
  <si>
    <t>Í</t>
  </si>
  <si>
    <t>https://publicus.hu/blog/csongrad-3-as-valasztokorzet-tobbseg-szerint-helyi-szinten-szukseg-volna-az-osszefogasra/</t>
  </si>
  <si>
    <t>VP:  https://www.facebook.com/valasztasi.kalauz/posts/pfbid0Eu2MCRvgey4eTaBMSskhhTcoT8yEiAy9jKA8mmfr1ejrJLCFxyb6uzHPboHg2NXFl</t>
  </si>
  <si>
    <t>https://publicus.hu/blog/a-tobbseg-szerint-nincs-szukseg-a-betelepulesi-torvenyre/</t>
  </si>
  <si>
    <t>https://realpr93.hu/2025/07/18/a-tisza-szavazoinak-tobbsege-is-elegedett-a-vihar-okozta-veszelyek-elharitasaval/</t>
  </si>
  <si>
    <t>https://www.facebook.com/realpr93/posts/pfbid01BDA8pp5TwG7aSoLpVqS4YVhBXx1a7X9PGtXjkdjaMQaCdSZYk2sX3US8CiK5Qm9l</t>
  </si>
  <si>
    <t>https://21kutatokozpont.hu/wp-content/uploads/2021/11/BP_06_EVK_2025jul.pdf</t>
  </si>
  <si>
    <t>Forrás Társadalomkutató Intézet</t>
  </si>
  <si>
    <t>https://szocialis.eu/Celegyenesben.pdf</t>
  </si>
  <si>
    <t>VP: https://www.facebook.com/valasztasi.kalauz/posts/pfbid0sa18kEd2TaFTK6VLMKVNVXxvQ1KQ6hGMMZ9NeJc1yBLNp9L4csPXo1hGACtYEvXjl és https://www.facebook.com/valasztasi.kalauz/posts/pfbid02XRLwtGJaYVuETnsJr2GGeoq5TbU4KyeKaePHL34tWiDMDUnyw8zPRdjjdds4v2ksl</t>
  </si>
  <si>
    <t>VP: https://www.facebook.com/valasztasi.kalauz/posts/pfbid02vR8N5St6intAqLstjwWPzL6p2qvpdQMrmPiL9RkmRZFhcwsJiqAPmWtg4xP7XVkRl</t>
  </si>
  <si>
    <t>Europion</t>
  </si>
  <si>
    <t>https://europion.hu/majka-kneecap-szolasszabadsag</t>
  </si>
  <si>
    <t>https://republikon.hu/elemzesek,-kutatasok/250730_masodlagos-partpreferencia.aspx</t>
  </si>
  <si>
    <t>https://republikon.hu/elemzesek,-kutatasok/250801_kvk.aspx</t>
  </si>
  <si>
    <t>A részvételt 4-fokú skálán mérik, 66-15-10-5 a megoszlás (4  % NT-NV).</t>
  </si>
  <si>
    <t>https://hvg.hu/itthon/20250801_Republikon-kutatas-felmeres-Tisza-Part-Fidesz-Magyar-Peter-Orban-Viktor-ebx</t>
  </si>
  <si>
    <t>https://telex.hu/belfold/2025/08/01/republikon-intezet-kozvelemeny-kutatas-partpreferencia-fidesz-kdnp-tisza-part-dk-mi-hazank-mkkp</t>
  </si>
  <si>
    <t>VP: https://www.facebook.com/valasztasi.kalauz/posts/530529921915134</t>
  </si>
  <si>
    <t>Zavaros adatokat közöl a "baloldali" szavazók pártok szerinti megoszlásáról is, ld. https://www.facebook.com/valasztasi.kalauz/posts/519910319643761</t>
  </si>
  <si>
    <t xml:space="preserve">VP: https://www.facebook.com/valasztasi.kalauz/posts/519910319643761  </t>
  </si>
  <si>
    <t>VP: https://www.facebook.com/valasztasi.kalauz/posts/532074528427340</t>
  </si>
  <si>
    <t>VP: https://www.facebook.com/valasztasi.kalauz/posts/531218131846313</t>
  </si>
  <si>
    <t>https://index.hu/belfold/2025/08/04/kozvelemeny-kutatas-orszaggyulesi-valasztasok-fidesz-kdnp-tisza-part-orban-viktor-felmeres-jasz-nagykun-szolnok-varmegye</t>
  </si>
  <si>
    <t>VP: https://www.facebook.com/valasztasi.kalauz/posts/pfbid02Rde2fnqtL7p7g3btzJJMcjnbktKLFmkT317McD3mtBYLVx5rnGK1wGjNJyhY3G53l   "a „nem mondja meg, nem menne el” csoport 4,8 százalékot, a „nem tudja, bizonytalan” réteg 7,1 százalékot tesz ki a kutatásban"</t>
  </si>
  <si>
    <t>VP: https://www.facebook.com/valasztasi.kalauz/posts/pfbid02VSTn8pZHL5RfsKWdbHcDrcuAnK7Y8HySecyZ4J6BRp7ftZqUAKsheZk5GBYBSUKRl  "... a „nem mondja meg, nem menne el” csoport 8,6 százalékot, a „nem tudja, bizonytalan” réteg 14,9 százalékot tesz ki a kutatásban"</t>
  </si>
  <si>
    <t>https://index.hu/belfold/2025/08/06/fidesz-kdnp-tisza-part-kozvelemeny-kutatas-felmeres-orban-viktor-pest-varmegye-orszaggyulesi-valasztasok</t>
  </si>
  <si>
    <t>https://index.hu/belfold/2025/08/07/kozvelemeny-kutatas-felmeres-orszaggyulesi-valasztasok-fidesz-kdnp-tisza-part-mi-hazank</t>
  </si>
  <si>
    <t>https://index.hu/belfold/2025/08/05/kozvelemeny-kutatas-orszaggyulesi-valasztasok-fidesz-kdnp-tisza-part-orban-viktor-felmeres-borsod-abauj-zemplen-varmegye</t>
  </si>
  <si>
    <t>VP: https://www.facebook.com/valasztasi.kalauz/posts/pfbid05AXanxLFjvM8wfh5w7fA9TMdKgbAAJJHk4iSd2G8AFu4Hck76jvkzuL1bMWnKbyDl  "... a „nem mondja meg, nem menne el” csoport 5,6 százalékot, a „nem tudja, bizonytalan” réteg 9,5 százalékot tesz ki a kutatásban"</t>
  </si>
  <si>
    <t>VP: https://www.facebook.com/valasztasi.kalauz/posts/pfbid0YMjuFtDRFnZFEeLaiybUyiDoADpwt7Zd89ybfrAwuPWRwyi3YFZ1ujUhdcSedqjpl  "...a „nem mondja meg, nem menne el” csoport 4,4 százalékot, a „nem tudja, bizonytalan” réteg 8,3 százalékot tesz ki a kutatásban"</t>
  </si>
  <si>
    <t>https://index.hu/belfold/2025/08/08/kozvelemeny-kutatas-felmeres-fidesz-kdnp-tisza-part-orszaggyulesi-valasztasok-szabolcs-szatmar-bereg-varmegye-zuglo</t>
  </si>
  <si>
    <t>VP: https://www.facebook.com/valasztasi.kalauz/posts/pfbid0215ehTP42WpkmhZt8eobkfbmFKbrMfKaYZZxC4bW2MVtZ1HuHF1ZmSwxsSCubo7ysl  "...a „nem mondja meg, nem menne el” csoport 5 százalékot, a „nem tudja, bizonytalan” réteg 11,9 százalékot tesz ki a kutatásban"</t>
  </si>
  <si>
    <t>VP: https://www.facebook.com/valasztasi.kalauz/posts/pfbid0F8o9cYw78wiSvHFgqL5KeSP4oiLGeoyJdNgy3cg4vRXxSRFcjapose1Bn5Q15ej5l "A kutatás szerint a Tisza egyelőre ismeretlen jelöltje 31,2 százalékot kapna, miközben Hadházy Ákos, a választókerület jelenlegi képviselője 29,1 százalékot. A kormánypárti Borbély Ádámot 26,4 százalékra mérték. A Mi Hazánk jelöltje 3,3 százalékra számíthatna. A más jelöltet támogatók és a válaszmegtagadók, bizonytalanok, rejtőzködők aránya 7,2 százalék." VP:   "...a „nem mondja meg, nem menne el” csoport 4,2 százalékot, a „nem tudja, bizonytalan” réteg 3,8 százalékot mutat a kutatásban"</t>
  </si>
  <si>
    <t>https://nepszava.hu/3290433_tisza-part-fidesz-tiz-szazalek-publicus-intezet-felmeres</t>
  </si>
  <si>
    <t>https://hvg.hu/itthon/20250811_publicus-tisza-part-fidesz-kozvelemeny-kutatas-ebx</t>
  </si>
  <si>
    <t>https://24.hu/belfold/2025/08/11/publicus-tisza-fidesz-32-24/</t>
  </si>
  <si>
    <t>https://publicus.hu/blog/partok-tamogatottsaga-2025-augusztus/</t>
  </si>
  <si>
    <t>A TISZA 46%-a sehogy se jön ki az előző sorból, plána nem, ha a Fidesz 36%-át is ki kell hozni a kerekítési hibák halmozódásával</t>
  </si>
  <si>
    <t>https://www.facebook.com/photo?fbid=1074752088072770&amp;set=a.508321001382551</t>
  </si>
  <si>
    <t>https://24.hu/belfold/2025/08/18/idea-intezet-partpreferencia-fidesz-tisza/</t>
  </si>
  <si>
    <t>https://telex.hu/belfold/2025/08/18/tisza-part-tamogatas-novekedes-fidesz-partpreferencia-idea-intezet</t>
  </si>
  <si>
    <t>VP: https://www.facebook.com/valasztasi.kalauz/posts/pfbid02xqFwaEKGXQFr63ghscoWDwyvqyFUnftKFjnwm3EnfwtJQ9ETZZChNCGs4eNQuHTbl</t>
  </si>
  <si>
    <t>VP: https://www.facebook.com/valasztasi.kalauz/posts/pfbid0GhZ8WZ9vrCeQ7jBjP1LgCyZcL2fdRAx6HY6uDgdz2CwSeRwPcTYQF6Zfb9fPdhXPl</t>
  </si>
  <si>
    <t>VP: https://www.facebook.com/valasztasi.kalauz/posts/pfbid02bgifrqFLAdyVdbbUbeb7FEPBXThTvj1jp8V4DVVxqm1wLg7Gwirm9CqrDuFTpRfJl</t>
  </si>
  <si>
    <t>VP: https://www.facebook.com/valasztasi.kalauz/posts/pfbid033TH2c4ZPDwpGi1CUkhfPQQSBF5S2WwVXF3yCUuuCAurAFwvaViRaqGzRbmz3Y48l</t>
  </si>
  <si>
    <t>Minerva</t>
  </si>
  <si>
    <t>Saját finanszírozás, cégreklámként és módszertani kísérletként.</t>
  </si>
  <si>
    <t>https://minervaintezet.hu/202507.html</t>
  </si>
  <si>
    <t>"20 százalék nem választott pártot, míg 12 százaléka a megkérdezetteknek biztosan nem menne el szavazni". Nem és kor szerint súlyozva</t>
  </si>
  <si>
    <t>https://archiv.nezopont.hu/a-fidesz-nyerte-a-kampanykezdest/</t>
  </si>
  <si>
    <t>"egy „közeljövőben” rendezendő parlamenti választáson a mostani állás szerint a szavazókorú népesség 55 százaléka, a valóban közelgő májusi EP-választáson pedig 51 százaléka menne el „biztosan” szavazni."</t>
  </si>
  <si>
    <t>https://www.ideaintezet.hu/hu/hirek-aktualis/16/indulo-ep-kampany-valtozatlan-eroviszonyokkal---2-es-fel-millioan-a-fidesz-taboraban</t>
  </si>
  <si>
    <t>https://demokrata.hu/magyarorszag/felmeres-igy-all-most-az-orban-viktor-marki-zay-csata-507827/?fbclid=IwY2xjawMW2uFleHRuA2FlbQIxMQABHthzNyCkJqOIMTt-I7cFmLzTDw9WUH-9Inp6ianRltfvD0rLuUjkfJ8vJpdL_aem_R2AUBbq0KFUZnfnVcdyVrw</t>
  </si>
  <si>
    <t>https://demokrata.hu/magyarorszag/felmeres-igy-all-most-az-orban-viktor-marki-zay-csata-507827/</t>
  </si>
  <si>
    <t>Az egyéb párt a "Normális Párt" 1-1-1%-kal, a MeMo és az IMA nullán.</t>
  </si>
  <si>
    <t>Az ábra szerint a kérdés így hangzott: "Az országos listát állító pártok közül Ön kire szavazna? - szavazólap -", amiben a szavazólap vicces egy telefonos kutatásnál. A válaszlehetőségek között "Baloldali pértok jelöltjére (DK-Jobbik-LMP-Momentum-MSZP-Párbeszéd)"</t>
  </si>
  <si>
    <t>"Részt venne-e egy most vasárnap megrendezendő országgyűlési választáson?" A szokásos négy kategóriával 65-23-6-3%, 1% nem tudom.</t>
  </si>
  <si>
    <t>"Tudjuk, hogy valójában nincs így, de ha az ellenzéki összefogás pártjai mégis önállóan indulnának, akkor Ön melyik pártra szavazna?" A cikk alján lehet klikkelgetni az ábrákat egy kis külön ablakban, ott jön fel ez is.</t>
  </si>
  <si>
    <t>"Ha a Fidesz-KDNP jelölttel szemben az ellenzéki pártok egy közös jelöltet inditanának, hogy legyőzzék a Fidesz-KDNP jelöltjét, akkor Ön kire szavazna?"</t>
  </si>
  <si>
    <t>"Ha valamiért az ellenzéki összefogás pártjai mégis önállóan indulnának, akkor Ön melyik pártra szavazna?"</t>
  </si>
  <si>
    <t>https://demokrata.hu/magyarorszag/felmeres-a-fidesz-erosodott-a-baloldal-es-marki-zay-csak-lefele-megy-488482/</t>
  </si>
  <si>
    <t>"Ha most vasárnap lennének az országgyűlési választások, akkor Ön melyik pártra szavazna?"</t>
  </si>
  <si>
    <t>https://demokrata.hu/kozvelemeny-kutatas/on-kit-valasztana-30-242516/</t>
  </si>
  <si>
    <t>Az egyéb párt valójában "egyik sem"</t>
  </si>
  <si>
    <t>"Ha most vasárnap országgyűlési választások lennének, és az ellenzéki összefogás pártjai önállóan indulnának, akkor Ön melyik pártra szavazna?"</t>
  </si>
  <si>
    <t>"Ha a Fidesz-KDNP-s jelölttel szemben az ellenzéki pártok egy közös jelöltet indítanának, hogy legyőzzék a Fidesz-KDNP jelöltjét, akkor Ön kire szavazna?" Válaszlehetőségek az ábra szerint: "Fidesz-KDNP jelöltre" és "Ellenzék közös jelöltjére", illetve NT/NV</t>
  </si>
  <si>
    <t>https://demokrata.hu/magyarorszag/felmeres-az-ellenkezoje-tortenik-mint-amiben-a-baloldalon-remenykedtek-476106/</t>
  </si>
  <si>
    <t>https://www.datawrapper.de/_/vg5ZF/</t>
  </si>
  <si>
    <t>https://www.facebook.com/ebenchmark.piacesvelemenykutato/posts/pfbid0YhWtFGce5bqgFMEMceEt4gyzFCwXFHose1JjyCs3exbkvv9oSiDv42dL7xHPfgf9l</t>
  </si>
  <si>
    <t>"Ha most vasárnap önkormányzati választások lennének, akkor Ön melyik pártra szavazna, hogy képviseljék Önt? "</t>
  </si>
  <si>
    <t>"Ha most vasárnap lennének az országgyűlési választások, Ön melyik pártra szavazna?"</t>
  </si>
  <si>
    <t>https://demokrata.hu/kozvelemeny-kutatas/212075-212075/</t>
  </si>
  <si>
    <t>2020. márc 5-i Demokrata cikk „február végi” teljes adatsorokat mutat (Momentum 19% a teljes népességben, de a 3% egyéb is igen szép!), és emelett egy ábrát, amiben (alighanem a megjelenés dátumával, és a Párbeszéd meg az egyéb pártok elhagyásával) havi idősort is mutat egészen vissza 2018 szept 5-ig: https://demokrata.hu/kozvelemeny-kutatas/212075-212075/ Ezeket már be is írtam a VP adatbázisba, de a feltüntetett dátumokat (vagy az eggyel későbbit) meg lehetne nézni a Wayback Machine-ban, hátha az eredeti posztokhoz is eljuttat pontosabb adatokkal</t>
  </si>
  <si>
    <t>https://demokrata.hu/kozvelemeny-kutatas/on-kit-valasztana-13-124852/</t>
  </si>
  <si>
    <t>Az adatfelvétel idejét nem árulja el, de az ábra május 2-t mutat, viszont május 1-én jelent meg az ábra.</t>
  </si>
  <si>
    <t>2020. márc 5-i Demokrata cikk mutat egy ábrát, amiben (alighanem a megjelenés dátumával, és a Párbeszéd meg az egyéb pártok elhagyásával) havi idősort is mutat egészen vissza 2018 márciusig: https://demokrata.hu/kozvelemeny-kutatas/on-kit-valasztana-13-124852/</t>
  </si>
  <si>
    <t>https://web.archive.org/web/20210921212718/https://demokrata.hu/cimke/partok-tamogatottsaga/</t>
  </si>
  <si>
    <t>További keresés kell</t>
  </si>
  <si>
    <t>https://demokrata.hu/kozvelemeny-kutatas/on-kit-valasztana-14-136332/</t>
  </si>
  <si>
    <t>https://demokrata.hu/kozvelemeny-kutatas/jo-kormanyparti-hajra-103623/</t>
  </si>
  <si>
    <t>https://demokrata.hu/kozvelemeny-kutatas/on-kit-valasztana-5-103135/</t>
  </si>
  <si>
    <t>https://web.archive.org/web/20180327132301/http://www.demokrata.hu/kutatas/kit-valasztana-4</t>
  </si>
  <si>
    <t>"Felmérésünk a hódmezővásárhelyi választás eredményének ismertetése előtt készült." Ugyanakkor az ábra "márciusra" teszi az időpontot, és feb. 27 dátum szerepel a cikk tetején.</t>
  </si>
  <si>
    <t>https://demokrata.hu/kozvelemeny-kutatas/on-kit-valasztana-3-102154/</t>
  </si>
  <si>
    <t>https://web.archive.org/web/20180307135811/http://www.demokrata.hu/kutatas/kit-valasztana-2</t>
  </si>
  <si>
    <t>https://www.facebook.com/ebenchmark.piacesvelemenykutato/posts/pfbid02KoKN43Ji4q18EugrW7k9mZ2SgEyHN7LvMQT9doiFnX77oR7EZJKetgMAdpWEF6iXl</t>
  </si>
  <si>
    <t>Főpolgármester-választási előrejelzés. Ld. https://www.datawrapper.de/_/U7JTc/</t>
  </si>
  <si>
    <t>"Ha most vasárnap országgyűlési választások lennének, és az ellenzéki összefogás pártjai önállóan indulnának, akkor Ön melyik pártra szavazna?"  A lap alján "Ez az e-benchmark második olyan közvélemény-kutatása, amelyre a Magyar Demokrata adott megbízást. A múlt havi felmérés itt található. " (a link már nem működik, de ide mutat: )</t>
  </si>
  <si>
    <t>https://demokrata.hu/magyarorszag/nott-orban-viktor-nepszerusege-gyengult-a-jobbik-es-jakab-peter-420617/</t>
  </si>
  <si>
    <t>https://demokrata.hu/magyarorszag/uj-felmeres-jol-zarul-az-ev-a-kormanypartiaknak-gondok-a-baloldalon-464259/</t>
  </si>
  <si>
    <t>https://demokrata.hu/magyarorszag/friss-kutatas-kerdeseket-vet-fel-az-elovalasztasi-szinjatek-eredmenye-439269/</t>
  </si>
  <si>
    <t>https://demokrata.hu/magyarorszag/gyengult-az-ellenzek-kevesebben-akarnak-kormanyvaltast-428488/</t>
  </si>
  <si>
    <t>"Elkészült az e-benchmark első olyan közvélemény-kutatása, amelyre a Magyar Demokrata adott megbízást. A felmérést ezentúl minden hónapban megismételjük." "Ha most vasárnap országgyűlési választások lennének, és az ellenzéki összefogás pártjai önállóan indulnának, akkor Ön melyik pártra szavazna?"</t>
  </si>
  <si>
    <t>"Elkészült az e-benchmark első olyan közvélemény-kutatása, amelyre a Magyar Demokrata adott megbízást. A felmérést ezentúl minden hónapban megismételjük." "Ha a Fidesz-KDNP-s jelölttel szemben az ellenzéki pártok egy közös jelöltet indítanának, hogy legyőzzék a Fidesz-KDNP jelöltjét, akkor Ön kire szavazna?" Válaszlehetőségek az ábra szerint: "Fidesz-KDNP jelöltre" és "Ellenzék közös jelöltjére", illetve NT/NV</t>
  </si>
  <si>
    <t>https://web.archive.org/web/20220120173557/https://demokrata.hu/magyarorszag/felmeres-orban-viktor-a-legnepszerubb-fej-fej-mellett-a-ket-nagy-tabor-409569/</t>
  </si>
  <si>
    <t>Egy április 2-i keltezésű cikkben jöttek az ápr. 3-i adatok</t>
  </si>
  <si>
    <t>https://demokrata.hu/kozvelemeny-kutatas/on-kit-valasztana-2019-aprilis-116557/</t>
  </si>
  <si>
    <t>https://demokrata.hu/kozvelemeny-kutatas/on-kit-valasztana-2019-februar-113561/</t>
  </si>
  <si>
    <t>https://web.archive.org/web/20190205135651/http://www.demokrata.hu/kutatas/kit-valasztana-2019-februar</t>
  </si>
  <si>
    <t>Egy feb. 5-i cikk számolt be először a "feb. 6"-ra datált adatokról. A Demokrata oldalán 2025-ben már nem látható a teljes számsorokat mutató ábra, de a Wayback Machine-ben elérhető a főoldalon keresztül egy változat, amin ott van.</t>
  </si>
  <si>
    <t>https://demokrata.hu/kozvelemeny-kutatas/on-kit-valasztana-2019-marcius-114793/</t>
  </si>
  <si>
    <t>https://web.archive.org/web/20190313030043/http://demokrata.hu/kutatas/kit-valasztana-2019-marcius</t>
  </si>
  <si>
    <t>A Demokrata oldalán 2025-ben már nem látható a teljes számsorokat mutató ábra, de a Wayback Machine-ben elérhető a főoldalon keresztül egy változat, amin ott van.</t>
  </si>
  <si>
    <t>2018. március eleji Demokrata cikk mutat egy ábrát, amiben (az egyéb pártok elhagyásával) havi idősort is mutat egészen vissza 2016 novemberig: https://demokrata.hu/kozvelemeny-kutatas/on-kit-valasztana-3-102154/</t>
  </si>
  <si>
    <t>Tűvé tettem érte a Wayback Machinet, de nem találpk  ilyen posztot a Demokratán. 2018. márc végi Demokrata cikk mutatja az adatokat (alighanem a megjelenés dátumával, és az egyéb pártok elhagyásával) hosszú idősor keretében, https://web.archive.org/web/20180327132301/http://www.demokrata.hu/kutatas/kit-valasztana-4</t>
  </si>
  <si>
    <t>https://nezopont.hu/hu/tevekenysegeink/kozvelemeny-kutatasok/a-fidesz-nyerte-a-nyarat</t>
  </si>
  <si>
    <t>VP: https://www.facebook.com/valasztasi.kalauz/posts/pfbid02JJVnTrrHNVNBuuvTfTVfWG7HzYoKXBwDj8c8YsXa36ug4eoVugPcM9iGzVoJJb95l</t>
  </si>
  <si>
    <t>https://telex.hu/belfold/2025/08/27/nezopont-kutatointezet-fidesz-tisza-felmeres-nyar</t>
  </si>
  <si>
    <t>https://www.facebook.com/nezopontintezet/posts/pfbid02MVHEAmrxB2WV6s2CbCSCh7G5h5faPTU7EXNAER8PHnvs8aEhZByxjg5JxoHygFTSl</t>
  </si>
  <si>
    <t>A kutatási beszámoló a terepmunka állitólagos harmadik napján reggel 8:28-kor jelent meg a cég weboldalán.</t>
  </si>
  <si>
    <t>https://hvg.hu/itthon/20250719_Tisza-Magyar-Peter-belso-meres-holtverseny-Tisza-Fidesz-Bekes-partpreferencia-kutatas-ebx</t>
  </si>
  <si>
    <t>https://republikon.hu/elemzesek,-kutatasok/250901_kvkaug.aspx</t>
  </si>
  <si>
    <t>https://24.hu/belfold/2025/09/01/republikon-kutatas-fidesz-tisza-part/</t>
  </si>
  <si>
    <t>https://telex.hu/belfold/2025/09/01/republikon-partpreferencia-kozvelemeny-kutatas-augusztus</t>
  </si>
  <si>
    <t>elírás</t>
  </si>
  <si>
    <t>A posztból úgy tűnik, hogy ezt  egy közvélemény-kutatói konferencián adta elő a a Publicus. Nem világos, hogy mi a köze ennek a számsornak a sajtóban publikálthoz, és hogy biztos szavazó pártválasztókra vagy valami másra vonatkozik a számsor. 2025. szept. 2-án megkérdeztem róla Pulai Andrást FB messengeren, azt válaszolta, hogy a Publicus blogon megjelent számsor mutatja a mérésüket, a Nézőpont oldaláért nem érzi magát felelősnek, és ebben a videóban elmagyarázta, hogy miként találáták el a választási eredményt: https://web.archive.org/web/20250000000000*/https://www.atv.hu/videok/video-20190529-ep-valasztas-a-fidesz-abszolut-gyozelme-mellett-atrendezodes-az-ellenzekben Ld. https://www.youtube.com/watch?v=_MH5RgM_eYY</t>
  </si>
  <si>
    <t>https://24.hu/belfold/2025/09/03/21-kutatokozpont-felmeres-2025-augusztus-fidesz-tisza-partpreferencia/?fbclid=IwY2xjawMliHRleHRuA2FlbQIxMABicmlkETFad0VwRlpWTUdlTThCdlFiAR7PYKr3xiDSXrkki48hrRQea6XTL4XTe7ILgsw1VMhUjo1c9RZoBWkO3RER7g_aem_iQlRyhYQ0Z6wsh-yYpaQbA</t>
  </si>
  <si>
    <t>VP: https://www.facebook.com/valasztasi.kalauz/posts/pfbid0yBFL9BotivRb8fWi4ztLtrbKkdghuvncsEb3H6LTMUAs7hC3GEubuT9udGLuA5QEl</t>
  </si>
  <si>
    <t>VP: https://www.facebook.com/valasztasi.kalauz/posts/pfbid026iy7x1P7DzDBK6S8TsFPpVSzwQrBm53dnsTPv7FFzP9eUiVjTn4K92MboXWnMidXl</t>
  </si>
  <si>
    <t>Vagy-vagy</t>
  </si>
  <si>
    <t>https://21kutatokozpont.hu/egyeni_listas.html</t>
  </si>
  <si>
    <t>https://telex.hu/belfold/2025/09/05/zavecz-partpreferencia</t>
  </si>
  <si>
    <t>https://index.hu/belfold/2025/09/05/zavecz-kozvelemeny-kutatas-fidesz-tisza-valasztas-dk-mi-hazank-kutyapart</t>
  </si>
  <si>
    <t>https://europion.hu/hatvanpuszta/</t>
  </si>
  <si>
    <t>https://hvg.hu/kkv/20250906_hatvanpuszta-megitelese-vagyonvisszaszerzes-felmeres-kozvelemeny-kutatas-europion-orban-csalad</t>
  </si>
  <si>
    <t>https://mfor.hu/cikkek/kozelet/hatvanpuszta-az-emberek-kozel-fele-torvenysertonek-tartja-a-birtok-mogott-allo-vagyonszerzest.html</t>
  </si>
  <si>
    <t>VP: https://www.facebook.com/valasztasi.kalauz/posts/pfbid02MqVRWo5mWpWmQq1Pm9t6BcW17FrfhiLx4RVNjuJN6wNQgyzcqUH5UzmqVWCQLUC5l</t>
  </si>
  <si>
    <t>VP: https://www.facebook.com/valasztasi.kalauz/posts/pfbid0JhmPzn6x95cQHsLaSfZ4S4zzTJ4WWkyHw9qSvYQqeaZCaFWqu8U44buA8nmx4nGCl</t>
  </si>
  <si>
    <t>https://europion.hu/harcosok-digitalis-polgarok</t>
  </si>
  <si>
    <t>https://archiv.nezopont.hu/fidesz-elony-elsosorban-az-aktivak-koreben/</t>
  </si>
  <si>
    <t>https://nepszava.hu/3292126_mellar-tamas-valasztas-2026-visszalepes-ellenzek-mszp-parbeszed-dk-tisza-part-interju</t>
  </si>
  <si>
    <t>https://hvg.hu/360/20250910_Median-A-Fidesz-kapaszkodik-de-a-Tisza-vezet-13-szazalekkal</t>
  </si>
  <si>
    <t>https://www.facebook.com/ideaintezet/posts/pfbid0n8QtrLjhMxSvPRv7zYALTaQRktyESD5a1Y2q2pnFdL2wCbfxuGv6FNvqBqLVZNmDl</t>
  </si>
  <si>
    <t>https://24.hu/belfold/2025/09/11/idea-kozvelemeny-kutatas-tisza-fidesz-48-39</t>
  </si>
  <si>
    <t>VP: https://www.facebook.com/valasztasi.kalauz/posts/pfbid029hrPHBXMEFhNPjqf14wPkgfWZUibjvDbtG1VAwb5GmV49ZN8TiLj8RC9r5pwEVw3l</t>
  </si>
  <si>
    <t>VP: https://www.facebook.com/valasztasi.kalauz/posts/pfbid02Lxi9gjL52ArvBgwzPDrtFW9yjq9TLjbwXXq5511rpVA8YLtJTdaRgscviagBbPwul</t>
  </si>
  <si>
    <t>VP:   https://www.facebook.com/valasztasi.kalauz/posts/pfbid0JXq7LWcxrkwzuWXjCBFpRtbQShDakZEGr1weMgfP1uNPtSFue9FCtHnqaLuGbXVKl</t>
  </si>
  <si>
    <t>VP: https://www.facebook.com/valasztasi.kalauz/posts/pfbid026zG9tjSZbFncxAciGLCrmroW6QxgobsMnexUMqpdGqattgU8TJS3FUNcJaR867ocl</t>
  </si>
  <si>
    <t>VP: https://www.facebook.com/valasztasi.kalauz/posts/pfbid02PpbkjM8dNpXoQctyp5HVFs2FYQUd5FsYcn46bNNW4L7NAiUeeWf7AxapCLmnHT61l</t>
  </si>
  <si>
    <t>https://www.nyugat.hu/cikk/kozvelemeny_kutatas_szombathely_kepviselojeloltek_publicus_2025_</t>
  </si>
  <si>
    <t>ass</t>
  </si>
  <si>
    <t>https://www.nyugat.hu/cikk/publicus_intezet_elorejelzes_valasztas_szombathely</t>
  </si>
  <si>
    <t>https://www.nyugat.hu/cikk/szombathely_kozvelemenykutatas_nemeny_balazsy_koczka</t>
  </si>
  <si>
    <t>Extra pontos polgármester-előrejelzés, Neményt 0,36%-kal túlbecsüli, a Fidesz jelöltjét 0,12-vel alul. A részvételt viszont 10 százalékkal felülbecsülte a biztos szavazók aránya.</t>
  </si>
  <si>
    <t>https://archiv.nezopont.hu/valtozatlan-eroviszonyok-a-kampanystartnal/</t>
  </si>
  <si>
    <t>https://web.archive.org/web/20190215011916/http://nezopontintezet.hu/analysis/valtozatlan-eroviszonyok-kampanystartnal/</t>
  </si>
  <si>
    <t>https://web.archive.org/web/20200712231949/https://nezopontintezet.hu/2018/03/28/valtozatlanul-vezet-a-fidesz-a-kampany-veghajrajaban/</t>
  </si>
  <si>
    <t>https://web.archive.org/web/20220315094648/https://nezopont.hu/valtozatlanul-vezet-a-fidesz-a-kampany-veghajrajaban/</t>
  </si>
  <si>
    <t>https://publicus.hu/blog/partok-tamogatottsaga-2025-szeptember/</t>
  </si>
  <si>
    <t>https://www.szabadeuropa.hu/a/ettol-valt-orban-viktor-nagyon-magabiztossa-53-ezer-embert-kerdezett-meg-a-fidesz/33530795.html</t>
  </si>
  <si>
    <t>https://magyarnemzet.hu/belfold/2025/09/a-tisza-szavazok-55-szazaleka-tamogatja-a-tobbkulcsos-adoemelest</t>
  </si>
  <si>
    <t>https://nezopont.hu/hu/tevekenysegeink/kozvelemeny-kutatasok/a-tisza-szavazok-55-szazaleka-tamogatja-a-tobbkulcsos-adoemelest</t>
  </si>
  <si>
    <t>VP: https://www.facebook.com/valasztasi.kalauz/posts/pfbid09yevSygn7L5EqopDksVnAffSw82tLdhCgDF4qaAgqrbho7mfBuRhVegoPKRB9TQkl és   https://www.facebook.com/valasztasi.kalauz/posts/pfbid0RG3QSzgiKSJYen74cKizm74jKW9ZLxxnDogaD4u5R7baRxiyVWrauMbH2btuVL2Vl</t>
  </si>
  <si>
    <t>"A Szabad Európa az elmúlt két hétben kormánypolitikusokkal, fideszes képviselőkkel, háttéremberekkel folytatott beszélgetéseket, hogy megtudjuk: hogyan fordul rá a Fidesz a 2026-os választási kampányra. Ezek során hallottunk több egymástól független forrásból is a már említett felmérésről. Egy kormányközeli intézet – majd két hónapos munkával – mind a 106 választókörzetben közvélemény-kutatást végzett 500 fős reprezentatív mintán, a megkérdezetteknek több kérdést is feltettek.     Ezek közül az egyik arra vonatkozott, hogy ha most vasárnap lennének a választások, egyéniben melyik párt jelöltjére szavazna az illető. Ez alapján forrásaink szerint az jött ki, hogy a 106 egyéni mandátumból 66-ot simán behúzna a Fidesz, további 12 pedig viszonylag könnyen elérhetőnek tűnik a párt számára. Ez alapján tette július 26-án Tusnádfürdőn Orbán Viktor az azóta már Kötcsén is elismételt kijelentését, miszerint a Fidesz 80 választókörzetben nyerne a választásokon. "   VP: https://www.facebook.com/valasztasi.kalauz/posts/pfbid0RG3QSzgiKSJYen74cKizm74jKW9ZLxxnDogaD4u5R7baRxiyVWrauMbH2btuVL2Vl</t>
  </si>
  <si>
    <t>VP: https://www.facebook.com/valasztasi.kalauz/posts/pfbid0RG3QSzgiKSJYen74cKizm74jKW9ZLxxnDogaD4u5R7baRxiyVWrauMbH2btuVL2Vl</t>
  </si>
  <si>
    <t>https://europion.hu/adotervek</t>
  </si>
  <si>
    <t>VP: https://www.facebook.com/valasztasi.kalauz/posts/pfbid02tDPCPjBEf1tDJg5Vo1QWwdoA35UTtoRbbtcVuYTeQUKFbeJGLGm6zvk69msumB5El</t>
  </si>
  <si>
    <t>https://24.hu/belfold/2025/09/19/idea-dk-tisza-part-kutatas</t>
  </si>
  <si>
    <t>https://idea.atlatszo.hu/2025/09/16/toresvonalak-a-tarsadalmi-gondolkodasban-a-szuletesrol-noi-es-magzati-jogokrol/?fbclid=IwY2xjawM6cIJleHRuA2FlbQIxMABicmlkETFjMm9OQU5yVjNjSHZWdk1PAR5O1GTakurmQ31Y77Zw5_M7yCbNzukxj6i4dGhlKDbCgU6tw6X24UwCrN-Eyg_aem_6ty3DdnU4TyB4yvAmROruA</t>
  </si>
  <si>
    <t>https://www.facebook.com/ideaintezet/posts/pfbid0DtJZVSh6CUaZ7Qn22ezKxdYgyzyhjL31Xo4QaBifirK8kwfR61eZYw9PiMEPGttpl</t>
  </si>
  <si>
    <t>https://nepszava.hu/3294957_sulyok-tamas-felmeres-megoszto-szemelyiseg-politika-magyarorszag-koztarsasagi-elnok-publicus-intezet</t>
  </si>
  <si>
    <t>https://realpr93.hu</t>
  </si>
  <si>
    <t>https://www.facebook.com/realpr93/posts/pfbid0Boqyh8rn3Y9fYiaYepJKL5GFi6tpLoTHBUmmvBxhDPiDEqvFcFNFLQgWw4aEtHz5l</t>
  </si>
  <si>
    <t>https://magyarnemzet.hu/belfold/2025/09/tisza-part-gyengules-fidesz-stabil-vezetes-kozvelemeny-kutatas</t>
  </si>
  <si>
    <t>https://index.hu/kulfold/2025/09/18/kozvelemenykutatas-valasztasok-felmeres-usa-magyarorszag-orban-viktor-magyar-peter-john-mclaughlin/</t>
  </si>
  <si>
    <t>https://index.hu/kulfold/2025/09/18/magyarorszag-john-mclaughlin-donald-trump-orban-viktor-magyar-peter-kozvelemeny-kutatas-fidesz-kdnp-tisza-part-interju/</t>
  </si>
  <si>
    <t>https://telex.hu/belfold/2025/09/19/trumpista-tanacsado-segiti-a-fidesz-kampanyat-ebben-az-index-lett-a-partnere</t>
  </si>
  <si>
    <t>Századvég/McLaughlin</t>
  </si>
  <si>
    <t>https://hvg.hu/360/20250917_hvg-median-miniszterelnoki-alkalmassag-orban-viktor-magyar-peter-dobrev-klara</t>
  </si>
  <si>
    <t>VP:   https://www.facebook.com/valasztasi.kalauz/posts/pfbid02FtW9dZkS4uQfeBwvPqt3am12zfQnSVaxxGuk3RuAr8QHTViVRaCwKLMC7NFCTbDFl   és  https://www.facebook.com/valasztasi.kalauz/posts/pfbid0RG3QSzgiKSJYen74cKizm74jKW9ZLxxnDogaD4u5R7baRxiyVWrauMbH2btuVL2Vl és  https://www.facebook.com/valasztasi.kalauz/posts/pfbid02fhns3CicZz5bbEzNDHnQGyR82cMRcxHGhsdB3XsYCJZfNyDjJqQZyX2L8bsziDKcl</t>
  </si>
  <si>
    <t>VP: https://www.facebook.com/valasztasi.kalauz/posts/pfbid02FtW9dZkS4uQfeBwvPqt3am12zfQnSVaxxGuk3RuAr8QHTViVRaCwKLMC7NFCTbDFl    A Magyar Nemzet szerint "A biztos szavazók azok a választópolgárok, akik egy most vasárnapi választáson részvételüket biztosra ígérnék, és akik egyértelműen megjelölték, melyik pártra szavaznának, vagy más válaszaik alapján besorolhatók egy adott párt szavazótáborába."</t>
  </si>
  <si>
    <t>https://publicus.hu/blog/alig-6-szazalek-venne-igenybe-az-otthon-start-programot/</t>
  </si>
  <si>
    <t>https://hvg.hu/itthon/20250926_Median-Hadhazy-Akos-zuglo-dananaj-tisza-fidesz-elovalasztas-ebx</t>
  </si>
  <si>
    <t>https://szazadveg.hu/cikkek/a-magyarok-ketharmada-elutasitja-a-tiszasok-tobbsege-tamogatja-az-orosz-energia-tiltasat/?fbclid=IwY2xjawNJ6zVleHRuA2FlbQIxMQBicmlkETFiYUxqaFFkSGJzaWlVU3FWAR4pvqEp3Fmlq1gqeUxf4wb3Nph5s-naYP_8UlhmUMWcv5s3sslUA8XUBfLeew_aem_z8O3Xrv2vpOiQ_97s9jgA</t>
  </si>
  <si>
    <t>https://nezopont.hu/hu/tevekenysegeink/kozvelemeny-kutatasok/a-magyarok-elutasitjak-ruszin-szendi-romulusz-fegyverviseleset</t>
  </si>
  <si>
    <t>https://europion.hu/kampanyuzemmod</t>
  </si>
  <si>
    <t>https://minervaintezet.hu/202509.html</t>
  </si>
  <si>
    <t>https://szazadveg.hu/hu/kutatasok/az-alapitvany-kutatasai/piackutatas-kozvelemeny-kutatas/a-fidesz-kdnp-a-2017-es-ev-nyertese</t>
  </si>
  <si>
    <t>https://web.archive.org/web/20180114020731/https://szazadveg.hu/hu/kutatasok/az-alapitvany-kutatasai/piackutatas-kozvelemeny-kutatas/a-fidesz-kdnp-a-2017-es-ev-nyertese</t>
  </si>
  <si>
    <t>https://web.archive.org/web/20180112043046/http://kozvelemenykutatok.hu/2017-decemberi-kutatasi-eredmenyek-republikon/</t>
  </si>
  <si>
    <t>web.archive.org/web/20180210021607/http://republikon.hu/media/38477/republikon_kutatas_prez_1712.pdf</t>
  </si>
  <si>
    <t>https://web.archive.org/web/20180210021607/http://republikon.hu/elemzesek,-kutatasok/180110-kvk.aspx</t>
  </si>
  <si>
    <t>Együtt-Párbeszéd arányát mutatja a forrás</t>
  </si>
  <si>
    <t>https://web.archive.org/web/20230329170512/https://kozvelemenykutatok.hu/2017-decemberi-kutatasi-eredmenyek-publicus/</t>
  </si>
  <si>
    <t>https://web.archive.org/web/20171222222010/http://www.publicus.hu/blog/partok_tamogatottsaga_es_egyes_politikusok_nepszerusege_2017_december/</t>
  </si>
  <si>
    <t>www.publicus.hu/blog/partok_tamogatottsaga_es_egyes_politikusok_nepszerusege_2017_december/</t>
  </si>
  <si>
    <t>https://web.archive.org/web/20200926025727/vasarnapihirek.hu/szerintem/kozosre_vagynak_stromanra_vadasznak</t>
  </si>
  <si>
    <t>http://www.publicus.hu/blog/partok_tamogatottsaga_es_szavazasi_hajlandosagok_2017_november/</t>
  </si>
  <si>
    <t>https://web.archive.org/web/20171221151642/http://www.publicus.hu/blog/partok_tamogatottsaga_es_szavazasi_hajlandosagok_2017_november/</t>
  </si>
  <si>
    <t>https://web.archive.org/web/20171107153640/http://kozvelemenykutatok.hu/2017-oktoberi-kutatasi-eredmenyek-publicus-2/</t>
  </si>
  <si>
    <t>https://publicus.hu/blog/partok_tamogatottsaga_es_szavazasi_hajlandosagok_2017_oktober/</t>
  </si>
  <si>
    <t>https://web.archive.org/web/20171201000000*/http://kozvelemenykutatok.hu/2017-oktoberi-kutatasi-eredmenyek-publicus-2/</t>
  </si>
  <si>
    <t>Homályos a forrásokban, hogy mennyi az egyéb párt</t>
  </si>
  <si>
    <t>https://hvg.hu/itthon/20171221_zavecz_tor_felfele_a_fidesz_gyengul_a_Jobbik</t>
  </si>
  <si>
    <t>https://republikon.hu/elemzesek,-kutatasok/171212_kvk.aspx</t>
  </si>
  <si>
    <t>https://republikon.hu/media/38470/republikon_kutatas_prez_1711.pdf</t>
  </si>
  <si>
    <t>https://24.hu/kozelet/2017/12/11/bezuhant-a-jobbik-megdontotte-sajat-rekordjat-a-fidesz/</t>
  </si>
  <si>
    <t>http://republikon.hu/elemzesek,-kutatasok/171102-kvk.aspx</t>
  </si>
  <si>
    <t>https://republikon.hu/media/38453/republikon_kutatas_prez_1710.pdf</t>
  </si>
  <si>
    <t>https://web.archive.org/web/20180114224915/http://republikon.hu/elemzesek,-kutatasok/171102-kvk.aspx</t>
  </si>
  <si>
    <t>https://web.archive.org/web/20171118222255/https://zoom.hu/2017/11/17/masfelszer-annyi-uj-kormanyvalto-van-mint-aki-orbant-marasztalna</t>
  </si>
  <si>
    <t>https://web.archive.org/web/20180406200502/https://index.hu/belfold/2018/valasztas/2018/04/06/65_koruli_reszvetelt_40_feletti_fideszt_mer_a_zri/</t>
  </si>
  <si>
    <t xml:space="preserve">Tól-ig formában adták meg a számokat, itt ezek középértékét mutatom. Pl. "A ZRI Závecz Research Intézet az elmúlt egy hétben végzett felmérésében a választópolgárok 59 százaléka jelezte, hogy biztosan részt vesz a vasárnapi parlamenti választáson. A korábbi választásokat közvetlenül megelőző mérések és valóságos részvételi arányok összevetéséből azt feltételezik, hogy
április 8-án 64-68 százalék közötti arányban mennek el az emberek voksolni."   Hozzátesi a cikk, a Závecz RI közleményét idézve: "nem tudjuk megbecsülni, hogy a Fidesznek lehet-e kétharmada, mert az egyéni választókerületek eredményei a koordináció, a visszalépések és az esélyes jelöltekre való szavazás miatt a szokásosnál jobban elválnak majd a listától, kevésbé becsülhetők a pártpreferenciák alapján" </t>
  </si>
  <si>
    <t>Az egyéb párt 1%-a csak az én feltételezésem, a források nem említik.</t>
  </si>
  <si>
    <t>A ZRI oldalon 33% Fidesz 8% MSZP jelent meg mert a KDNP-t és a P-t nem adták hozzá.  A "a választópolgárok 45 százaléka jelezte, hogy elmenne voksolni", mondja, utóbb meg "A pártok táborai
nem igazán jöttek még lendületbe, nagyjából hattizedük ígéri biztosra részvételét. Az LMP-sek 65, a DK-sok 63 százaléka aktív, a Jobbik és az MSZP híveinek 59 százaléka, míg a Fidesz támogatóinak 57 százaléka"</t>
  </si>
  <si>
    <t>https://web.archive.org/web/20241213205744/https://index.hu/belfold/2017/10/19/a_fidesz_nepszerusege_majdnem_megduplazodott_a_60_evnel_idosebbek_koreben/</t>
  </si>
  <si>
    <t>https://www.zaveczresearch.hu/nott-fidesz-tabora-kis-valtozasok-az-ellenzeki-oldalon/</t>
  </si>
  <si>
    <t>A tizedesjegyekre pontos érték a ZRI közlése (2024. novemberi XLSX file) alapján.</t>
  </si>
  <si>
    <t>https://archiv.nezopont.hu/nem-lesz-kormanyvaltas/</t>
  </si>
  <si>
    <t>Nagy Dániel már március 22-én is kb. ezt mondta el itt: https://www.facebook.com/events/357707174637335/?active_tab=discussion . A mandátumbecslés nincs szinkronban a várt szavazatarányokkal. Annak idején itt is megjelent a híradás: https://echotv.hu/hirek/2018/04/05/nezopont-intezet-nem-lesz-kormanyvaltas</t>
  </si>
  <si>
    <t>https://archiv.nezopont.hu/tovabb-nott-az-orban-viktor-ujrazasat-tamogatok-aranya-karacsony-es-szel-megelozte-vonat/</t>
  </si>
  <si>
    <t>https://archiv.nezopont.hu/valtozatlanul-vezet-a-fidesz-a-kampany-veghajrajaban/ ELŐTTE https://web.archive.org/web/20220315094648/https://nezopont.hu/valtozatlanul-vezet-a-fidesz-a-kampany-veghajrajaban/  EREDETILEG https://nezopontintezet.hu/2018/03/28/valtozatlanul-vezet-a-fidesz-a-kampany-veghajrajaban/</t>
  </si>
  <si>
    <t>A bizarrul különböző számsorokon kívül csak az jelzi, hogy imputációt alkalmaztak, hogy az ábra aláírása "a választási részvételüket biztosra igérők potenciális pártválasztása"-t emleget.</t>
  </si>
  <si>
    <t>https://archiv.nezopont.hu/hodmezovasarhely-utan-sem-valtozott-a-fidesz-tamogatottsaga/</t>
  </si>
  <si>
    <t>https://web.archive.org/web/20180329153057/http://nezopontintezet.hu/analysis/hodmezovasarhely-utan-sem-valtozott-fidesz-tamogatottsaga/</t>
  </si>
  <si>
    <t>https://archiv.nezopont.hu/meg-erosebb-fidesz-meg-gyengebb-jobbik/</t>
  </si>
  <si>
    <t>Magyar Idők</t>
  </si>
  <si>
    <t>https://archiv.nezopont.hu/csucsponton-a-fidesz-melyponton-a-jobbik/</t>
  </si>
  <si>
    <t>Az "egyéb párt" az MLP</t>
  </si>
  <si>
    <t>http://nezopontintezet.hu/analysis/csucsponton-fidesz/</t>
  </si>
  <si>
    <t>http://nezopontintezet.hu/analysis/2014-ota-eloszor-egyszamjegyu-jobbik-az-lmp-es-fidesz-tovabb-erosodott/</t>
  </si>
  <si>
    <t>https://archiv.nezopont.hu/2014-ota-eloszor-egyszamjegyu-a-jobbik-az-lmp-es-a-fidesz-tovabb-erosodott/</t>
  </si>
  <si>
    <t>http://nezopontintezet.hu/analysis/hibahataron-beluli-atrendezodes-jobbik-es-az-mszp-csokken-az-lmp-es-fidesz/</t>
  </si>
  <si>
    <t>https://mandiner.hu/belfold/2017/10/nezopont-nott-a-fidesz-es-az-lmp-csokkent-a-jobbik-es-az-mszp</t>
  </si>
  <si>
    <t>https://www.magyarhirlap.hu/belfold/Nezopont_Nott_a_Fidesz_es_az_LMP_tamogatottsaga</t>
  </si>
  <si>
    <t>Az "egyéb párt" felerészt az MLP</t>
  </si>
  <si>
    <t>http://kozvelemenykutatok.hu/2017-oktoberi-kutatasi-eredmenyek-szazadveg/</t>
  </si>
  <si>
    <t>https://hirado.hu/2017/10/17/szazadveg-bukas-lenne-a-kozos-ellenzeki-jeloltallitas/</t>
  </si>
  <si>
    <t>https://szazadveg.hu/hu/kutatasok/az-alapitvany-kutatasai/piackutatas-kozvelemeny-kutatas/tovabb-erosodott-a-fidesz-kdnp</t>
  </si>
  <si>
    <t>https://web.archive.org/web/20171210015603/https://szazadveg.hu/hu/kutatasok/az-alapitvany-kutatasai/piackutatas-kozvelemeny-kutatas/tovabb-erosodott-a-fidesz-kdnp</t>
  </si>
  <si>
    <t>https://web.archive.org/web/20171018163626/https://szazadveg.hu/hu/kutatasok/az-alapitvany-kutatasai/piackutatas-kozvelemeny-kutatas/bukas-lenne-a-kozos-ellenzeki-jeloltallitas</t>
  </si>
  <si>
    <t>"Mintavételünk 2018. február 12-18. között zajlott, az ország felnőtt népességét nemek, korcsoportok, legmagasabb iskolai végzettségek, települési jogállások és megyék tekintetében reprezentáló 8050 fős minta közösségi média alapú lekérdezésével. A mintavétel az előzőleg sorolt változók, illetve azok attribútumai szerint irányítottan zajlott, kutatásunk kizárólag a Facebook segítségével, big data módszerrel terjedt.
Magyarországon mintegy 5,5 millió Facebook-felhasználó él, ami a körülbelül 8,5 milliós 13 éves, vagy idősebb népesség 65%-a. Ezzel a Facebook-penetrációval hazánk az európai országok élbolyába tartozik. Fontos leszögeznünk, hogy a teljes választókorú népességre nem következtethetünk nagy bizonyossággal, erre a néhány nap múlva esedékes, megszokott, havi telefonos mérésünk lesz alkalmas."</t>
  </si>
  <si>
    <t>https://web.archive.org/web/20200409011007/http://iranytuintezet.hu/letoltes/?file=/shared/kutatasok/Hogy%20szavazn%C3%A1nak%20az%20akt%C3%ADv%20Facebook-felhaszn%C3%A1l%C3%B3k_2018.03.01..pdf</t>
  </si>
  <si>
    <t>https://www.atv.hu/belfold/20180212/friss-meres-tartjak-magukat-gyurcsanyek-az-mszp-a-kuszobon-tancol</t>
  </si>
  <si>
    <t>https://balrad.hu/tag/valasztas/page/3/</t>
  </si>
  <si>
    <t>https://web.archive.org/web/20231129125504/http://iranytuintezet.hu/elemzesek-kutatasok/mind/215-az-iranytu-intezet-2018.-januari-orszagos-kozvelemeny-kutatasa/</t>
  </si>
  <si>
    <t>https://web.archive.org/web/20231129125504/http://iranytuintezet.hu/elemzesek-kutatasok/mind/213-az-iranytu-intezet-2017.-decemberi-orszagos-kozvelemeny-kutatasa/</t>
  </si>
  <si>
    <t>https://magyarnemzet.hu/belfold-archivum/2018/01/egymassal-versenyezik-az-mszp-a-dk-es-az-lmp</t>
  </si>
  <si>
    <t>http://iranytuintezet.hu/elemzesek-kutatasok/mind/213-az-iranytu-intezet-2017.-decemberi-orszagos-kozvelemeny-kutatasa/  ÉS. https://web.archive.org/web/20250814173712/https://iranytuintezet.hu/kutatas/az-iranytu-intezet-2017-decemberi-orszagos-kozvelemeny-kutatasa/</t>
  </si>
  <si>
    <t>https://web.archive.org/web/20180412035636/https://mno.hu/belfold/iranytu-intezet-a-dk-es-az-lmp-is-beerte-az-mszp-t-2433521</t>
  </si>
  <si>
    <t>https://web.archive.org/web/20231129122056/https://iranytuintezet.hu/elemzesek-kutatasok/mind/211-az-iranytu-intezet-2017.-novemberi-orszagos-kozvelemeny-kutatasa/</t>
  </si>
  <si>
    <t>https://magyarnemzet.hu/belfold-archivum/2017/11/novelte-tamogatottsagat-oktoberben-a-fidesz ÉS https://web.archive.org/web/20241213202414/https://magyarnemzet.hu/belfold-archivum/2017/11/novelte-tamogatottsagat-oktoberben-a-fidesz</t>
  </si>
  <si>
    <t>https://web.archive.org/web/20231129120053/https://iranytuintezet.hu/elemzesek-kutatasok/mind/209-az-iranytu-intezet-2017.-oktoberi-orszagos-kozvelemeny-kutatasa/</t>
  </si>
  <si>
    <t>http://hvg.hu/itthon/201744_medianfelmeres_elony_afidesznel</t>
  </si>
  <si>
    <t>http://www.tarki.hu/hu/news/2017/kitekint/20171026_valasztas.html</t>
  </si>
  <si>
    <t>https://www.tarki.hu/partok-tamogatottsaganak-alakulasa-biztos-szavazo-partvalasztok-koreben</t>
  </si>
  <si>
    <t>https://www.tarki.hu/partok-tamogatottsaganak-alakulasa-partot-valasztok-koreben</t>
  </si>
  <si>
    <t>https://www.tarki.hu/partok-tamogatottsaganak-alakulasa-az-osszes-megkerdezett-koreben</t>
  </si>
  <si>
    <t>https://hvg.hu/itthon/201751__politikai_mozgasok_2017__medianfelmeres__novekvo_aktivitas__evvesztesek</t>
  </si>
  <si>
    <t>https://hvg.hu/itthon/201750_medianfelmeres_befagyva</t>
  </si>
  <si>
    <t>Adatfelvétel dátuma Hann Endre közlése alapján</t>
  </si>
  <si>
    <t>https://republikon.hu/elemzesek,-kutatasok/251005_kvk.aspx</t>
  </si>
  <si>
    <t>https://telex.hu/belfold/2025/10/06/republikon-kozvelemeny-kutatas-partpreferencia-szeptember</t>
  </si>
  <si>
    <t>https://republikon.hu/media/167012/Havi-elemzes_2509.pdf</t>
  </si>
  <si>
    <t>Részvétel: https://republikon.hu/media/167012/Havi-elemzes_2509.pdf</t>
  </si>
  <si>
    <t>A részvételt 4-fokú skálán mérik, 63-24-5-5 a megoszlás (3  % NT-NV).</t>
  </si>
  <si>
    <t>A részvételt 4-fokú skálán mérik, 68-19-7-4 a megoszlás (2 % NT-NV).</t>
  </si>
  <si>
    <t>Mindenki Pécsért Egyesület</t>
  </si>
  <si>
    <t>https://www.mindenkipecsert.hu/2025/09/28/kozhangulat-pecsen/</t>
  </si>
  <si>
    <t>https://docs.google.com/presentation/d/1AHGXqOcl4M3icT7SAKTTbizC5qOR-5TI/edit</t>
  </si>
  <si>
    <t>https://www.facebook.com/mindenkipecsert/posts/pfbid02EXzN6YtVMxucrdHjfWwACgbcdZZBo2GBACdVqULh6bvtUJ4a9JVxfPMJ1JhZypasl</t>
  </si>
  <si>
    <t>https://www.mecsekimuzli.com/median-felmeres-kozhangulat-mpe-magyar-peter-peterffy-mellar/</t>
  </si>
  <si>
    <t>https://www.origo.hu/belpol/2025/10/magyar-peter-tisza-felmeres-tarsadalomkutato-fidesz</t>
  </si>
  <si>
    <t>https://hirado.hu/belfold/cikk/2025/10/07/magyar-tarsadalomkutato-a-fidesz-tartja-elonyet-8-szazalekponttal-elozi-a-tiszat</t>
  </si>
  <si>
    <t>https://tarsadalomkutato.hu/a-fidesz-8-szazalekponttal-elozi-a-tiszat/</t>
  </si>
  <si>
    <t>VP: https://www.facebook.com/valasztasi.kalauz/posts/pfbid0EwufGdMVnaLZEtcAn4bAieyUiX34NGSA986dnibmHi86rKy9JZxeP6d8kq7cRQvfl</t>
  </si>
  <si>
    <t>VP: https://www.facebook.com/valasztasi.kalauz/posts/pfbid0D6LWeEabBRJ9Y4nzVvFmJu8wpWkvjo6XM3MHTUZ5wpxnhyhokx9WJhoSg1yLU5KDl</t>
  </si>
  <si>
    <t>VP: https://www.facebook.com/valasztasi.kalauz/posts/pfbid02QYDyF2iPJmokei5s5qChb3jMQSEZv7k229UfMsZ5SgfW273eFhB4bvDjz8exhXWFl</t>
  </si>
  <si>
    <t>VP: https://www.facebook.com/valasztasi.kalauz/posts/pfbid0kx4cKAwWGXvKs1tJgiGqWE3FjmtXPs2pY4gFBjgfjyQ57ctRmWiz1Zhji11H1cLAl</t>
  </si>
  <si>
    <t>VP kritizál egy kereszttáblát: https://www.facebook.com/valasztasi.kalauz/posts/pfbid02itu5ycEhbfm53aHAJnsmEiL8bSAQmyRE5BP5EcwF3YrV5JPbDPWFFY52sfqX7aAKl</t>
  </si>
  <si>
    <t>VP egy hibáról a posztban: https://www.facebook.com/valasztasi.kalauz/posts/pfbid0DhhTBCa8dsboJkf54peceshBEv1N2tvAiqEaTLKjrJpc41k9eU6S3iXVCjgqq2pBl</t>
  </si>
  <si>
    <t>https://www.xxiszazadintezet.hu/hajrara-fordulva-vezet-a-fidesz/</t>
  </si>
  <si>
    <t>https://24.hu/belfold/2025/10/13/21-kutatokozpont-2025-oktober-partpreferencia-tisza-fidesz/</t>
  </si>
  <si>
    <t>VP: https://www.facebook.com/valasztasi.kalauz/posts/pfbid0ZJP9WgEVV12Br1sqmxbgmpfxRP6tf8HoG71DUXWPzxDph5rwxLd7FtJbH4YxDUmBl</t>
  </si>
  <si>
    <t>VP: https://www.facebook.com/valasztasi.kalauz/posts/pfbid0eZBrvKhUZQEZWa8XLDi47yui11Zj52PQjnPqeX3gaGsi3Atxa3ugpVx2vUPapZJel</t>
  </si>
  <si>
    <t>https://nepszava.hu/3298105_tisza-part-fidesz-felmeres-publicus-intezet-valasztas2026</t>
  </si>
  <si>
    <t>https://publicus.hu/blog/partok-tamogatottsaga-2025-oktober/</t>
  </si>
  <si>
    <t>https://telex.hu/belfold/2025/10/16/publicus-intezet-kozvelemeny-kutatas-fidesz-tisza-part-dk-mi-hazank</t>
  </si>
  <si>
    <t>https://24.hu/belfold/2025/10/17/idea-intezet-oktober-eleje-tisza-elony-nott</t>
  </si>
  <si>
    <t>https://www.facebook.com/ideaintezet/posts/pfbid02RAGXMVp7uWJqUV1vBMVZSQNQerwFBamDN5LetnW16SewAY8u8zg9oRL2KRr3ar1Ll</t>
  </si>
  <si>
    <t>https://archiv.nezopont.hu/tapinthato-az-ellenzekvalto-hangulat/</t>
  </si>
  <si>
    <t>https://archiv.nezopont.hu/valsagallo-fidesz-elony/</t>
  </si>
  <si>
    <t>https://archiv.nezopont.hu/a-fidesz-es-a-baloldal-is-gyengult-nyaron/</t>
  </si>
  <si>
    <t>https://archiv.nezopont.hu/visszaerosodott-a-fidesz/</t>
  </si>
  <si>
    <t>VP: https://www.facebook.com/valasztasi.kalauz/posts/pfbid0HfxgqTmGryKXP9fgAyxhQ3GJdE13FQpRhu5p8HZaEZJ54XUPrBCZdZV7a13yc6mAl             Fura megjegyzés a módszertani leírásban: "A pártok hazai listás eredményének lehető legpontosabb megállapításához logisztikus regressziót alkalmazunk."</t>
  </si>
  <si>
    <t>Az "egyéb" párt nyilván a TISZA, amit az EP-re vonatkozó kérdés sorolt fel, de ez nem.</t>
  </si>
  <si>
    <t>A részvételt 4-fokú skálán mérik, 69-10-7-6 a megoszlás (8% NT-NV). Az egyéb párt 1%-a Szocialisták és Demokraták, a többi jelentős része nyilván "Magyar Péter pártja", amit csak az EP-re vonatkozó kérdésnél soroltak fel.</t>
  </si>
  <si>
    <t>A részvételt 4-fokú skálán mérik, 69-10-7-6 a megoszlás (8% NT-NV).  Az egyéb párt 1%-a Szocialisták és Demokraták</t>
  </si>
  <si>
    <t>VP: https://www.facebook.com/valasztasi.kalauz/posts/pfbid0mTMDAiMovhT2scqwXyQWRiAUfiD2kbCfGCzae1XoUE3Zp5q2vVSGfndEn7RDgjRpl Az egyéb párt 1%-a Szocialisták és Demokraták</t>
  </si>
  <si>
    <t>VP: https://www.facebook.com/valasztasi.kalauz/posts/pfbid0mTMDAiMovhT2scqwXyQWRiAUfiD2kbCfGCzae1XoUE3Zp5q2vVSGfndEn7RDgjRpl     Az egyéb párt 1%-a Szocialisták és Demokraták, a többi jelentős része nyilván "Magyar Péter pártja", amit csak az EP-re vonatkozó kérdésnél soroltak fel.</t>
  </si>
  <si>
    <t>"Az „egyéb” (a kérdőív szavazólapján nem szereplő kisebb, vagy még nem is létező) pártokra szavazók aránya a korábbiakban szokatlan módon, legalább 100-150 ezer fővel növekedett - teljes népesség körében és a biztos szavazók között is 3 százalékkal növekedett. "</t>
  </si>
  <si>
    <t>XXI. Század Intézet</t>
  </si>
  <si>
    <t>https://web.archive.org/web/20191211015242/https://nezopontintezet.hu/2019/12/10/a-fidesz-kdnp-az-osszefogott-ellenzekkel-szemben-is-vezet/</t>
  </si>
  <si>
    <t>https://web.archive.org/web/20191112133605/https://nezopontintezet.hu/2019/11/12/stagnal-a-fidesz-kdnp-elonye-az-onkormanyzati-valasztas-utan/</t>
  </si>
  <si>
    <t>Az "egyéb" választ meg az egyéb pártokat együtt adták meg (25%).</t>
  </si>
  <si>
    <t>https://alapjogokert.hu/anyagok/kutatasaink/stabilan-vezet-a-fidesz-kdnp-az-eros-kampanystart-utan</t>
  </si>
  <si>
    <t>https://magyarnemzet.hu/belfold/2025/10/legujabb-adatok-kozvelemeny-kutatas-alapjogokert-kozpont-fidesz-tisza</t>
  </si>
  <si>
    <t>https://realpr93.hu/2025/10/17/nott-a-fidesz-elonye-megtorpant-a-tisza-part</t>
  </si>
  <si>
    <t>https://mandiner.hu/belfold/2025/10/meg-egy-melyutes-magyar-peternek-nott-a-fidesz-elonye-megtorpant-a-tisza-part</t>
  </si>
  <si>
    <t>https://hirado.hu/belfold/cikk/2025/10/17/egy-ujabb-kozvelemeny-kutatas-bizonyitja-hogy-tovabb-nott-a-fidesz-elonye-a-tisza-part-pedig-megtorpant</t>
  </si>
  <si>
    <t>VP: https://www.facebook.com/valasztasi.kalauz/posts/pfbid0eZBrvKhUZQEZWa8XLDi47yui11Zj52PQjnPqeX3gaGsi3Atxa3ugpVx2vUPapZJel és https://www.facebook.com/valasztasi.kalauz/posts/pfbid02d4ot3ngJ4Tz6vguskdEe9XcU6PPFUhxtC6w11bXDjpveGE2pgMSMRoUQsgwwfnXNl</t>
  </si>
  <si>
    <t>VP: https://www.facebook.com/valasztasi.kalauz/posts/pfbid02RbigmYLpHtQcQi2He877HPtjMZ5nTKAXqYMLxQ81Gqui6HSTgTsYWpoTEEkhArCJl</t>
  </si>
  <si>
    <t>VP: https://www.facebook.com/valasztasi.kalauz/posts/pfbid025zx99yJitf1H6FABC1PD8zcXjo6bxHXAvF4aqkVz4CGkjzD9VoQg9Kw1yZRUP7hEl</t>
  </si>
  <si>
    <t>VP: https://www.facebook.com/valasztasi.kalauz/posts/pfbid02jKVjn5nw1wc2byvBK5ne7pZ1eJeeuG5k7Dth91Qs5Wvx4nPeqxSPuLRhJMaZ5yQ2l</t>
  </si>
  <si>
    <t>VP: https://www.facebook.com/valasztasi.kalauz/posts/pfbid0tmLjB8RYwCmYFpyhLcVXfjBt9U6nek6TAinEvc9ue47kDRPPNWeHy72bHFMhhBDl</t>
  </si>
  <si>
    <t>https://www.facebook.com/ideaintezet/posts/pfbid031sfxGjZR87ujuFHPA6NeB7DegHZaFsHD4fRhdQadp1i6adTKP65G23FY2nADzTP2l</t>
  </si>
  <si>
    <t>A részvételt 4-fokú skálán mérik, 62-21-7-8 a megoszlás (2 % NT-NV).</t>
  </si>
  <si>
    <t>https://republikon.hu/elemzesek,-kutatasok/251030_kvk-oktober.aspx</t>
  </si>
  <si>
    <t>https://republikon.hu/media/168055/Havi-elemzes_2510.pdf</t>
  </si>
  <si>
    <t>Az öt, jellemzően kormánypárti megrendelésre dolgozó  közvélemény-kutató együttműködése keretében (ld. https://www.facebook.com/alapjogokert/posts/4802202516478449) kezdett el választási közvélemény-kutatásokat publikálni néhány hónappal a 2022-es választás előtt.  A megjelent ábra "ellenzéki összefogás" megnevezéssel irja le az ellenzéki közös listát. A Real-PR 93 szakmailag és etikailag egy kutatásának elfogadhatatlan módszertanát részletesen bemutatta ez a cikk: https://magyarnarancs.hu/belpol/felvetel-keszult-a-kozvelemeny-kutatasnak-alcazott-befolyasolo-kampanyrol-somogyban-245659</t>
  </si>
  <si>
    <t>A poszt ismerősök vélt preferenciáját is összehasonlítja a szokvány pártprefencia-kérdés megoszlásával.</t>
  </si>
  <si>
    <t>A megjelent ábra "baloldali közös lista" megnevezéssel irja le az ellenzéki közös listát. A Real-PR 93 szakmailag és etikailag egy kutatásának elfogadhatatlan módszertanát részletesen bemutatta ez a cikk: https://magyarnarancs.hu/belpol/felvetel-keszult-a-kozvelemeny-kutatasnak-alcazott-befolyasolo-kampanyrol-somogyban-245659</t>
  </si>
  <si>
    <t>https://telex.hu/belfold/2025/11/04/zavecz-kozvelemeny-kutatas-preferencia-tisza-oktober</t>
  </si>
  <si>
    <t>"Amennyiben most vasárnap lennének a választások, Ön melyik pártra szavazna? (%)"</t>
  </si>
  <si>
    <t>https://jozsefvarosujsag.hu/javulo-keruleti-helyzet-csokkeno-kormanyparti-tamogatottsag-a-viii-keruletben</t>
  </si>
  <si>
    <t>Józsefvárosi Önkormányzat</t>
  </si>
  <si>
    <t>https://jelen.media/forras-kutatas-a-sajat-taboron-beluli-bizonytalanok-donthetik-el-a-valasztast</t>
  </si>
  <si>
    <t>VP: https://www.facebook.com/valasztasi.kalauz/posts/pfbid02VDdSMdKDw6qr4m9943SSBLBZVSaQatLPT58yF7MjuZwpXMoGsyVbyJCnoyBNkyH4l</t>
  </si>
  <si>
    <t>VP: https://www.facebook.com/valasztasi.kalauz/posts/pfbid02sY6YjrBsu43AKwuPgsvFKxorYCtwLUpEnXT2DfKQKeoJw5VUSYcqAm84cTDe94fml</t>
  </si>
  <si>
    <t>VP: https://www.facebook.com/valasztasi.kalauz/posts/pfbid02RPAg9ZHD1GBCA5js4xYstNn68GocJ8goGnVgqWwTJfrgFnS55Pd2vkpBpLMN27Lbl</t>
  </si>
  <si>
    <t>https://europion.hu/okt23/</t>
  </si>
  <si>
    <t>https://www.facebook.com/nezopontintezet/posts/pfbid02zcHkZ4yNrKs2suHJBCejzvxhRHpGEiHnBvsVWEvU1dd1jmozf1NDeFmxp8SXPgeXl</t>
  </si>
  <si>
    <t>VP: https://www.facebook.com/valasztasi.kalauz/posts/pfbid0m461DHXzxEAMfP1uhhjonhVVds2TmdAb8aEzGLuZUBCJeLoyYnNdpCPMwy9uGwssl</t>
  </si>
  <si>
    <t>https://europion.hu/tiszavilag</t>
  </si>
  <si>
    <t>VP: https://www.facebook.com/valasztasi.kalauz/posts/pfbid0Z5cuxXB9T36GVUBoB96h3zdoVuJihwYLqcdL4MhARUaPCY1EDoSE9AEeKBs2gdiFl</t>
  </si>
  <si>
    <t>VP: https://www.facebook.com/valasztasi.kalauz/posts/pfbid0MFZacba3GdSnbUbYYaU6qPAneEdSr3StQoQx9FwmoENWyfBX4TwDsiRvAcNK2jAMl</t>
  </si>
  <si>
    <t>BP 3 OEVK</t>
  </si>
  <si>
    <t>https://hvg.hu/itthon/20251112_tordai-bence-csaladi-haz-fidesz-kozvelemeny-kutatas</t>
  </si>
  <si>
    <t>https://szocialis.eu/Azuton.pdf</t>
  </si>
  <si>
    <t>https://www.facebook.com/szocdemint/posts/pfbid02yhYSQ7zdooznBvdJvmsYw729rnpm3C1FbxBtBg6GbuhhQpquxmCmYDvN7fR8y8bWl</t>
  </si>
  <si>
    <t>https://europion.hu/kormanyintezkedesek/</t>
  </si>
  <si>
    <t>https://www.facebook.com/ideaintezet/posts/pfbid0u5Kna4YWqzokZnYN9RV2BCmFnpYhtEDbuSfnD91NP66tf4oRSPZMwTrMqoUXy5sSl</t>
  </si>
  <si>
    <t>https://24.hu/belfold/2025/11/13/idea-intezet-fidesz-tisza-partpreferencia-kutatas/</t>
  </si>
  <si>
    <t>VP: https://www.facebook.com/valasztasi.kalauz/posts/pfbid02U33iZmBMxCACCf8bVDLGQHDkwHJZgWt8gaMGDhHfDEfYY5dk5KQqK4m4MjqXvcv2l</t>
  </si>
  <si>
    <t>https://nezopont.hu/hu/tevekenysegeink/kozvelemeny-kutatasok/sokkal-tobben-varjak-orban-gyozelmet</t>
  </si>
  <si>
    <t>https://realpr93.hu/2025/11/15/a-tiszasok-negyede-nem-szimpatizal-magyar-peterrel</t>
  </si>
  <si>
    <t>https://www.facebook.com/realpr93/posts/pfbid02Vi2aEfwdhoRdE6csj5C6z3PqaCMUhdGwZNxL85eeiuSib6nfBLBaeqqUnaraXNpul</t>
  </si>
  <si>
    <t>https://szazadveg.hu/cikkek/a-magyarok-nemet-mondanak-a-sorkatonasagra/</t>
  </si>
  <si>
    <t>https://www.facebook.com/Szazadveg/posts/pfbid0242jFVeywgomosZ564DuQk8cxmfAUPbVCcwLM2vhy4PYCp5uCQ9UaFW4T5ub7ZjpXl</t>
  </si>
  <si>
    <t>https://mandiner.hu/belfold/2025/11/egyertelmu-uzenet-a-magyarok-nemet-mondanak-a-sorkatonasagra</t>
  </si>
  <si>
    <t>https://republikon.hu/elemzesek,-kutatasok/251107_politikusok-nepszerusege.aspx</t>
  </si>
  <si>
    <t>https://www.facebook.com/republikon/posts/pfbid0aWQVujJRPWjv4KopNb9y4xV65udvVYT9nCmRkc8BSwKv6t1Y1QeQeVhDsC7iGRr4l</t>
  </si>
  <si>
    <t>https://tarsadalomkutato.hu/trump-hatas-8-rol-10-szazalekpontra-nott-a-fidesz-elonye</t>
  </si>
  <si>
    <t>VP: https://www.facebook.com/valasztasi.kalauz/posts/pfbid02Ppxz3SpmveVDAaHkDRp9JDC4oqwTLs54eRfyTXtNL14GPNyvfUDpdsuPU83X43R8l</t>
  </si>
  <si>
    <t>https://hirado.hu/belfold/cikk/2025/11/19/alapjogokert-kozpont-annyival-erosodott-a-fidesz-amennyivel-gyengult-a-tisza-part/?fbclid=IwY2xjawOK3TtleHRuA2FlbQIxMABicmlkETFvbmdyZ1FkY3ZseHpkaGVyc3J0YwZhcHBfaWQQMjIyMDM5MTc4ODIwMDg5MgABHlRtg3oEyR7Fvx3UyMqGEZyXYnv7KajfcxfqYtHZ-nZDySH9Ir5Z2mTCLTm9_aem_hsPIRTaA7Z4l7Yh5MozU3g</t>
  </si>
  <si>
    <t>https://alapjogokert.hu/anyagok/kutatasaink/orzi-vezeto-poziciojat-a-fidesz-kdnp-a-tortenelmi-jelentosegu-washingtoni-csucs-utan?fbclid=IwY2xjawOK3yBleHRuA2FlbQIxMABicmlkETFvbmdyZ1FkY3ZseHpkaGVyc3J0YwZhcHBfaWQQMjIyMDM5MTc4ODIwMDg5MgABHi7QnNRkFKedo4o_XPqnPI2BIONdxsCLVNcIDS161yOGPeR-835kXtLBglZm_aem_phkZDGTrQyRoZzEC0C-VAA</t>
  </si>
  <si>
    <t>https://www.xxiszazadintezet.hu/a-valasztok-ketharmada-jo-dolognak-tartja-hogy-sikerult-megvedeni-a-rezsicsokkentest/</t>
  </si>
  <si>
    <t>https://www.xxiszazadintezet.hu/a-magyarok-nagy-tobbsege-szerint-szigorubban-kellene-fellepni-az-internetes-alhirterjesztokkel-szemben/</t>
  </si>
  <si>
    <t>https://publicus.hu/blog/partok-tamogatottsaga-2025-november/</t>
  </si>
  <si>
    <t>https://nepszava.hu/3302210_felmeres-publicus-intezet-valasztas-2026-fidesz-tisza-part</t>
  </si>
  <si>
    <t>https://nepszava.hu/3302895_felmeres-21-kutatokozpont-karacsony-gergely-budapest-fidesz-valasztas2026</t>
  </si>
  <si>
    <t>https://telex.hu/belfold/2025/11/27/nepszava-21-kutatkozpont-karacsony-gergely-szavazas-fovaros</t>
  </si>
  <si>
    <t>https://minervaintezet.hu/202511.html</t>
  </si>
  <si>
    <t>Friedrich Naumann Stiftung</t>
  </si>
  <si>
    <t>https://21kutatokozpont.hu/wp-content/uploads/2</t>
  </si>
  <si>
    <t>https://nezopont.hu/hu/tevekenysegeink/kozvelemeny-kutatasok/negyszazezerrel-tobb-fidesz-szavazo</t>
  </si>
  <si>
    <t>https://hvg.hu/itthon/20251129_A-Nezopont-szerint-vezet-a-Fidesz-de-az-utobbi-honapokban-erosodott-a-Tisza</t>
  </si>
  <si>
    <t>https://index.hu/belfold/2025/11/29/nezopont-intezet-kozvelemeny-kutatas-tisza-part-fidesz-valasztas/</t>
  </si>
  <si>
    <t>Nézőpont/XXI. Század</t>
  </si>
  <si>
    <t>https://24.hu/belfold/2025/12/02/21-kutatokozpont-tisza-part-fidesz-kulonbseg-2025-november/</t>
  </si>
  <si>
    <t>https://444.hu/2025/12/02/jelentos-tisza-elonyt-de-zarkozo-fideszt-es-haromparti-parlamentet-mert-a-21-kutatokozpont</t>
  </si>
  <si>
    <t>https://hvg.hu/itthon/20251202_fidesz-tisza-kozvelemeny-kutatas-elte-szociologia-zavecz-ebx</t>
  </si>
  <si>
    <t>ELTE Társadalomtudományi Kutatóközpont Szociológiai Intézet</t>
  </si>
  <si>
    <t>https://444.hu/2025/12/02/az-osztogatasok-sem-segitik-a-fideszt-a-kormanypart-mar-csak-a-kisebb-telepuleseken-vezet-egy-nagy-kutatas-szerint</t>
  </si>
  <si>
    <t xml:space="preserve"> "Az adatfelvétel hibrid módszertannal, személyes (400) és online (600) lekérdezéssel készült egy összesen 1000 fős mintán, amely reprezentatív a magyar választókorú lakosság összetételére nem, korcsoport, legmagasabb iskolai végzettség és lakóhely tekintetében. A demográfiai jellemzőkön túl a tavalyi országgyűlési választáson leadott szavazatot és a válaszadók saját maguk által értékelt politikai érdeklődését is figyelembe vettük az adatfelvételt követő súlyozás során, így az eredmények a politikai érdeklődés és pártpreferencia tekintetében is leképezik a teljes választókorú népességet"</t>
  </si>
  <si>
    <t>A forrás URL elég különös és már rég nem azt a dokumentumot mutatja, mint ami alapján a számsort beírtam az adatbázisba.</t>
  </si>
  <si>
    <t>https://web.archive.org/web/20230926054850/https://21kutatokozpont.hu/wp-content/uploads/2021/11/eredmenyek_partpref.pdf</t>
  </si>
  <si>
    <t>Már nem nyilvános?</t>
  </si>
  <si>
    <t>A módiszertani információk nem jelentek meg a kutatásról, csak a 2023 februári kutatással való összehasonlításban lettek bemutatva az adatok, és a módszertan oszlopokba az akkori kutatás adatait írtam be jobb híján.</t>
  </si>
  <si>
    <t>https://www.xxiszazadintezet.hu/stabil-fidesz-elony-haromparti-parlament/</t>
  </si>
  <si>
    <t>"A súlyozott adatbázisból a politikailag aktívak bázisán vizsgáljuk a pártpreferencia adatait. Politikailag aktívaknak azokat nevezzük, akik arról nyilatkoztak, hogy biztosan részt vennének egy most vasárnap esedékes választáson. A biztos pártválasztókat egy halmazba soroljuk azokkal, akiknek politikai szimpátiája a politikai issuek-ra vonatkozó további kérdések alapján valószínűsíthető. Így áll elő az egyes pártokat támogató szavazó (pl. “Fidesz-szavazó”). A kutatás tehát az összes aktív, részvételében biztos választópolgár preferenciáját tartalmazza, direkt közlés vagy segédkérdések segítségével történő beazonosítás alapján a pártok valószínűsíthető országos listás eredményeire vonatkozóan."   VP: https://www.facebook.com/valasztasi.kalauz/posts/pfbid037mC7kXgQbWi8mGTdRYKL9L8TErovUgKcR6mJguRNwnmRpuXhLBwLWVCUrxN1hzx9l</t>
  </si>
  <si>
    <t>VP: https://www.facebook.com/valasztasi.kalauz/posts/pfbid037mC7kXgQbWi8mGTdRYKL9L8TErovUgKcR6mJguRNwnmRpuXhLBwLWVCUrxN1hzx9l</t>
  </si>
  <si>
    <t>https://republikon.hu/elemzesek,-kutatasok/251203-havi.aspx</t>
  </si>
  <si>
    <t>https://www.facebook.com/republikon/posts/pfbid0fmDktYqcwVTNuaGbnDzjW3xKuGSdtjvBV5YhFu3syoycnNC6dvaqurv2L7JDgiiZl</t>
  </si>
  <si>
    <t>https://hvg.hu/hetilap-print-cikk/20254905magyar2</t>
  </si>
  <si>
    <t>A részvételt 4-fokú skálán mérik, 62-25-4-5 a megoszlás (4% NT-NV).</t>
  </si>
  <si>
    <t>https://telex.hu/belfold/2025/12/04/zavecz-research-tisza-part-fidesz-felmeres</t>
  </si>
  <si>
    <t>https://24.hu/belfold/2025/12/04/zavecz-partok-tamogatottsaga-2025-november</t>
  </si>
  <si>
    <t>https://realpr93.hu/2025/12/05/stabil-fidesz-gyengulo-tisza-part</t>
  </si>
  <si>
    <t>https://index.hu/belfold/2025/12/05/kozvelemeny-kutatas-fidesz-tisza-part-real-pr-93-videk-fovaros-mi-hazank/</t>
  </si>
  <si>
    <t>https://21kutatokozpont.hu/szszb1_2025_december.html</t>
  </si>
  <si>
    <t>https://hvg.hu/itthon/20251206_magyar-peter-gajdos-laszlo-fidesz-nyiregyhaza-szabolcs-valasztokerulet-tisza</t>
  </si>
  <si>
    <t>https://444.hu/2025/12/06/a-tisza-altal-keszittetett-felmeres-szerint-a-biztos-szavazok-67-szazaleka-szavazna-gajdos-laszlora</t>
  </si>
  <si>
    <t>https://www.facebook.com/realpr93/posts/pfbid037R6kVR1NyPE1GMP4QKpZY5ZRmn863XxonMUadz7ahrx1UXth597jfvqnuYFCZ6dFl</t>
  </si>
  <si>
    <t>VP: https://www.facebook.com/valasztasi.kalauz/posts/pfbid0nB5m5aGdPr9Z6f3qdpKhudPGHuoRUzNVboXqv8TF6VCCoCKUTEP4YpVfakWV7qq5l</t>
  </si>
  <si>
    <t>VP: https://www.facebook.com/valasztasi.kalauz/posts/pfbid0ZJP9WgEVV12Br1sqmxbgmpfxRP6tf8HoG71DUXWPzxDph5rwxLd7FtJbH4YxDUmBl és https://www.facebook.com/valasztasi.kalauz/posts/pfbid0nB5m5aGdPr9Z6f3qdpKhudPGHuoRUzNVboXqv8TF6VCCoCKUTEP4YpVfakWV7qq5l</t>
  </si>
  <si>
    <t>VP: https://www.facebook.com/valasztasi.kalauz/posts/pfbid02Lxi9gjL52ArvBgwzPDrtFW9yjq9TLjbwXXq5511rpVA8YLtJTdaRgscviagBbPwul és https://www.facebook.com/valasztasi.kalauz/posts/pfbid0MPzEBuMQpWuD1NL3FXL5UsJc6kaNpWwumRwLwQmtVeLW1weUayVnob9GgGSGKZjSl</t>
  </si>
  <si>
    <t>VP: https://www.facebook.com/valasztasi.kalauz/posts/pfbid0355F3iXkqvFySKoGJFRPSRQ21XakZusF83BU9zw3ow4WAfKQrGBdd6Ktj2vQv8aH4l</t>
  </si>
  <si>
    <t>https://telex.hu/belfold/2025/11/04/policy-solutions-felmeres-a-tisza-es-a-fidesz-kormanyzokepessegerol-es-a-gazdasagi-varakozasokrol</t>
  </si>
  <si>
    <t>VP: https://www.facebook.com/valasztasi.kalauz/posts/pfbid02gFj25AV3AtQBzXShJy3gw4TshUgTyk9vpMQksiseHFjF4JC4UHRUKWERDNM2yvhZl</t>
  </si>
  <si>
    <t>https://www.policysolutions.hu/hu/hirek/667/gazdasagi_hangulat_kormanyzati_kompetencia_2025</t>
  </si>
  <si>
    <t>FES, Policy Solutions</t>
  </si>
  <si>
    <t>Közösségi gyűjtés + Telex</t>
  </si>
  <si>
    <t>https://telex.hu/belfold/2025/12/08/valasztasi-kutatas-21-kutatokozpont-telex-atszavazas</t>
  </si>
  <si>
    <t>https://index.hu/belfold/2025/12/08/orban-viktor-felmeres-magyar-peter-kutatas-kozvelemeny-kutatas-fidesz-tisza-part-valasztas/?token=f9792ed1823520d92eba086cc86665da</t>
  </si>
  <si>
    <t>https://hvg.hu/itthon/20251210_Political-Capital</t>
  </si>
  <si>
    <t>https://politicalcapital.hu/hireink.php</t>
  </si>
  <si>
    <t>https://telex.hu/belfold/2025/12/10/political-capital-kutatas-megosztottag</t>
  </si>
  <si>
    <t>1100??</t>
  </si>
  <si>
    <t>A megkérdezettek száma pontatlanul jelent meg a sajtóban, az 1000 ember csak az volt, aki végigment a teljes kérdőíven, míg a pártpreferencia kérdés még az interjú elején szerepelt, a választási csalásokkal stb. kapcsolatos kérdésblokk előtt, ahol még jóval több volt a válaszoló.</t>
  </si>
  <si>
    <t>https://www.facebook.com/ideaintezet/posts/pfbid02zWdY6anq3AErEHZYCTaC4K87zoS7ErDmsnnpAShDaeQaLbPNBYTyWK6C1nns6imgl</t>
  </si>
  <si>
    <t>https://telex.hu/belfold/2025/12/15/idea-intezet-partpreferencia-kozvelemeny-kutatas-fidesz-tisza-part-dk-mi-hazank-mkkp</t>
  </si>
  <si>
    <t>VP: https://www.facebook.com/valasztasi.kalauz/posts/pfbid02gSm4xTPV1c4nQD8rsUXsaiTxBjPs8uv8KoDz7mcQtcQv7nKwrNV1C9MCNxns7b6wl</t>
  </si>
  <si>
    <t>VP: https://www.facebook.com/valasztasi.kalauz/posts/pfbid02u7R95oVQ9kRY1LiWsYevF1zUY6EmYE6xMoF858rZDqdAHKwDuhiu7oM6Th8j2V42l</t>
  </si>
  <si>
    <t>https://nezopont.hu/hu/tevekenysegeink/kozvelemeny-kutatasok/a-szolo-utca-uegye-sem-segitett-a-tiszan</t>
  </si>
  <si>
    <t>https://www.facebook.com/nezopontintezet/posts/pfbid0qqHRxeg8yMQn1AMut7GEkaYg3b9bj3xsjHx9M8eWvUAR2pSAy3rYd7Ry919FicNSl</t>
  </si>
  <si>
    <t>https://www.facebook.com/21kutatokozpont/posts/pfbid02DoYiXNvVBrmFkmUKeLa9Pfm6zfqZiDwfaKXzxR8fFnbzH5WyL87CsgmujErzwF6kl</t>
  </si>
  <si>
    <t>https://24.hu/belfold/2025/12/17/21-kutatokozpont-2025-december-tisza-fidesz-tamogatottsag/</t>
  </si>
  <si>
    <t>https://21kutatokozpont.hu/varakozasok.html</t>
  </si>
  <si>
    <t>VP: https://www.facebook.com/valasztasi.kalauz/posts/pfbid0LLcm9J9Uq6pq1tbyT6LQ2giPzLua6JyCeBgLnhJQMATLvGzoyckRRFBusbFZDodUl</t>
  </si>
  <si>
    <t>https://telex.hu/belfold/2025/12/18/21-kutatokozpont-szeged-csongrad-csanad-2-valasztas-mihalffy-bela-gajda-attila-toroczkai-laszlo</t>
  </si>
  <si>
    <t>https://www.facebook.com/21kutatokozpont/posts/pfbid031Jq2CVEzw5gHfgFdBwn28Ce9HAsoRmGNY4t8urxtG939Pcj3jsoJwob5v8EUMAVEl</t>
  </si>
  <si>
    <t>https://24.hu/belfold/2025/12/18/visszalep-egy-ellenzeki-kepviselojelolt-hogy-biztosabban-gyozzon-a-tiszas-indulo/</t>
  </si>
  <si>
    <t>Momentum Mozgalom</t>
  </si>
  <si>
    <t>https://hvg.hu/360/20251217_Median-kicsit-meg-a-gyerekvallalasi-kedvet-is-novelne-ha-a-Tisza-nyerne-a-valasztast</t>
  </si>
  <si>
    <t>https://hvg.hu/itthon/20251218_Median-Elsopro-a-Tisza-elonye-a-40-ev-alatti-valasztok-koreben</t>
  </si>
  <si>
    <t>https://republikon.hu/elemzesek,-kutatasok/251217_kvk.aspx</t>
  </si>
  <si>
    <t>https://www.facebook.com/republikon/posts/pfbid077rSUN9pkGUnmRRbU4YaXvmeHu94oYBjJne9F8s1F1ZSLmGbkPwsL2ahMCiVixmnl</t>
  </si>
  <si>
    <t>A részvételt 4-fokú skálán mérik, 60-20-7-8 a megoszlás (5% NT-NV).</t>
  </si>
  <si>
    <t>https://publicus.hu/blog/vas-1-es-valasztokorzet-mi-a-helyzet-szombathely-es-kornyeken/</t>
  </si>
  <si>
    <t>VP: https://www.facebook.com/valasztasi.kalauz/posts/pfbid033xADf2taNDJyceJip6ZwJFtbf9ELNHLjYY9jkEi2w347AM6QEEJnHtUibBSdZ76ol</t>
  </si>
  <si>
    <t>https://publicus.hu/blog/budapest-13-as-valasztokorzet-mi-a-helyzet-a-xv-keruletben/</t>
  </si>
  <si>
    <t>Az "egyéb párt" és "egyéb válasz" %-át nem publikálták.</t>
  </si>
  <si>
    <t>https://nezopont.hu/hu/tevekenysegeink/kozvelemeny-kutatasok/a-magyarok-tobbsege-elutasitja-ukrajna-finanszirozasanak-mindharom-eb-tervet</t>
  </si>
  <si>
    <t>https://telex.hu/belfold/2025/12/19/21-kutatokozpont-szolo-utca-gyermekvedelem-kormany-kozvelemeny-kutatas</t>
  </si>
  <si>
    <t>https://iranytuintezet.hu/kutatas/az-egyes-partok-szavazotaboranak-szociodemografiai-osszetetele-2</t>
  </si>
  <si>
    <t>file:///Users/mrc/MRC%20Dropbox/Ga%CC%81bor%20To%CC%81ka/Mac/Downloads/Tabor_szerkezet_2025_osz.pdf</t>
  </si>
  <si>
    <t>https://nepszava.hu/3305611_felmeres-iranytu-intezet-tisza-part-fidesz-kdnp-kozvelemenykutatas</t>
  </si>
  <si>
    <t>https://www.facebook.com/iranytuintezet</t>
  </si>
  <si>
    <t>VP: https://www.facebook.com/valasztasi.kalauz/posts/pfbid02FX9ZwvAFP2LbePzLy9xv5fWzdjfkhLEyudcR93dDUqTE2dus4ixkWSHpAEPtbHZYl</t>
  </si>
  <si>
    <t>Ez a számsor saját számításom a férfiakra és nőkre külön-külön megadott Iránytű adatsorok alapján, az általuk közölt 48:52 nemi arányokat feltételezve. VP: https://www.facebook.com/valasztasi.kalauz/posts/pfbid033iWVgApwznhTE8sE9k31oc5BrAtFMgRG41WLHhYtcxJuwixFBfS2qq1vMC5mzGn4l https://www.facebook.com/valasztasi.kalauz/posts/pfbid02FX9ZwvAFP2LbePzLy9xv5fWzdjfkhLEyudcR93dDUqTE2dus4ixkWSHpAEPtbHZYl</t>
  </si>
  <si>
    <t>https://21kutatokozpont.hu/ado_kampany.html</t>
  </si>
  <si>
    <t>https://tenyek.hu/politika/2025/12/tobb-kulcsfontossagu-valasztokeruletben-is-jelentosen-vezet-a-fidesz-a-tisza-elott</t>
  </si>
  <si>
    <t>Egyéniben nagyjából 20%-os Fidesz előny, de nincs hiteles forrás és nulla részlet</t>
  </si>
  <si>
    <t>https://publicus.hu/blog/partok-tamogatottsaga-2025-december/</t>
  </si>
  <si>
    <t>https://nepszava.hu/3306397</t>
  </si>
  <si>
    <t>https://www.facebook.com/nepszavaonline/posts/pfbid0AGgDNvXxbNfZrqdKAhxuHuwAgetgJjaSGZWCpio3mZMsnmyo3hApNx5xWUfDGoW4l</t>
  </si>
  <si>
    <t>https://www.facebook.com/pulaiandras.hu/posts/pfbid031FZNEwCGgEWc1AQnVEMAgCxaRK2tr8Rtu3Wjzkh5T6nojYegcWPv3Uquv2qjYcekl</t>
  </si>
  <si>
    <t>https://24.hu/belfold/2025/12/29/publicus-intezet-felmeres-december-valasztas-tisza-fidesz/</t>
  </si>
  <si>
    <t>https://minervaintezet.hu/202512.html</t>
  </si>
  <si>
    <t>https://tarsadalomkutato.hu/a-fidesz-az-osz-gyoztese/</t>
  </si>
  <si>
    <t>https://tarsadalomkutato.hu/magyar-peter-nepszerutlenebb-orbannal-csapatat-pedig-alig-ismerik/</t>
  </si>
  <si>
    <t>https://archiv.nezopont.hu/a-fidesz-az-eselyes-a-kampanystart-elott/</t>
  </si>
  <si>
    <t>VP: https://www.facebook.com/valasztasi.kalauz/posts/pfbid0CqCjRncZ1g1LaQWA6SirRxBsVtzeTzEHErhHqMvu67pfMAsHwrRtnGGwxA9TFLpDl</t>
  </si>
  <si>
    <t>https://nepszava.hu/3306630_2025-legjei-siker-kudarc-botrany-felmeres-publicus-intezet-korkep</t>
  </si>
  <si>
    <t>https://publicus.hu/blog/haromnegyed-szerint-a-kormanynak-van-felelossege-a-szolo-utcai-ugyben/</t>
  </si>
  <si>
    <t>Csak két lista</t>
  </si>
  <si>
    <t>Hiányos adatsor</t>
  </si>
  <si>
    <t>Rácz László vegyészmérnök, magánember</t>
  </si>
  <si>
    <t>https://telex.hu/belfold/2026/01/03/21-kutatokozpont-felmeres-budapest-14-vajda-zoltan-szatmary-kristof-szabo-alexandra</t>
  </si>
  <si>
    <t>https://hvg.hu/itthon/20260103_21-Kutatokozpont-Nagy-folennyel-vezet-tiszas-jelolt-az-elozo-valasztas-legszorosabb-budapesti-valasztokeruleteben</t>
  </si>
  <si>
    <t>https://24.hu/belfold/2026/01/03/megmertek-ki-nyerne-abban-a-valasztokeruletben-ahol-a-legszorosabb-volt-2022-ben-az-eredmeny/</t>
  </si>
  <si>
    <t>hiányos adatsor</t>
  </si>
  <si>
    <t>Egyéni kerületi jelöltekre vonatkozó kérdés</t>
  </si>
  <si>
    <t>VP: https://www.facebook.com/valasztasi.kalauz/posts/pfbid02RomhUZRx1kBv3vxLNJc7T3TQ9v8qofShpHvTPp6BCdVhrfxaroPEEkfzqYHZUhRZl, Egyéni kerületi jelöltekre vonatkozó kérdés</t>
  </si>
  <si>
    <t>Listás preferenciák</t>
  </si>
  <si>
    <t>https://publicus.hu/blog/a-2025-os-esztendo-legjei/</t>
  </si>
  <si>
    <t>https://nezopont.hu/hu/tevekenysegeink/kozvelemeny-kutatasok/egyre-valoszinubb-a-fidesz-gyozelem</t>
  </si>
  <si>
    <t>https://www.facebook.com/nezopontintezet/posts/pfbid02V7SWxJJjDdGPHSMXc8hqZQTwpMgz4KXaAZjQ71yGmjDNrsxk9R8wAt6c5VkXjq6rl</t>
  </si>
  <si>
    <t>https://magyarnemzet.hu/belfold/2026/01/fidesz-gyozelem-befagyott-a-tisza-part-nezopont-intezet</t>
  </si>
  <si>
    <t>https://magyarnemzet.hu/belfold/2026/01/az-ellenzeki-korokben-is-elfogadott-szamitasi-modell-is-boseges-fidesz-tobbseget-mer</t>
  </si>
  <si>
    <t>https://hvg.hu/360/20260114_median-felmeres-ujra-nyilik-az-ollo-a-tisza-part-es-a-fidesz-kozott-valasztas-2026</t>
  </si>
  <si>
    <t>https://hvg.hu/itthon/20260114_a-dk-azt-kerdezte-hogyan-lehetne-jo-eredmenyu-kutatast-rendelni</t>
  </si>
  <si>
    <t>https://www.facebook.com/hvghu/posts/pfbid0tuRQQuKHCzPUhuztirPWsLZ3Ka5r566T6urXxKPoJ4zaez1A8Fm4DH5irpDN8CTAl</t>
  </si>
  <si>
    <t>https://www.facebook.com/ideaintezet/posts/1189405793274065</t>
  </si>
  <si>
    <t>https://24.hu/belfold/2026/01/14/idea-kozvelemeny-kutatas-tisza-part-fidesz-dk/</t>
  </si>
  <si>
    <t>https://telex.hu/belfold/2026/01/14/idea-tisza-elony-tiz-szazalek-fidesszel-szemben</t>
  </si>
  <si>
    <t>https://www.facebook.com/photo?fbid=1331732595665251&amp;set=a.479894894182363</t>
  </si>
  <si>
    <t>https://alapjogokert.hu/anyagok/kutatasaink/allandosult-a-kormanypartok-stabil-elonye-a-tisza-parttal-szemben</t>
  </si>
  <si>
    <t>https://magyarnemzet.hu/belfold/2026/01/fidesz-kdnp-tisza-kozvelemeny-kutatas-alapjogokert-kozpont</t>
  </si>
  <si>
    <t>https://www.facebook.com/alapjogokert/posts/pfbid0sXfcmZ2MNGrfVLRMcCqBwNuDby5JZBCaZDwzycpkJBJ5xbx2WDby8TzqLjHtTjMql   és    https://alapjogokert.hu/anyagok/elemzeseink/vege-van-az-osznek-a-fidesz-latszik-nyeronek</t>
  </si>
  <si>
    <t>https://www.facebook.com/photo?fbid=1261461299359048&amp;set=a.479894894182363     és     https://alapjogokert.hu/anyagok/elemzeseink/vege-van-az-osznek-a-fidesz-latszik-nyeronek</t>
  </si>
  <si>
    <t>https://alapjogokert.hu/anyagok/elemzeseink/decemberben-is-a-biztonsagot-garantalo-jobboldal-nyerte-a-belpolitikai-versenyt</t>
  </si>
  <si>
    <t>VP: https://www.facebook.com/valasztasi.kalauz/posts/pfbid02zEGSx4Ss3W1b28djueLjL5rcfAEjU69Mu6rhmgu4NNJ3kLGoA5MCX3Sr2hdEjAz5l</t>
  </si>
  <si>
    <t>https://nezopont.hu/hu/tevekenysegeink/kozvelemeny-kutatasok/egyre-tobben-varjak-orban-viktor-valasztasi-gyozelmet</t>
  </si>
  <si>
    <t>https://tarsadalomkutato.hu/a-tiszasok-harmada-sem-hiszi-hogy-jol-jarna-egy-tisza-gyozelemmel/</t>
  </si>
  <si>
    <t>https://hvg.hu/360/20260121_hvg-median-fidesz-orban-felelem-dpk-fiatalok</t>
  </si>
  <si>
    <t>VP: https://www.facebook.com/valasztasi.kalauz/posts/pfbid02FrH7eVk8wkqdxkyzE7cz7Z7dJA7Qx4sv2SfiMjy32MHqE7MQdTb5KA87tD3KdDAKl</t>
  </si>
  <si>
    <t>https://www.facebook.com/republikon/posts/pfbid02zpZdW3q6wnF5UqbD6PDWrMVLQyQBUDMfxfzceWPTp1iBhAVzeji9VmpFP1pkNBBCl</t>
  </si>
  <si>
    <t>https://republikon.hu/elemzesek,-kutatasok/260121_kvk.aspx</t>
  </si>
  <si>
    <t>A részvételt 4-fokú skálán mérik, 63-10-8-11 a megoszlás (7% NT-NV).</t>
  </si>
  <si>
    <t>https://index.hu/belfold/2026/01/22/fidesz-tisza-dk-mi-hazank-kutya-republikon-esely-eros-szavazas-valasztas/</t>
  </si>
  <si>
    <t>Magát megnevezni nem akaró magánszemély</t>
  </si>
  <si>
    <t>https://publicus.hu/blog/budapest-4-es-valasztokorzet-mi-a-helyzet-a-ii-keruletben/</t>
  </si>
  <si>
    <t>https://publicus.hu/blog/budapest-12-es-valasztokorzet-mi-a-helyzet-angyalfoldon/</t>
  </si>
  <si>
    <t>Forrás 2 (Tordai Bence bemutatójának videófelvétele) már nem érhető el a Facebookon</t>
  </si>
  <si>
    <t>https://nepszava.hu/3309351_publicus-intezet-varju-laszlo-az-eselyes-ujpest-angyalfoldon</t>
  </si>
  <si>
    <t>https://www.atv.hu/belfold/20260123/budapest-kutatas-eredmeny-dk-varju/</t>
  </si>
  <si>
    <t>https://tarsadalomkutato.hu/ketszamjegyu-elonnyel-fordul-a-fidesz-a-kampanystartra/</t>
  </si>
  <si>
    <t>https://magyarnemzet.hu/belfold/2026/01/magabiztos-ketszamjegyu-fidesz-elony-a-kampanystart-elott</t>
  </si>
  <si>
    <t>https://www.xxiszazadintezet.hu/valtozatlan-eroviszonyok-vezet-a-fidesz/</t>
  </si>
  <si>
    <t>https://mandiner.hu/belfold/2026/01/ez-nem-fog-tetszeni-magyar-peternek-a-kozvelemeny-kutatok-raleptek-a-fekre</t>
  </si>
  <si>
    <t>https://24.hu/belfold/2026/01/26/zavecz-kutatas-valasztas-januar/</t>
  </si>
  <si>
    <t>https://telex.hu/belfold/2026/01/26/tisza-part-fidesz-zavech-research-partlreferenciak-kozvelemeny-kutatas</t>
  </si>
  <si>
    <t>https://www.facebook.com/deakdanielelemez/posts/pfbid02U5PBgJMbZoPWoL7RcQohAbTQmGH2SRVf5TqgZWM2qYoz5KjmLa9wMrUqYqFy5hPjl</t>
  </si>
  <si>
    <t>https://magyarnemzet.hu/belfold/2026/01/kiszivargott-magyar-peterek-egyik-belsos-merese-mutatjuk-foto</t>
  </si>
  <si>
    <t>VP: https://www.facebook.com/valasztasi.kalauz/posts/pfbid027FxRPc1KWdT7E4wbu6jvakbHGMDZsontAccSkh3nR3Q6Un5WyjshyysRp4BCsdPKl</t>
  </si>
  <si>
    <t>https://nepszava.hu/3309886_orban-viktor-fidesz-publicus-intezet-felmeres-magyarorszag-kormanyzas</t>
  </si>
  <si>
    <t>VP:   https://www.facebook.com/valasztasi.kalauz/posts/pfbid0LY7DGWaMV7NcPp2hwvsToMUXRaZzS9VZ7Jngfu1rAJbGpjzRmwxmDwyzfTDbtxEYl</t>
  </si>
  <si>
    <t>VP: https://www.facebook.com/valasztasi.kalauz/posts/pfbid02rbRmWUWZccp8VdnQjd37o8oApBmn6DqM2qBZGczGs6Ar1cWrFH3zj12ouJzwNQQql</t>
  </si>
  <si>
    <t>https://www.minervaintezet.hu/202601.html</t>
  </si>
  <si>
    <t>https://publicus.hu/blog/a-tobbseg-szerint-orban-elfaradt-alkalmas-utod-szijjarto-peter-vagy-varga-mihaly-lehetne/</t>
  </si>
  <si>
    <t>https://publicus.hu/blog/partok-tamogatottsaga-2026-januar/</t>
  </si>
  <si>
    <t>https://nepszava.hu/3310362_tisza-part-fidesz-felmeres-publicus-intezet-2025-januar</t>
  </si>
  <si>
    <t>https://24.hu/belfold/2026/02/03/21-kutatokozpont-felmeres-2026-januar/</t>
  </si>
  <si>
    <t>https://www.facebook.com/21kutatokozpont/posts/pfbid0oj74Sv4mrebUWc1sRBnP38Zgvtmzb8DHvzryZZ5DJYtg6XKYW72ZzYdQmqJnCcU2l</t>
  </si>
  <si>
    <t>Plastoball Kft.</t>
  </si>
  <si>
    <t>a Tisza jelöltje, Gurzó Mária</t>
  </si>
  <si>
    <t>https://hvg.hu/gazdasag/20260130_21-kutatokozpont-szoros-a-verseny-bekes-2-ben-bekes-4-ben-a-tisza-jeloltje-vezet</t>
  </si>
  <si>
    <t>A százalékok egyéni jelöltekre vonatkoznak</t>
  </si>
  <si>
    <t>https://web.archive.org/web/20250915220256/https://tk.elte.hu/uploads/files/2021/ertek_identi.pdf</t>
  </si>
  <si>
    <t>https://web.archive.org/web/20180203064745/http://www.tarki.hu/hu/news/2018/kitekint/20180129_valasztas.html</t>
  </si>
  <si>
    <t>Kalibrált</t>
  </si>
  <si>
    <t>ELTE TKK</t>
  </si>
  <si>
    <t>MTA TK</t>
  </si>
  <si>
    <t>névtelen</t>
  </si>
  <si>
    <t>https://republikon.hu/elemzesek,-kutatasok/260205_nevezzuk-neven.aspx?fbclid=IwY2xjawPxkGRleHRuA2FlbQIxMABicmlkETFTeVhaM1VHNHhGZmQ1TGxKc3J0YwZhcHBfaWQQMjIyMDM5MTc4ODIwMDg5MgABHhI1o1kwZUgAf7llvSlaD25r4wZblijhjKvHC9XU9PYIvSxfP3yOnzYgTOJG_aem_AyZ-qjgAo1xFiI4qJX5SBg</t>
  </si>
  <si>
    <t>Pro Savaria Egyesület</t>
  </si>
  <si>
    <t>https://telex.hu/belfold/2026/02/06/21-kutatokozpont-vas-1-es-szavazokor-meres-tisza-part-vezet-rapli-robert-fidesz-vamos-zoltan-czegledy-csaba</t>
  </si>
  <si>
    <t>Egyéni kerületi jelöltekre vonatkozó kérdés, Czeglédy Csaba függetlent a DK-hoz írtam</t>
  </si>
  <si>
    <t>MTVA</t>
  </si>
  <si>
    <t>https://nezopont.hu/hu/tevekenysegeink/kozvelemeny-kutatasok/a-valasztok-ketharmada-helyesli-a-rend-es-honvedelmi-allomany-megbecsuleset</t>
  </si>
  <si>
    <t>6 százalék mondta, nem mennének szavazni. Azok, akik nem tudják vagy nem válaszoltak, 11 százaléknyian voltak</t>
  </si>
  <si>
    <t>https://www.facebook.com/rozsaandras.zuglo/posts/pfbid02SmbdYBAWsTkeSfQ94rqwKTCSKgaD3ZVGQq22Q7PMtgSmwCkQAYbCC54UW152ZKbkl</t>
  </si>
  <si>
    <t>https://21kutatokozpont.hu/zugloi-kutatas-2025-12.html</t>
  </si>
  <si>
    <t>Rózsa András polgármester, mint magánszemély</t>
  </si>
  <si>
    <t>https://ahang.hu/a-valasztok-tobbsege-szerint-magyar-peter-gyozne-egy-miniszterelnok-jelolti-vitan/</t>
  </si>
  <si>
    <t>Közösségi gyűjtés + Telex + Ahang</t>
  </si>
  <si>
    <t>https://www.instagram.com/p/DUJCXFojc2p/</t>
  </si>
  <si>
    <t>Egyéni kerületi jelöltekre vonatkozó kérdés. VP:</t>
  </si>
  <si>
    <t>https://realpr93.hu/2026/02/09/kaposvaron-is-fidesz-gyozelem-varhato/</t>
  </si>
  <si>
    <t>https://www.nyugat.hu/cikk/publicus_kutatas_szombathely_2026_februar_czegledy_rapli</t>
  </si>
  <si>
    <t>https://publicus.hu/blog/vas-1-es-valasztokorzet-mi-a-helyzet-most-szombathely-es-kornyeken/</t>
  </si>
  <si>
    <t>https://index.hu/belfold/2026/02/06/valasztas-kozvelemeny-kutatas-amerika-felmeres-fidesz-tisza-part-orban-viktor-magyar-peter/</t>
  </si>
  <si>
    <t>https://telex.hu/belfold/2026/02/09/szombathely-czegledy-csaba-kecskemet-birosag-itelet-valasztas-kampany</t>
  </si>
  <si>
    <t>https://www.klubradio.hu/archivum/hann-endre-reggeli-gyorsreggeli-szemely-2026-januar-22-csutortok-0905-55144</t>
  </si>
  <si>
    <t>https://hvg.hu/360/20260128_median-tisza-fidesz-partpreferenciak-biztos-szavazok-partpreferenciak-demografiai-jellemzok</t>
  </si>
  <si>
    <t>https://nezopont.hu/hu/tevekenysegeink/kozvelemeny-kutatasok/valtozatlan-fidesz-elony</t>
  </si>
  <si>
    <t>VP: https://www.facebook.com/valasztasi.kalauz/posts/pfbid031BS9oLtsmhkP4wfS5DEWCHuw4iwc69R8nmW7mj9mXbhRSayZtuo9ozTYskgDtvcbl (-szm- munkája, alatta -tg- kommentje a DK-val kapcsolatban)</t>
  </si>
  <si>
    <t>VP: https://www.facebook.com/valasztasi.kalauz/posts/pfbid02LH3Xg2KJjBbVvXKGkXyJz8RgTjGHsftho4rCJpzNw3Sw7vrP5fihpnseMhHtvCWXl</t>
  </si>
  <si>
    <t>VP: https://www.facebook.com/valasztasi.kalauz/posts/pfbid0KtmR3uFSmutYodBQp7zdFJhRSwGmV9hZJgEFqg5gT5yiYNZnhPGB8a8J7Xe45uoTl</t>
  </si>
  <si>
    <t>https://telex.hu/belfold/2026/02/13/idea-tisza-elony-kormanypart-mi-hazank-dk</t>
  </si>
  <si>
    <t>https://24.hu/belfold/2026/02/13/partok-kutatas-idea-intezet-2026-februar/</t>
  </si>
  <si>
    <t>https://www.facebook.com/ideaintezet/posts/pfbid07XFp2Ne9PDdgGU1WoMmeHp272NDMTKZ2zYmZnN9UrDwuHgXG74veqhErvzSu7HTGl</t>
  </si>
  <si>
    <t>VP: https://www.facebook.com/valasztasi.kalauz/posts/pfbid0T4rgyJRshdEBvk2cmaYwyVfgVASsc1PPo1YZF1xCVANzz2HeGmhAFzoAYAAjM94jl</t>
  </si>
  <si>
    <t>https://24.hu/belfold/2026/02/17/orban-navracsics-sumeg-valasztas/</t>
  </si>
  <si>
    <t>Még nem nyilvános Veszprém 3 OEVK</t>
  </si>
  <si>
    <t>https://www.facebook.com/reel/913357181385525</t>
  </si>
  <si>
    <t>https://magyarnemzet.hu/belfold/2025/12/tobb-kulcsfontossagu-valasztokeruletben-is-jelentos-hatranyban-vannak-a-tisza-jeloltjei</t>
  </si>
  <si>
    <t>VP: https://www.facebook.com/valasztasi.kalauz/posts/pfbid0VEvBUCAqXYzN2ZNZ6rCAQcJKkSLp58EpqkhPwzeHotPS5FeS4FwpxRt1trLNh3Nl</t>
  </si>
  <si>
    <t>Még nem nyilvános Vas 1 OEVK</t>
  </si>
  <si>
    <t>Még nem nyilvános Hajdú-Bihar 5 OEVK</t>
  </si>
  <si>
    <t>BAZ 1 OEVK</t>
  </si>
  <si>
    <t>Vas 1 OEVK</t>
  </si>
  <si>
    <t>Békés 4 OEVK</t>
  </si>
  <si>
    <t>Békés 2 OEVK</t>
  </si>
  <si>
    <t>Somogy 1 OEVK</t>
  </si>
  <si>
    <t>BP 4 OEVK</t>
  </si>
  <si>
    <t>BP 14 OEVK</t>
  </si>
  <si>
    <t>BP 12 OEVK</t>
  </si>
  <si>
    <t>Csongrád 2 OEVK</t>
  </si>
  <si>
    <t>SzSzB 1 OEVK</t>
  </si>
  <si>
    <t>Hajdú-Bihar 5 OEVK</t>
  </si>
  <si>
    <t>Veszprém 3 OEVK</t>
  </si>
  <si>
    <t>40 év alattiak</t>
  </si>
  <si>
    <t>Budapest</t>
  </si>
  <si>
    <t>BP 13 OEVK</t>
  </si>
  <si>
    <t>BP 6 OEVK</t>
  </si>
  <si>
    <t>BP VIII. Ker.</t>
  </si>
  <si>
    <t>BAZ 5 OEVK</t>
  </si>
  <si>
    <t>SzSzB 5 OEVK</t>
  </si>
  <si>
    <t>Pest 13 OEVK</t>
  </si>
  <si>
    <t>BK 3 OEVK</t>
  </si>
  <si>
    <t>JNSZ 2 OEVK</t>
  </si>
  <si>
    <t>Békés 3 OEVK</t>
  </si>
  <si>
    <t>BP XIV. K.</t>
  </si>
  <si>
    <t>Csongrád 3 OEVK</t>
  </si>
  <si>
    <t>Baranya 1</t>
  </si>
  <si>
    <t>Győr</t>
  </si>
  <si>
    <t>Tolna 2 OEVK</t>
  </si>
  <si>
    <t>BP</t>
  </si>
  <si>
    <t>Budapest XIV. Ker.</t>
  </si>
  <si>
    <t>BP XIV. Kerület</t>
  </si>
  <si>
    <t>Hódmezővásárhely</t>
  </si>
  <si>
    <t>BP XXII. K.</t>
  </si>
  <si>
    <t>BP XIV. kerület</t>
  </si>
  <si>
    <t>Szeged</t>
  </si>
  <si>
    <t>A cikkből nem világos, de arra tippelek, hogy ezek az adatok egyszerúen az országos minta fővárosi megkérdezetteire vonatkoznak</t>
  </si>
  <si>
    <t>BP XIX. kerület</t>
  </si>
  <si>
    <t>BP egyes kerületei</t>
  </si>
  <si>
    <t>BP V. K.</t>
  </si>
  <si>
    <t>Debrecen</t>
  </si>
  <si>
    <t>Budapest, még nem nyilvános</t>
  </si>
  <si>
    <t>BP I. K.</t>
  </si>
  <si>
    <t>Miskolc</t>
  </si>
  <si>
    <t>Szombathely</t>
  </si>
  <si>
    <t>Szolnok lakótelep</t>
  </si>
  <si>
    <t>Veszprém lakótelep</t>
  </si>
  <si>
    <t>BP3 OEVK</t>
  </si>
  <si>
    <t>BP13 OEVK</t>
  </si>
  <si>
    <t>két lista</t>
  </si>
  <si>
    <t>BP III. K.</t>
  </si>
  <si>
    <t>BP IV. K.</t>
  </si>
  <si>
    <t>BP VIII. K.</t>
  </si>
  <si>
    <t xml:space="preserve"> Nyílt Levelek Podcast Csatorna</t>
  </si>
  <si>
    <t>https://borsod24.hu/2026/02/14/friss-kutatas-jakab-peter-segitheti-gyozelemhez-csobor-katalint-miskolcon/</t>
  </si>
  <si>
    <t>https://www.youtube.com/watch?v=abl_Hp4VMbw</t>
  </si>
  <si>
    <t>https://www.youtube.com/watch?v=1iDTr_f5k64</t>
  </si>
  <si>
    <t xml:space="preserve">Az adatok egyéni jelöltekre vonatkoznak. VP: </t>
  </si>
  <si>
    <t>https://publicus.hu/blog/partok-tamogatottsaga-2026-februar-eleje/</t>
  </si>
  <si>
    <t>Áttértek a zárt kérdésre, felsorolják a pártokat</t>
  </si>
  <si>
    <t>https://alapjogokert.hu/anyagok/kutatasaink/het-szazalekkal-vezet-a-fidesz-a-tisza-elott</t>
  </si>
  <si>
    <t>https://www.facebook.com/photo?fbid=122141189828417042</t>
  </si>
  <si>
    <t>https://republikon.hu/elemzesek,-kutatasok/260218_kvk-februar.aspx</t>
  </si>
  <si>
    <t>A részvételt 4-fokú skálán mérik, 69-13-8-8 a megoszlás (2% NT-NV).</t>
  </si>
  <si>
    <t>https://telex.hu/belfold/2026/02/19/republikon-intezet-februar-kozvelemeny-kutatas-partpreferencia-negyparti-parlament-tisza-part-vezet</t>
  </si>
  <si>
    <t>https://nepszava.hu/3312324_fidesz-tisza-part-valasztas-2026-iranytu-gyozelem-intezet-felmeres</t>
  </si>
  <si>
    <t>https://iranytuintezet.hu/wp-content/uploads/2026/02/2026.02_Iranytu_orszagos_kutatas.pdf</t>
  </si>
  <si>
    <t>https://www.facebook.com/iranytuintezet/posts/pfbid0pin1GdMnq22RqyPmw4APsvdBmnsSbN8FsFbYYNdkKaNfu4XSq9UbQoNBjer1aVQpl</t>
  </si>
  <si>
    <t>VP: www.facebook.com/valasztasi.kalauz/posts/pfbid02jNBbQiutdcCjwptNmBSGv5kAs6beWzA7JzxrYJuF7W4qMsyrHWXSMj8fVii9mBDPl</t>
  </si>
  <si>
    <t>VP: https://www.facebook.com/valasztasi.kalauz/posts/pfbid0rWrXxEuDF9zPSXDARgwv6ZRQ5cmVBFpNgic8yqXWAwd5eh3BneXa7f4VzarU1Xcbl</t>
  </si>
  <si>
    <t>https://nezopont.hu/hu/tevekenysegeink/kozvelemeny-kutatasok/harom-kerdesben-meg-a-tisza-tabor-is-biztosan-kormanyparti</t>
  </si>
  <si>
    <t>https://www.facebook.com/nezopontintezet/posts/pfbid02gt2YQuagheNEVnrzr6aVj8mCoXkbCY7bwVfNUqT2F1xBn8UfR9xaFYCbj5Z2ssaal</t>
  </si>
  <si>
    <t>VP: https://www.facebook.com/valasztasi.kalauz/posts/pfbid0ahiALQqPzfUyHuvQZY92YhLNw86mgFXYRJKaDFUmGyvTe9u8dF3QHJ9fsXvz6siXl</t>
  </si>
  <si>
    <t>https://hvg.hu/360/20260225_median-vezet-tisza-mar-20-szazalek-az-elonye</t>
  </si>
  <si>
    <t>https://telex.hu/belfold/2026/02/25/median-kutatas-tisza-part-fidesz-55-35</t>
  </si>
  <si>
    <t>https://444.hu/2026/02/25/median-mar-20-szazalekpont-a-tisza-elonye-a-biztos-szavazok-kozott</t>
  </si>
  <si>
    <t>https://nezopont.hu/hu/tevekenysegeink/kozvelemeny-kutatasok/az-ellenzekiek-is-tamogatjak-a-plusz-kethavi-nyugdijat-es-a-rezsistopot</t>
  </si>
  <si>
    <t>https://nezopont.hu/hu/tevekenysegeink/kozvelemeny-kutatasok/tovabbra-is-egyertelmu-a-fidesz-elony</t>
  </si>
  <si>
    <t>https://www.facebook.com/nezopontintezet/posts/pfbid02EqDTZfrhKHkXrMbu6LGG15pz3fKXdScd4cZeLnFWKHTcE4LszvYsUfP2VfyKm5G7l</t>
  </si>
  <si>
    <t>https://telex.hu/belfold/2026/02/25/hann-endre-median-meres-reszveteli-arany-orban-balazs</t>
  </si>
  <si>
    <t>A "biztos szavazók" 81%-os arányát emlti Hann Endre itt: https://www.klubradio.hu/archivum/hann-endre-reggeli-gyorsreggeli-szemely-2026-januar-22-csutortok-0905-55144. Utóbb 90%-os "biztos szavazó" arányról szóló cikk jelent meg a  jan. 29-i nyomtatott HVG-ben egy Dobszay János cikkbe és - kevésébe nyilvánvaló módon - annak online változatába (https://hvg.hu/360/20260128_median-tisza-fidesz-partpreferenciak-biztos-szavazok-partpreferenciak-demografiai-jellemzok). Ebből nagy kampányt csinált Mráz a Medián hiteltelenítésére: https://mandiner.hu/belfold/2026/02/median-kutatas-mesterterv  A telex február 25-i cikkében Hann megerősítette a 90%-ot</t>
  </si>
  <si>
    <t>https://republikon.hu/elemzesek,-kutatasok/260224_lesz-e-valtozas.aspx</t>
  </si>
  <si>
    <t>111111111111111111111111</t>
  </si>
  <si>
    <t>"A várható választási eredményhez legközelebb eső mérés, tehát a potenciális támogatottsági adatok alapján ..."</t>
  </si>
  <si>
    <t>https://web.archive.org/web/20140407074516/http://nezopontintezet.hu/aktualis/partpreferenciak-a-valasztas-elott/</t>
  </si>
  <si>
    <t>https://web.archive.org/web/20140519192234/http://nezopontintezet.hu/aktualis/a-fidesz-szerezheti-meg-az-ep-mandatumok-tobb-mint-felet/</t>
  </si>
  <si>
    <t>Az "egyéb válaszból" 5% "kormányváltó rejtőzködő", 8 és 14 "nem szavazó" és "egyéb rejtőzködő". A DK-MSZP-P valójában MSZP-Együtt-DK-P-MLP</t>
  </si>
  <si>
    <t>Az "egyéb válaszból" 2% "kormányváltó rejtőzködő", 8 és 14 "nem szavazó" és "egyéb rejtőzködő". Az Együtt valójában Együtt-PM</t>
  </si>
  <si>
    <t>https://web.archive.org/web/20180414025046/http://nezopontintezet.hu/analysis/valasztasnapi-kutatas-megnyerte-valasztast-fidesz-kdnp/</t>
  </si>
  <si>
    <t>"A Nézőpont Intézet választásnapi kutatása alapján a Fidesz-KDNP listás választási eredménye 42% lett, míg  a ….-ra …% szavazott."</t>
  </si>
  <si>
    <t>https://web.archive.org/web/20180408051750/http://nezopontintezet.hu/analysis/nem-lesz-kormanyvaltas/</t>
  </si>
  <si>
    <t>https://web.archive.org/web/20140409095427/http://kozvelemenykutatok.hu/partpreferenciak-a-valasztas-elott-nezopont/</t>
  </si>
  <si>
    <t>https://www.atv.hu/belfold/20140406/nezopont-fidesz-48-kormanyvaltok-27-jobbik-18-lmp-6-szazalek/</t>
  </si>
  <si>
    <t>https://app.minap.hu/hirarchivum/2014/04/06/nezopont-exit-poll-fidesz-kdnp-48-szazalekot-kapott-kormanyvalto-osszefogas-27-szazalekot</t>
  </si>
  <si>
    <t>https://index.hu/belfold/2014/04/06/miert_nem_exit_poll_a_nezopont_felmerese/?token=7a711b8f7adc22fc4a27127d3fb5b42e</t>
  </si>
  <si>
    <t>https://web.archive.org/web/20140405143530/http://kozvelemenykutatok.hu/stabil-fidesz-kdnp-elony-a-kampany-hajrajaban-szazadveg/</t>
  </si>
  <si>
    <t>https://web.archive.org/web/20140404193344/http://kozvelemenykutatok.hu/celegyenesben-tarki/</t>
  </si>
  <si>
    <t>"Az új választási rendszerből adódó bizonytalanságok és egy pontos előrejelzés igen magas költségei nem teszik lehetővé, hogy megbízható prognózist készítsünk az idei parlamenti választások előtt. Legfeljebb azt feltételezhetjük, hogy a listás szavazatok mintegy fele a Fidesz-KDNP-re, néhány százalékponttal több mint 20 százaléka a Kormányváltókra, közel 20 százaléka a Jobbikra, 6-8 százaléka az LMP-re és néhány százalék a parlamenti küszöböt el nem érő kis pártokra fog jutni."</t>
  </si>
  <si>
    <t>https://web.archive.org/web/20140409095352/http://kozvelemenykutatok.hu/csak-a-fidesz-ketharmada-a-kerdes-median/</t>
  </si>
  <si>
    <t>https://hvg.hu/itthon/201414_rejt_a_palya</t>
  </si>
  <si>
    <t>https://web.archive.org/web/20230329152621/https://kozvelemenykutatok.hu/valasztas-2014-ertekeles/</t>
  </si>
  <si>
    <t>https://hvg.hu/itthon/20140405_Ipsos_1015_szazalekkal_verheti_a_Fidesz</t>
  </si>
  <si>
    <t>https://index.hu/belfold/2014/04/05/ipsos_erosdott_a_fidesz_a_jobbik_es_az_lmp/</t>
  </si>
  <si>
    <t>Forsense</t>
  </si>
  <si>
    <t>" Forsense különböző részvételi szintekre más pártpreferencia arányokat becsült. Ezúttal a
62 százalékos részvételi szintre számolt arányokat közöljük."</t>
  </si>
  <si>
    <t>Kmetty Zoltán. 2014. “Választási előrejelzések." In: Választás 2014: Kampány, közvélemény, új szabályok. Szerk. Szomszéd Orsolya. Budapest: Nézőpont Elemzőintézet Nonprofit Kft. 2014</t>
  </si>
  <si>
    <t>https://hvg.hu/itthon/20260303_zavecz-kozvelemeny-kutatas-tisza-part-fidesz-orszaggyulesi-valasztas</t>
  </si>
  <si>
    <t>https://24.hu/belfold/2026/03/03/zavecz-kutatasa-februar/</t>
  </si>
  <si>
    <t>https://telex.hu/belfold/2026/03/03/zavecz-kozvelemeny-kutatas-tisza-part-fidesz-50-38</t>
  </si>
  <si>
    <t>https://publicus.hu/blog/partok-tamogatottsaga-2026-februar-vege/</t>
  </si>
  <si>
    <t>https://nepszava.hu/3313980_publicus-vezet-a-tisza-fidesz-kozvelemeny-kutatas</t>
  </si>
  <si>
    <t>https://hvg.hu/360/20260305_hvg-tisza-vs-fidesz-median-kozvelemeny-kutatas-demografiai-alapu-bontas</t>
  </si>
  <si>
    <t>VP: https://www.facebook.com/valasztasi.kalauz/posts/pfbid02bRm32oYaDguF1QNyQCL8VhHqRyntfySMxfxzmVFBJehtEuinXeCCsRdcPjQX3gNFl és https://www.facebook.com/valasztasi.kalauz/posts/pfbid02tTTSYy1QEYc6aD7KizsoxHE67aAy1jhQF663fFp1n9JFb8wXkr4W5L3BwdULq8XFl</t>
  </si>
  <si>
    <t>VP: https://www.facebook.com/valasztasi.kalauz/posts/pfbid02tTTSYy1QEYc6aD7KizsoxHE67aAy1jhQF663fFp1n9JFb8wXkr4W5L3BwdULq8XFl</t>
  </si>
  <si>
    <t>https://minervaintezet.hu/modszertan.html</t>
  </si>
  <si>
    <t>https://24.hu/belfold/2026/03/05/minerva-kozvelemenykutatas-februar/</t>
  </si>
  <si>
    <t>https://nezopont.hu/hu/tevekenysegeink/kozvelemeny-kutatasok/sokan-akarjak-hogy-a-dk-es-a-kutya-part-is-bejusson-a-parlamentbe</t>
  </si>
  <si>
    <t>BP 11 OEVK</t>
  </si>
  <si>
    <t>Egyéni jelöltekre vonatkozó kérdés</t>
  </si>
  <si>
    <t>Pártlsta</t>
  </si>
  <si>
    <t>https://hvg.hu/itthon/20260310_kutatas-obuda-bekasmegyer-21-kutatokozpont-szabo-timea-boda-nikoletta-gyepes-adam</t>
  </si>
  <si>
    <t>Boda Nikolett TISZA jelölt</t>
  </si>
  <si>
    <t>https://24.hu/belfold/2026/03/10/21-kutatokozpont-szabo-timea-tisza-part/</t>
  </si>
  <si>
    <t>https://21kutatokozpont.hu/budapest11_februar26.html</t>
  </si>
  <si>
    <t>VP: https://www.facebook.com/valasztasi.kalauz/posts/pfbid02TcKffyN2WPC7G8dGmAwW2Ye9R7NTpgwmcZAuV5B9WQeL192q5aNP3vu5n5VcmH7Al</t>
  </si>
  <si>
    <t>VP: https://www.facebook.com/valasztasi.kalauz/posts/pfbid0C1JKqgmrYCUGEzxSt1xo4rsuHNWFoieqkrp1P5hxji2QAYszRdRXzQuU2GzMn9Lxl</t>
  </si>
  <si>
    <t>https://24.hu/belfold/2026/03/11/21-kutatokozpont-felmeres-2026-marcius-partok-tamogatottsaga/</t>
  </si>
  <si>
    <t>https://telex.hu/belfold/2026/03/11/21-kutatokozpont-partprferencia-tisza-fidesz</t>
  </si>
  <si>
    <t>https://republikon.hu/media/174043/Ri_bizonytalanok-elemzes.pdf</t>
  </si>
  <si>
    <t>https://www.facebook.com/photo?fbid=1234565535424757&amp;set=a.508321001382551</t>
  </si>
  <si>
    <t>https://24.hu/belfold/2026/03/12/tisza-fidesz-kozvelemeny-kutatas-idea/</t>
  </si>
  <si>
    <t>Közösségi finanszírozás</t>
  </si>
  <si>
    <t>https://21kutatokozpont.hu/egyeni_kozossegi_kutatas.html</t>
  </si>
  <si>
    <t>BAZ 6 OEVK</t>
  </si>
  <si>
    <t>Egyéni képviselő</t>
  </si>
  <si>
    <t>https://24.hu/belfold/2026/03/19/fidesz-tisza-felmeres-demografia-21-kutatokozpont/</t>
  </si>
  <si>
    <t>Az "egyéb párt" és "egyéb válasz" %-át eredetileg nem publikálták, de 3 hónappal később közölték, hogy az egyéb párt 1% volt, ld.  https://nezopont.hu/hu/tevekenysegeink/kozvelemeny-kutatasok/enyhen-erosodo-fidesz</t>
  </si>
  <si>
    <t>https://nezopont.hu/hu/tevekenysegeink/kozvelemeny-kutatasok/enyhen-erosodo-fidesz</t>
  </si>
  <si>
    <t>Az "egyéb párt" és "egyéb válasz" %-át nem publikálták. https://nezopont.hu/hu/tevekenysegeink/kozvelemeny-kutatasok/enyhen-erosodo-fidesz azonban a képaláírásában megerősítette, hogy 0-ra mérték az "egyéb pártot".</t>
  </si>
  <si>
    <t>Az "egyéb párt" és "egyéb válasz" %-át nem publikálták.https://nezopont.hu/hu/tevekenysegeink/kozvelemeny-kutatasok/enyhen-erosodo-fidesz azonban a képaláírásában megerősítette, hogy 0-ra mérték az "egyéb pártot".</t>
  </si>
  <si>
    <t>https://nezopont.hu/hu/tevekenysegeink/kozvelemeny-kutatasok/enyhen-erosodo-fidesz azonban a képaláírásában megerősítette, hogy 0-ra mérték az "egyéb pártot".</t>
  </si>
  <si>
    <t>https://www.minervaintezet.hu/202603.html</t>
  </si>
  <si>
    <t>https://www.xxiszazadintezet.hu/otpontos-fidesz-elony-egy-honappal-a-valasztas-elott/</t>
  </si>
  <si>
    <t>https://europion.hu/valasztasok/</t>
  </si>
  <si>
    <t>Biztos szavazók %-a innen: https://telex.hu/belfold/2026/03/25/21-kutatokozpont-kozvelemeny-kutatas-valasztas-2026-tisza-part-fidesz</t>
  </si>
  <si>
    <t>https://hvg.hu/360/20260325_median-tisza-fidesz-valasztas-marcius-kozvelemeny-kutatas</t>
  </si>
  <si>
    <t>https://web.archive.org/web/20211224123226/https://nezopont.hu/a-fidesz-all-nyeresre-2021-vegen/</t>
  </si>
  <si>
    <t>https://web.archive.org/web/20220124070827/https://nezopont.hu/a-fidesz-az-eselyes-a-kampanystart-elott/</t>
  </si>
  <si>
    <t>https://web.archive.org/web/20220402110643/https://nezopont.hu/a-nezopont-intezet-valasztasok-elotti-utolso-nyilvanos-meresi-eredmenye/</t>
  </si>
  <si>
    <t>https://nezopont.hu/hu/tevekenysegeink/politikai-elemzesek/a-nezopont-realistabb-a-mediannal</t>
  </si>
  <si>
    <t>https://europion.hu/szabobence/</t>
  </si>
  <si>
    <t>https://www.facebook.com/republikon/posts/pfbid024WsR9RcSXEiMMih4ofYWTFJR78JQG2ti4M3y9jPHj91goZVDnWdSvaimJiHkQU2al</t>
  </si>
  <si>
    <t>https://republikon.hu/media/174905/Ri_Havi-elemzes_2603.pdf</t>
  </si>
  <si>
    <t>A részvételt 4-fokú skálán mérik, 78-7-11-3 a megoszlás (2% NT-NV).</t>
  </si>
  <si>
    <t>https://21kutatokozpont.hu/kulcsfontossagu_korzetek.html</t>
  </si>
  <si>
    <t>Konkrétan megnevezett egyéni kerületi jelöltekre vonatkozott a kérdés</t>
  </si>
  <si>
    <t>Baranya 2</t>
  </si>
  <si>
    <t>Pest 14</t>
  </si>
  <si>
    <t>BKK 6</t>
  </si>
  <si>
    <t>BAZ 1</t>
  </si>
  <si>
    <t>Pest 9</t>
  </si>
  <si>
    <t>Pest 13</t>
  </si>
  <si>
    <t>Fejér 2</t>
  </si>
  <si>
    <t>ZRI-Republikon</t>
  </si>
  <si>
    <t>https://www.facebook.com/TordaiBence/posts/pfbid0rqzJZwF1N6kex12SMc2miK7rUMDH7HnHmdoNrbYcrgFECx4eWS3GHCiiURnDvao7l</t>
  </si>
  <si>
    <t>BP 4 OEVK, még nem nyilvános</t>
  </si>
  <si>
    <t>https://index.hu/belfold/2026/03/31/zavecz-research-kozvelemeny-kutatas-partpreferencia-fidesz-tisza-part-valasztas-2026/</t>
  </si>
  <si>
    <t>https://24.hu/belfold/2026/04/01/21-kutatokozpont-2026-marcius-partpreferencia/</t>
  </si>
  <si>
    <t>VP: https://www.facebook.com/valasztasi.kalauz/posts/pfbid0iUmYCibSTVqHjgvCYq3mWksrG4CC9EhXp1zsJJzHL2auPXCZJwVcnikiF3h2Y34tl</t>
  </si>
  <si>
    <t>https://publicus.hu/blog/partok-tamogatottsaga-2026-marcius/</t>
  </si>
  <si>
    <t>https://www.xxiszazadintezet.hu/vezet-a-fidesz-akar-negyparti-parlament-is-lehetseges/</t>
  </si>
  <si>
    <t>https://alapjogokert.hu/anyagok/kutatasaink/a-kampanyfinisben-erosodott-es-elerte-az-50-ot-a-fidesz</t>
  </si>
  <si>
    <t>74%-os részvételt jósolnak: https://www.facebook.com/median.hu/posts/pfbid02ydoPoEqT9uVnTLzXzWNNm5b9goq2ugDUZTsdKckybJYcDoXzM1beexT7VNGoYmwLl?__cft__[0]=AZZb8Gw1vN9tq8xBTHvDcMweMG_uHvMrnZ2-C_vvKmq42c1rfIiQ0ZtYe9vgTwSpOPwQClZymj3P-TkS3oqyS3ytU-S4LvFjglldSOKqZsi5lNuL91-FP0mQagn5m-9sYM92xqaNEkKrVycMdY9t6vwa&amp;__tn__=%2CO%2CP-R</t>
  </si>
  <si>
    <t>https://www.facebook.com/ideaintezet/posts/pfbid021eDimjvU4tubJXsfmKA3eRmP6oe75LhkjamqvzJ5TmNiS4n3w45AMzokd3YVricwl</t>
  </si>
  <si>
    <t>https://www.dimenziomedia.hu/cikk/Az-ellenzek-koreben-szinte-hatastalan-a-kormanyzati-propaganda-PPI-26-160</t>
  </si>
  <si>
    <t>https://www.policysolutions.hu/userfiles/elemzes/381/policy_solutions_kozhangulat_magyarorszagon_2026marcius.pdf</t>
  </si>
  <si>
    <t>A forrás nem nevezi meg, de https://www.policysolutions.hu/userfiles/elemzes/381/policy_solutions_kozhangulat_magyarorszagon_2026marcius.pdf alapján részben Policy Solutions</t>
  </si>
  <si>
    <t>https://nepszava.hu/3317645_valasztas-2026-csalas-kulfoldi-beavatkozas-felmeres-publicus-intezet</t>
  </si>
  <si>
    <t>https://telex.hu/belfold/2026/04/07/political-capital-kutatas-valasztasi-csalas-kulfoldi-befolyas-mesterseges-intelligencia-partpreferenciak</t>
  </si>
  <si>
    <t>Még nem nyilvános minden részlet</t>
  </si>
  <si>
    <t>https://republikon.hu/elemzesek,-kutatasok/260402_ajanlom-magamat.aspx?fbclid=IwY2xjawRBopdleHRuA2FlbQIxMABicmlkETF5MTQzZGlmcXhsZTE4YWVQc3J0YwZhcHBfaWQQMjIyMDM5MTc4ODIwMDg5MgABHhqSZyrA3MDcrv8piO5zmNhKu9J6ej7ECw5WRZYRPWbk8vByysDpxCojAzlU_aem_nsRYrzaoFdQyZeZHD86KCg</t>
  </si>
  <si>
    <t>https://iranytuintezet.hu/kutatas/az-iranytu-intezet-orszagos-kozvelemeny-kutatasa-2026-marcius-aprilis/</t>
  </si>
  <si>
    <t>https://nepszava.hu/3317917_tisza-part-fidesz-iranytu-intezet-felmeres-ketparti-parlament-kormanyvaltas</t>
  </si>
  <si>
    <t>https://hvg.hu/itthon/20260408_iranytu-intezet-kozvelemeny-kutatas-tisza-part-fidesz</t>
  </si>
  <si>
    <t>Öt kutatás együtt</t>
  </si>
  <si>
    <t>https://hvg.hu/360/20260408_median-mandatumbecsles-fidesz-tisza-valasztas-kethamad-kampany</t>
  </si>
  <si>
    <t>Különböző</t>
  </si>
  <si>
    <t>https://www.facebook.com/ideaintezet/posts/pfbid038L2WFbvcK2m3ibD6qz7jxZGeQeoa3wmLynsohFrBUkC3VrcR441wLdogKRgopN3Tl</t>
  </si>
  <si>
    <t>https://telex.hu/belfold/2026/04/09/idea-intezet-partpreferencia-kozvelemeny-kutatas-tisza-part-fidesz</t>
  </si>
  <si>
    <t>https://szazadveg.hu/cikkek/haboruba-sodrodas-brusszel-es-ukranpartisag-energiaar-emelkedes-ezert-tartjak-a-magyarok-kockazatosnak-magyar-petert/</t>
  </si>
  <si>
    <t>https://nezopont.hu/hu/tevekenysegeink/kozvelemeny-kutatasok/csak-a-fidesztol-varjak-a-rezsicsokkentes-fenntartasat</t>
  </si>
  <si>
    <t>https://hvg.hu/360/20260409_hvg-median-valasztas-2026-partok-valasztoi-motivacio</t>
  </si>
  <si>
    <t>https://publicus.hu/blog/partok-tamogatottsaga-2026-aprilis/</t>
  </si>
  <si>
    <t>"aladémoao ,egremdelő"</t>
  </si>
  <si>
    <t>https://minervaintezet.hu/202604.html</t>
  </si>
  <si>
    <t>https://publicus.hu/blog/szabo-bence-palinkas-szilveszter-es-orban-gaspar-kampany-vegenek-meghatarozo-ugyei/</t>
  </si>
  <si>
    <t>https://index.hu/belfold/2026/04/10/kozvelemeny-kutatas-felmeres-valasztas-2026-fidesz-tisza-part/</t>
  </si>
  <si>
    <t>AtlasIntel</t>
  </si>
  <si>
    <t>https://www.atlasintel.org/poll/magyarorszag-parlamenti-valasztas-2026-04-10</t>
  </si>
  <si>
    <t>https://21kutatokozpont.hu/bekes2-kutatas-2026-4.html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</si>
</sst>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9" x14ac:knownFonts="1">
    <font>
      <sz val="11"/>
      <color theme="1"/>
      <name val="Calibri"/>
      <scheme val="minor"/>
    </font>
    <font>
      <b/>
      <sz val="11"/>
      <color theme="1"/>
      <name val="Calibri"/>
      <family val="2"/>
    </font>
    <font>
      <sz val="11"/>
      <color theme="1"/>
      <name val="Calibri"/>
      <family val="2"/>
    </font>
    <font>
      <sz val="11"/>
      <color rgb="FF000000"/>
      <name val="Arial"/>
      <family val="2"/>
    </font>
    <font>
      <sz val="11"/>
      <color theme="1"/>
      <name val="Calibri"/>
      <family val="2"/>
      <scheme val="minor"/>
    </font>
    <font>
      <u/>
      <sz val="11"/>
      <color theme="10"/>
      <name val="Calibri"/>
      <family val="2"/>
    </font>
    <font>
      <sz val="11"/>
      <color rgb="FFFF0000"/>
      <name val="Calibri"/>
      <family val="2"/>
    </font>
    <font>
      <u/>
      <sz val="11"/>
      <color theme="10"/>
      <name val="Calibri"/>
      <family val="2"/>
    </font>
    <font>
      <u/>
      <sz val="11"/>
      <color theme="10"/>
      <name val="Calibri"/>
      <family val="2"/>
    </font>
    <font>
      <u/>
      <sz val="11"/>
      <color theme="10"/>
      <name val="Calibri"/>
      <family val="2"/>
    </font>
    <font>
      <sz val="11"/>
      <color rgb="FF222222"/>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i/>
      <sz val="11"/>
      <color theme="1"/>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u/>
      <sz val="11"/>
      <color theme="1"/>
      <name val="Calibri"/>
      <family val="2"/>
    </font>
    <font>
      <sz val="11"/>
      <color rgb="FFFF4343"/>
      <name val="Calibri"/>
      <family val="2"/>
    </font>
    <font>
      <u/>
      <sz val="11"/>
      <color theme="1"/>
      <name val="Calibri"/>
      <family val="2"/>
    </font>
    <font>
      <u/>
      <sz val="11"/>
      <color theme="10"/>
      <name val="Calibri"/>
      <family val="2"/>
    </font>
    <font>
      <sz val="11"/>
      <color rgb="FF000000"/>
      <name val="Calibri"/>
      <family val="2"/>
    </font>
    <font>
      <u/>
      <sz val="11"/>
      <color rgb="FF0000FF"/>
      <name val="Calibri"/>
      <family val="2"/>
    </font>
    <font>
      <sz val="10"/>
      <color rgb="FF222222"/>
      <name val="Arial"/>
      <family val="2"/>
    </font>
    <font>
      <u/>
      <sz val="11"/>
      <color rgb="FF222222"/>
      <name val="Calibri"/>
      <family val="2"/>
    </font>
    <font>
      <sz val="10"/>
      <color rgb="FFFF0000"/>
      <name val="Arial"/>
      <family val="2"/>
    </font>
    <font>
      <u/>
      <sz val="11"/>
      <color theme="1"/>
      <name val="Calibri"/>
      <family val="2"/>
    </font>
    <font>
      <u/>
      <sz val="11"/>
      <color theme="10"/>
      <name val="Calibri"/>
      <family val="2"/>
    </font>
    <font>
      <u/>
      <sz val="11"/>
      <color theme="10"/>
      <name val="Calibri"/>
      <family val="2"/>
      <scheme val="minor"/>
    </font>
    <font>
      <sz val="11"/>
      <name val="Calibri"/>
      <family val="2"/>
    </font>
    <font>
      <b/>
      <sz val="11"/>
      <name val="Calibri"/>
      <family val="2"/>
      <scheme val="minor"/>
    </font>
    <font>
      <u/>
      <sz val="11"/>
      <name val="Calibri"/>
      <family val="2"/>
    </font>
    <font>
      <sz val="11"/>
      <name val="Calibri"/>
      <family val="2"/>
      <scheme val="minor"/>
    </font>
    <font>
      <sz val="11"/>
      <color rgb="FF222222"/>
      <name val="Calibri"/>
      <family val="2"/>
      <scheme val="minor"/>
    </font>
    <font>
      <i/>
      <sz val="11"/>
      <color rgb="FF222222"/>
      <name val="Calibri"/>
      <family val="2"/>
      <scheme val="minor"/>
    </font>
    <font>
      <sz val="11"/>
      <color rgb="FFFF0000"/>
      <name val="Calibri"/>
      <family val="2"/>
      <scheme val="minor"/>
    </font>
    <font>
      <sz val="11"/>
      <color rgb="FFFF0000"/>
      <name val="Calibri"/>
      <family val="2"/>
      <charset val="238"/>
      <scheme val="minor"/>
    </font>
    <font>
      <sz val="10"/>
      <color rgb="FF000000"/>
      <name val="Arial"/>
      <family val="2"/>
    </font>
    <font>
      <sz val="11"/>
      <color rgb="FF000000"/>
      <name val="Calibri"/>
      <family val="2"/>
      <scheme val="minor"/>
    </font>
    <font>
      <u/>
      <sz val="11"/>
      <color rgb="FF0563C1"/>
      <name val="Calibri"/>
      <family val="2"/>
      <scheme val="minor"/>
    </font>
    <font>
      <sz val="11"/>
      <name val="Calibri (Body)"/>
    </font>
    <font>
      <u/>
      <sz val="11"/>
      <name val="Calibri (Body)"/>
    </font>
  </fonts>
  <fills count="47">
    <fill>
      <patternFill patternType="none"/>
    </fill>
    <fill>
      <patternFill patternType="gray125"/>
    </fill>
    <fill>
      <patternFill patternType="solid">
        <fgColor rgb="FFE7E6E6"/>
        <bgColor rgb="FFE7E6E6"/>
      </patternFill>
    </fill>
    <fill>
      <patternFill patternType="solid">
        <fgColor rgb="FFCCECFF"/>
        <bgColor rgb="FFCCECFF"/>
      </patternFill>
    </fill>
    <fill>
      <patternFill patternType="solid">
        <fgColor rgb="FFD6C168"/>
        <bgColor rgb="FFD6C168"/>
      </patternFill>
    </fill>
    <fill>
      <patternFill patternType="solid">
        <fgColor rgb="FFFF66FF"/>
        <bgColor rgb="FFFF66FF"/>
      </patternFill>
    </fill>
    <fill>
      <patternFill patternType="solid">
        <fgColor rgb="FFFFFF00"/>
        <bgColor rgb="FFFFFF00"/>
      </patternFill>
    </fill>
    <fill>
      <patternFill patternType="solid">
        <fgColor rgb="FFAEABAB"/>
        <bgColor rgb="FFAEABAB"/>
      </patternFill>
    </fill>
    <fill>
      <patternFill patternType="solid">
        <fgColor rgb="FFFFCCCC"/>
        <bgColor rgb="FFFFCCCC"/>
      </patternFill>
    </fill>
    <fill>
      <patternFill patternType="solid">
        <fgColor rgb="FF00B0F0"/>
        <bgColor rgb="FF00B0F0"/>
      </patternFill>
    </fill>
    <fill>
      <patternFill patternType="solid">
        <fgColor rgb="FF7030A0"/>
        <bgColor rgb="FF7030A0"/>
      </patternFill>
    </fill>
    <fill>
      <patternFill patternType="solid">
        <fgColor rgb="FFFFC000"/>
        <bgColor rgb="FFFFC000"/>
      </patternFill>
    </fill>
    <fill>
      <patternFill patternType="solid">
        <fgColor rgb="FFFFFFCC"/>
        <bgColor rgb="FFFFFFCC"/>
      </patternFill>
    </fill>
    <fill>
      <patternFill patternType="solid">
        <fgColor rgb="FFFF0000"/>
        <bgColor rgb="FFFF0000"/>
      </patternFill>
    </fill>
    <fill>
      <patternFill patternType="solid">
        <fgColor rgb="FFFFB8C1"/>
        <bgColor rgb="FFFFB8C1"/>
      </patternFill>
    </fill>
    <fill>
      <patternFill patternType="solid">
        <fgColor rgb="FFCCFF33"/>
        <bgColor rgb="FFCCFF33"/>
      </patternFill>
    </fill>
    <fill>
      <patternFill patternType="solid">
        <fgColor rgb="FFA5A5A5"/>
        <bgColor rgb="FFA5A5A5"/>
      </patternFill>
    </fill>
    <fill>
      <patternFill patternType="solid">
        <fgColor theme="0"/>
        <bgColor theme="0"/>
      </patternFill>
    </fill>
    <fill>
      <patternFill patternType="solid">
        <fgColor rgb="FFFFE598"/>
        <bgColor rgb="FFFFE598"/>
      </patternFill>
    </fill>
    <fill>
      <patternFill patternType="solid">
        <fgColor rgb="FF34FEBF"/>
        <bgColor rgb="FF34FEBF"/>
      </patternFill>
    </fill>
    <fill>
      <patternFill patternType="solid">
        <fgColor rgb="FFFFFAD9"/>
        <bgColor rgb="FFFFFAD9"/>
      </patternFill>
    </fill>
    <fill>
      <patternFill patternType="solid">
        <fgColor rgb="FFBDD6EE"/>
        <bgColor rgb="FFBDD6EE"/>
      </patternFill>
    </fill>
    <fill>
      <patternFill patternType="solid">
        <fgColor rgb="FFCC99FF"/>
        <bgColor rgb="FFCC99FF"/>
      </patternFill>
    </fill>
    <fill>
      <patternFill patternType="solid">
        <fgColor rgb="FFD19EFF"/>
        <bgColor indexed="64"/>
      </patternFill>
    </fill>
    <fill>
      <patternFill patternType="solid">
        <fgColor rgb="FFD19EFF"/>
        <bgColor rgb="FFE7E6E6"/>
      </patternFill>
    </fill>
    <fill>
      <patternFill patternType="solid">
        <fgColor theme="0" tint="-0.34998626667073579"/>
        <bgColor rgb="FFE7E6E6"/>
      </patternFill>
    </fill>
    <fill>
      <patternFill patternType="solid">
        <fgColor theme="0" tint="-0.34998626667073579"/>
        <bgColor rgb="FFAEABAB"/>
      </patternFill>
    </fill>
    <fill>
      <patternFill patternType="solid">
        <fgColor theme="0" tint="-0.14999847407452621"/>
        <bgColor rgb="FFCCECFF"/>
      </patternFill>
    </fill>
    <fill>
      <patternFill patternType="solid">
        <fgColor rgb="FF92D050"/>
        <bgColor rgb="FFFFFF00"/>
      </patternFill>
    </fill>
    <fill>
      <patternFill patternType="solid">
        <fgColor rgb="FF92D050"/>
        <bgColor rgb="FF00B0F0"/>
      </patternFill>
    </fill>
    <fill>
      <patternFill patternType="solid">
        <fgColor theme="9" tint="0.59999389629810485"/>
        <bgColor rgb="FFFFCCCC"/>
      </patternFill>
    </fill>
    <fill>
      <patternFill patternType="solid">
        <fgColor theme="9" tint="-0.499984740745262"/>
        <bgColor rgb="FF7030A0"/>
      </patternFill>
    </fill>
    <fill>
      <patternFill patternType="solid">
        <fgColor rgb="FFFFC000"/>
        <bgColor rgb="FFD6C168"/>
      </patternFill>
    </fill>
    <fill>
      <patternFill patternType="solid">
        <fgColor rgb="FFFFFF00"/>
        <bgColor indexed="64"/>
      </patternFill>
    </fill>
    <fill>
      <patternFill patternType="solid">
        <fgColor theme="7" tint="0.79998168889431442"/>
        <bgColor rgb="FFFFFFCC"/>
      </patternFill>
    </fill>
    <fill>
      <patternFill patternType="solid">
        <fgColor theme="7" tint="0.79998168889431442"/>
        <bgColor indexed="64"/>
      </patternFill>
    </fill>
    <fill>
      <patternFill patternType="solid">
        <fgColor rgb="FFFF8CD7"/>
        <bgColor indexed="64"/>
      </patternFill>
    </fill>
    <fill>
      <patternFill patternType="solid">
        <fgColor rgb="FFFF8CD7"/>
        <bgColor rgb="FF7030A0"/>
      </patternFill>
    </fill>
    <fill>
      <patternFill patternType="solid">
        <fgColor rgb="FFFF8CD7"/>
        <bgColor rgb="FFFF66FF"/>
      </patternFill>
    </fill>
    <fill>
      <patternFill patternType="solid">
        <fgColor theme="2" tint="-0.14999847407452621"/>
        <bgColor indexed="64"/>
      </patternFill>
    </fill>
    <fill>
      <patternFill patternType="solid">
        <fgColor rgb="FFFFC3C6"/>
        <bgColor indexed="64"/>
      </patternFill>
    </fill>
    <fill>
      <patternFill patternType="solid">
        <fgColor rgb="FF00B0F0"/>
        <bgColor indexed="64"/>
      </patternFill>
    </fill>
    <fill>
      <patternFill patternType="solid">
        <fgColor rgb="FFEEC983"/>
        <bgColor indexed="64"/>
      </patternFill>
    </fill>
    <fill>
      <patternFill patternType="solid">
        <fgColor theme="7"/>
        <bgColor indexed="64"/>
      </patternFill>
    </fill>
    <fill>
      <patternFill patternType="solid">
        <fgColor rgb="FFD19EFF"/>
        <bgColor rgb="FF000000"/>
      </patternFill>
    </fill>
    <fill>
      <patternFill patternType="solid">
        <fgColor rgb="FFFF8CD7"/>
        <bgColor rgb="FF000000"/>
      </patternFill>
    </fill>
    <fill>
      <patternFill patternType="solid">
        <fgColor rgb="FF7030A0"/>
        <bgColor indexed="64"/>
      </patternFill>
    </fill>
  </fills>
  <borders count="3">
    <border>
      <left/>
      <right/>
      <top/>
      <bottom/>
      <diagonal/>
    </border>
    <border>
      <left/>
      <right/>
      <top/>
      <bottom style="thick">
        <color rgb="FF000000"/>
      </bottom>
      <diagonal/>
    </border>
    <border>
      <left/>
      <right/>
      <top/>
      <bottom/>
      <diagonal/>
    </border>
  </borders>
  <cellStyleXfs count="2">
    <xf numFmtId="0" fontId="0" fillId="0" borderId="0"/>
    <xf numFmtId="0" fontId="45" fillId="0" borderId="0" applyNumberFormat="0" applyFill="0" applyBorder="0" applyAlignment="0" applyProtection="0"/>
  </cellStyleXfs>
  <cellXfs count="704">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wrapText="1"/>
    </xf>
    <xf numFmtId="0" fontId="1" fillId="0" borderId="0" xfId="0" applyFont="1" applyAlignment="1">
      <alignment wrapText="1"/>
    </xf>
    <xf numFmtId="0" fontId="3" fillId="0" borderId="0" xfId="0" applyFont="1" applyAlignment="1">
      <alignment vertical="center" wrapText="1"/>
    </xf>
    <xf numFmtId="0" fontId="4" fillId="0" borderId="0" xfId="0" applyFont="1"/>
    <xf numFmtId="1" fontId="2" fillId="0" borderId="0" xfId="0" applyNumberFormat="1" applyFont="1" applyAlignment="1">
      <alignment wrapText="1"/>
    </xf>
    <xf numFmtId="49" fontId="1" fillId="0" borderId="1" xfId="0" applyNumberFormat="1" applyFont="1" applyBorder="1"/>
    <xf numFmtId="14" fontId="1" fillId="0" borderId="1" xfId="0" applyNumberFormat="1" applyFont="1" applyBorder="1"/>
    <xf numFmtId="164" fontId="1" fillId="0" borderId="1" xfId="0" applyNumberFormat="1" applyFont="1" applyBorder="1"/>
    <xf numFmtId="2" fontId="1" fillId="0" borderId="1" xfId="0" applyNumberFormat="1" applyFont="1" applyBorder="1"/>
    <xf numFmtId="1" fontId="1" fillId="0" borderId="1" xfId="0" applyNumberFormat="1" applyFont="1" applyBorder="1"/>
    <xf numFmtId="49" fontId="2" fillId="2" borderId="2" xfId="0" applyNumberFormat="1" applyFont="1" applyFill="1" applyBorder="1"/>
    <xf numFmtId="14" fontId="2" fillId="2" borderId="2" xfId="0" applyNumberFormat="1" applyFont="1" applyFill="1" applyBorder="1"/>
    <xf numFmtId="164" fontId="2" fillId="2" borderId="2" xfId="0" applyNumberFormat="1" applyFont="1" applyFill="1" applyBorder="1"/>
    <xf numFmtId="2" fontId="2" fillId="2" borderId="2" xfId="0" applyNumberFormat="1" applyFont="1" applyFill="1" applyBorder="1"/>
    <xf numFmtId="1" fontId="2" fillId="2" borderId="2" xfId="0" applyNumberFormat="1" applyFont="1" applyFill="1" applyBorder="1"/>
    <xf numFmtId="49" fontId="5" fillId="2" borderId="2" xfId="0" applyNumberFormat="1" applyFont="1" applyFill="1" applyBorder="1"/>
    <xf numFmtId="49" fontId="2" fillId="3" borderId="2" xfId="0" applyNumberFormat="1" applyFont="1" applyFill="1" applyBorder="1"/>
    <xf numFmtId="14" fontId="2" fillId="3" borderId="2" xfId="0" applyNumberFormat="1" applyFont="1" applyFill="1" applyBorder="1"/>
    <xf numFmtId="164" fontId="2" fillId="3" borderId="2" xfId="0" applyNumberFormat="1" applyFont="1" applyFill="1" applyBorder="1"/>
    <xf numFmtId="164" fontId="6" fillId="3" borderId="2" xfId="0" applyNumberFormat="1" applyFont="1" applyFill="1" applyBorder="1"/>
    <xf numFmtId="2" fontId="2" fillId="3" borderId="2" xfId="0" applyNumberFormat="1" applyFont="1" applyFill="1" applyBorder="1"/>
    <xf numFmtId="164" fontId="7" fillId="3" borderId="2" xfId="0" applyNumberFormat="1" applyFont="1" applyFill="1" applyBorder="1"/>
    <xf numFmtId="1" fontId="2" fillId="3" borderId="2" xfId="0" applyNumberFormat="1" applyFont="1" applyFill="1" applyBorder="1"/>
    <xf numFmtId="1" fontId="8" fillId="3" borderId="2" xfId="0" applyNumberFormat="1" applyFont="1" applyFill="1" applyBorder="1"/>
    <xf numFmtId="49" fontId="2" fillId="4" borderId="2" xfId="0" applyNumberFormat="1" applyFont="1" applyFill="1" applyBorder="1"/>
    <xf numFmtId="14" fontId="2" fillId="4" borderId="2" xfId="0" applyNumberFormat="1" applyFont="1" applyFill="1" applyBorder="1"/>
    <xf numFmtId="164" fontId="2" fillId="4" borderId="2" xfId="0" applyNumberFormat="1" applyFont="1" applyFill="1" applyBorder="1"/>
    <xf numFmtId="2" fontId="2" fillId="4" borderId="2" xfId="0" applyNumberFormat="1" applyFont="1" applyFill="1" applyBorder="1"/>
    <xf numFmtId="1" fontId="2" fillId="4" borderId="2" xfId="0" applyNumberFormat="1" applyFont="1" applyFill="1" applyBorder="1"/>
    <xf numFmtId="49" fontId="9" fillId="4" borderId="2" xfId="0" applyNumberFormat="1" applyFont="1" applyFill="1" applyBorder="1"/>
    <xf numFmtId="49" fontId="2" fillId="5" borderId="2" xfId="0" applyNumberFormat="1" applyFont="1" applyFill="1" applyBorder="1"/>
    <xf numFmtId="14" fontId="2" fillId="5" borderId="2" xfId="0" applyNumberFormat="1" applyFont="1" applyFill="1" applyBorder="1"/>
    <xf numFmtId="164" fontId="2" fillId="5" borderId="2" xfId="0" applyNumberFormat="1" applyFont="1" applyFill="1" applyBorder="1"/>
    <xf numFmtId="164" fontId="6" fillId="5" borderId="2" xfId="0" applyNumberFormat="1" applyFont="1" applyFill="1" applyBorder="1"/>
    <xf numFmtId="2" fontId="2" fillId="5" borderId="2" xfId="0" applyNumberFormat="1" applyFont="1" applyFill="1" applyBorder="1"/>
    <xf numFmtId="49" fontId="11" fillId="5" borderId="2" xfId="0" applyNumberFormat="1" applyFont="1" applyFill="1" applyBorder="1"/>
    <xf numFmtId="1" fontId="2" fillId="5" borderId="2" xfId="0" applyNumberFormat="1" applyFont="1" applyFill="1" applyBorder="1"/>
    <xf numFmtId="49" fontId="2" fillId="6" borderId="2" xfId="0" applyNumberFormat="1" applyFont="1" applyFill="1" applyBorder="1"/>
    <xf numFmtId="14" fontId="2" fillId="6" borderId="2" xfId="0" applyNumberFormat="1" applyFont="1" applyFill="1" applyBorder="1"/>
    <xf numFmtId="164" fontId="2" fillId="6" borderId="2" xfId="0" applyNumberFormat="1" applyFont="1" applyFill="1" applyBorder="1"/>
    <xf numFmtId="164" fontId="6" fillId="6" borderId="2" xfId="0" applyNumberFormat="1" applyFont="1" applyFill="1" applyBorder="1"/>
    <xf numFmtId="2" fontId="2" fillId="6" borderId="2" xfId="0" applyNumberFormat="1" applyFont="1" applyFill="1" applyBorder="1"/>
    <xf numFmtId="1" fontId="2" fillId="6" borderId="2" xfId="0" applyNumberFormat="1" applyFont="1" applyFill="1" applyBorder="1"/>
    <xf numFmtId="164" fontId="12" fillId="6" borderId="2" xfId="0" applyNumberFormat="1" applyFont="1" applyFill="1" applyBorder="1"/>
    <xf numFmtId="49" fontId="2" fillId="7" borderId="2" xfId="0" applyNumberFormat="1" applyFont="1" applyFill="1" applyBorder="1"/>
    <xf numFmtId="14" fontId="2" fillId="7" borderId="2" xfId="0" applyNumberFormat="1" applyFont="1" applyFill="1" applyBorder="1"/>
    <xf numFmtId="164" fontId="2" fillId="7" borderId="2" xfId="0" applyNumberFormat="1" applyFont="1" applyFill="1" applyBorder="1"/>
    <xf numFmtId="2" fontId="2" fillId="7" borderId="2" xfId="0" applyNumberFormat="1" applyFont="1" applyFill="1" applyBorder="1"/>
    <xf numFmtId="1" fontId="2" fillId="7" borderId="2" xfId="0" applyNumberFormat="1" applyFont="1" applyFill="1" applyBorder="1"/>
    <xf numFmtId="49" fontId="13" fillId="7" borderId="2" xfId="0" applyNumberFormat="1" applyFont="1" applyFill="1" applyBorder="1"/>
    <xf numFmtId="49" fontId="2" fillId="8" borderId="2" xfId="0" applyNumberFormat="1" applyFont="1" applyFill="1" applyBorder="1"/>
    <xf numFmtId="14" fontId="2" fillId="8" borderId="2" xfId="0" applyNumberFormat="1" applyFont="1" applyFill="1" applyBorder="1"/>
    <xf numFmtId="164" fontId="2" fillId="8" borderId="2" xfId="0" applyNumberFormat="1" applyFont="1" applyFill="1" applyBorder="1"/>
    <xf numFmtId="164" fontId="6" fillId="8" borderId="2" xfId="0" applyNumberFormat="1" applyFont="1" applyFill="1" applyBorder="1"/>
    <xf numFmtId="2" fontId="2" fillId="8" borderId="2" xfId="0" applyNumberFormat="1" applyFont="1" applyFill="1" applyBorder="1"/>
    <xf numFmtId="1" fontId="2" fillId="8" borderId="2" xfId="0" applyNumberFormat="1" applyFont="1" applyFill="1" applyBorder="1"/>
    <xf numFmtId="49" fontId="14" fillId="8" borderId="2" xfId="0" applyNumberFormat="1" applyFont="1" applyFill="1" applyBorder="1"/>
    <xf numFmtId="14" fontId="2" fillId="9" borderId="2" xfId="0" applyNumberFormat="1" applyFont="1" applyFill="1" applyBorder="1"/>
    <xf numFmtId="49" fontId="2" fillId="9" borderId="2" xfId="0" applyNumberFormat="1" applyFont="1" applyFill="1" applyBorder="1"/>
    <xf numFmtId="49" fontId="6" fillId="9" borderId="2" xfId="0" applyNumberFormat="1" applyFont="1" applyFill="1" applyBorder="1"/>
    <xf numFmtId="164" fontId="2" fillId="9" borderId="2" xfId="0" applyNumberFormat="1" applyFont="1" applyFill="1" applyBorder="1"/>
    <xf numFmtId="164" fontId="6" fillId="9" borderId="2" xfId="0" applyNumberFormat="1" applyFont="1" applyFill="1" applyBorder="1"/>
    <xf numFmtId="2" fontId="2" fillId="9" borderId="2" xfId="0" applyNumberFormat="1" applyFont="1" applyFill="1" applyBorder="1"/>
    <xf numFmtId="1" fontId="2" fillId="9" borderId="2" xfId="0" applyNumberFormat="1" applyFont="1" applyFill="1" applyBorder="1"/>
    <xf numFmtId="49" fontId="16" fillId="9" borderId="2" xfId="0" applyNumberFormat="1" applyFont="1" applyFill="1" applyBorder="1"/>
    <xf numFmtId="14" fontId="6" fillId="8" borderId="2" xfId="0" applyNumberFormat="1" applyFont="1" applyFill="1" applyBorder="1"/>
    <xf numFmtId="49" fontId="2" fillId="10" borderId="2" xfId="0" applyNumberFormat="1" applyFont="1" applyFill="1" applyBorder="1"/>
    <xf numFmtId="14" fontId="2" fillId="10" borderId="2" xfId="0" applyNumberFormat="1" applyFont="1" applyFill="1" applyBorder="1"/>
    <xf numFmtId="164" fontId="2" fillId="10" borderId="2" xfId="0" applyNumberFormat="1" applyFont="1" applyFill="1" applyBorder="1"/>
    <xf numFmtId="164" fontId="6" fillId="10" borderId="2" xfId="0" applyNumberFormat="1" applyFont="1" applyFill="1" applyBorder="1"/>
    <xf numFmtId="2" fontId="2" fillId="10" borderId="2" xfId="0" applyNumberFormat="1" applyFont="1" applyFill="1" applyBorder="1"/>
    <xf numFmtId="1" fontId="2" fillId="10" borderId="2" xfId="0" applyNumberFormat="1" applyFont="1" applyFill="1" applyBorder="1"/>
    <xf numFmtId="49" fontId="17" fillId="10" borderId="2" xfId="0" applyNumberFormat="1" applyFont="1" applyFill="1" applyBorder="1"/>
    <xf numFmtId="49" fontId="2" fillId="11" borderId="2" xfId="0" applyNumberFormat="1" applyFont="1" applyFill="1" applyBorder="1"/>
    <xf numFmtId="14" fontId="2" fillId="11" borderId="2" xfId="0" applyNumberFormat="1" applyFont="1" applyFill="1" applyBorder="1"/>
    <xf numFmtId="164" fontId="2" fillId="11" borderId="2" xfId="0" applyNumberFormat="1" applyFont="1" applyFill="1" applyBorder="1"/>
    <xf numFmtId="2" fontId="2" fillId="11" borderId="2" xfId="0" applyNumberFormat="1" applyFont="1" applyFill="1" applyBorder="1"/>
    <xf numFmtId="1" fontId="2" fillId="11" borderId="2" xfId="0" applyNumberFormat="1" applyFont="1" applyFill="1" applyBorder="1"/>
    <xf numFmtId="49" fontId="18" fillId="11" borderId="2" xfId="0" applyNumberFormat="1" applyFont="1" applyFill="1" applyBorder="1"/>
    <xf numFmtId="49" fontId="6" fillId="5" borderId="2" xfId="0" applyNumberFormat="1" applyFont="1" applyFill="1" applyBorder="1"/>
    <xf numFmtId="49" fontId="19" fillId="3" borderId="2" xfId="0" applyNumberFormat="1" applyFont="1" applyFill="1" applyBorder="1"/>
    <xf numFmtId="49" fontId="2" fillId="12" borderId="2" xfId="0" applyNumberFormat="1" applyFont="1" applyFill="1" applyBorder="1"/>
    <xf numFmtId="14" fontId="2" fillId="12" borderId="2" xfId="0" applyNumberFormat="1" applyFont="1" applyFill="1" applyBorder="1"/>
    <xf numFmtId="164" fontId="2" fillId="12" borderId="2" xfId="0" applyNumberFormat="1" applyFont="1" applyFill="1" applyBorder="1"/>
    <xf numFmtId="2" fontId="2" fillId="12" borderId="2" xfId="0" applyNumberFormat="1" applyFont="1" applyFill="1" applyBorder="1"/>
    <xf numFmtId="1" fontId="2" fillId="12" borderId="2" xfId="0" applyNumberFormat="1" applyFont="1" applyFill="1" applyBorder="1"/>
    <xf numFmtId="49" fontId="20" fillId="12" borderId="2" xfId="0" applyNumberFormat="1" applyFont="1" applyFill="1" applyBorder="1"/>
    <xf numFmtId="14" fontId="6" fillId="7" borderId="2" xfId="0" applyNumberFormat="1" applyFont="1" applyFill="1" applyBorder="1"/>
    <xf numFmtId="49" fontId="2" fillId="13" borderId="2" xfId="0" applyNumberFormat="1" applyFont="1" applyFill="1" applyBorder="1"/>
    <xf numFmtId="14" fontId="6" fillId="14" borderId="2" xfId="0" applyNumberFormat="1" applyFont="1" applyFill="1" applyBorder="1"/>
    <xf numFmtId="164" fontId="2" fillId="13" borderId="2" xfId="0" applyNumberFormat="1" applyFont="1" applyFill="1" applyBorder="1"/>
    <xf numFmtId="164" fontId="6" fillId="13" borderId="2" xfId="0" applyNumberFormat="1" applyFont="1" applyFill="1" applyBorder="1"/>
    <xf numFmtId="2" fontId="2" fillId="13" borderId="2" xfId="0" applyNumberFormat="1" applyFont="1" applyFill="1" applyBorder="1"/>
    <xf numFmtId="1" fontId="2" fillId="13" borderId="2" xfId="0" applyNumberFormat="1" applyFont="1" applyFill="1" applyBorder="1"/>
    <xf numFmtId="164" fontId="21" fillId="13" borderId="2" xfId="0" applyNumberFormat="1" applyFont="1" applyFill="1" applyBorder="1"/>
    <xf numFmtId="164" fontId="6" fillId="2" borderId="2" xfId="0" applyNumberFormat="1" applyFont="1" applyFill="1" applyBorder="1"/>
    <xf numFmtId="49" fontId="2" fillId="15" borderId="2" xfId="0" applyNumberFormat="1" applyFont="1" applyFill="1" applyBorder="1"/>
    <xf numFmtId="14" fontId="2" fillId="15" borderId="2" xfId="0" applyNumberFormat="1" applyFont="1" applyFill="1" applyBorder="1"/>
    <xf numFmtId="164" fontId="2" fillId="15" borderId="2" xfId="0" applyNumberFormat="1" applyFont="1" applyFill="1" applyBorder="1"/>
    <xf numFmtId="2" fontId="2" fillId="15" borderId="2" xfId="0" applyNumberFormat="1" applyFont="1" applyFill="1" applyBorder="1"/>
    <xf numFmtId="1" fontId="2" fillId="15" borderId="2" xfId="0" applyNumberFormat="1" applyFont="1" applyFill="1" applyBorder="1"/>
    <xf numFmtId="49" fontId="22" fillId="15" borderId="2" xfId="0" applyNumberFormat="1" applyFont="1" applyFill="1" applyBorder="1"/>
    <xf numFmtId="14" fontId="2" fillId="13" borderId="2" xfId="0" applyNumberFormat="1" applyFont="1" applyFill="1" applyBorder="1"/>
    <xf numFmtId="14" fontId="6" fillId="6" borderId="2" xfId="0" applyNumberFormat="1" applyFont="1" applyFill="1" applyBorder="1"/>
    <xf numFmtId="14" fontId="6" fillId="5" borderId="2" xfId="0" applyNumberFormat="1" applyFont="1" applyFill="1" applyBorder="1"/>
    <xf numFmtId="14" fontId="6" fillId="11" borderId="2" xfId="0" applyNumberFormat="1" applyFont="1" applyFill="1" applyBorder="1"/>
    <xf numFmtId="14" fontId="6" fillId="10" borderId="2" xfId="0" applyNumberFormat="1" applyFont="1" applyFill="1" applyBorder="1"/>
    <xf numFmtId="49" fontId="6" fillId="10" borderId="2" xfId="0" applyNumberFormat="1" applyFont="1" applyFill="1" applyBorder="1"/>
    <xf numFmtId="14" fontId="6" fillId="15" borderId="2" xfId="0" applyNumberFormat="1" applyFont="1" applyFill="1" applyBorder="1"/>
    <xf numFmtId="49" fontId="24" fillId="10" borderId="2" xfId="0" applyNumberFormat="1" applyFont="1" applyFill="1" applyBorder="1"/>
    <xf numFmtId="164" fontId="6" fillId="7" borderId="2" xfId="0" applyNumberFormat="1" applyFont="1" applyFill="1" applyBorder="1"/>
    <xf numFmtId="49" fontId="2" fillId="17" borderId="2" xfId="0" applyNumberFormat="1" applyFont="1" applyFill="1" applyBorder="1"/>
    <xf numFmtId="14" fontId="6" fillId="17" borderId="2" xfId="0" applyNumberFormat="1" applyFont="1" applyFill="1" applyBorder="1"/>
    <xf numFmtId="164" fontId="2" fillId="17" borderId="2" xfId="0" applyNumberFormat="1" applyFont="1" applyFill="1" applyBorder="1"/>
    <xf numFmtId="164" fontId="6" fillId="17" borderId="2" xfId="0" applyNumberFormat="1" applyFont="1" applyFill="1" applyBorder="1"/>
    <xf numFmtId="2" fontId="2" fillId="17" borderId="2" xfId="0" applyNumberFormat="1" applyFont="1" applyFill="1" applyBorder="1"/>
    <xf numFmtId="1" fontId="2" fillId="17" borderId="2" xfId="0" applyNumberFormat="1" applyFont="1" applyFill="1" applyBorder="1"/>
    <xf numFmtId="164" fontId="25" fillId="17" borderId="2" xfId="0" applyNumberFormat="1" applyFont="1" applyFill="1" applyBorder="1"/>
    <xf numFmtId="49" fontId="2" fillId="18" borderId="2" xfId="0" applyNumberFormat="1" applyFont="1" applyFill="1" applyBorder="1"/>
    <xf numFmtId="14" fontId="2" fillId="18" borderId="2" xfId="0" applyNumberFormat="1" applyFont="1" applyFill="1" applyBorder="1"/>
    <xf numFmtId="164" fontId="2" fillId="18" borderId="2" xfId="0" applyNumberFormat="1" applyFont="1" applyFill="1" applyBorder="1"/>
    <xf numFmtId="164" fontId="6" fillId="18" borderId="2" xfId="0" applyNumberFormat="1" applyFont="1" applyFill="1" applyBorder="1"/>
    <xf numFmtId="2" fontId="2" fillId="18" borderId="2" xfId="0" applyNumberFormat="1" applyFont="1" applyFill="1" applyBorder="1"/>
    <xf numFmtId="1" fontId="2" fillId="18" borderId="2" xfId="0" applyNumberFormat="1" applyFont="1" applyFill="1" applyBorder="1"/>
    <xf numFmtId="49" fontId="26" fillId="18" borderId="2" xfId="0" applyNumberFormat="1" applyFont="1" applyFill="1" applyBorder="1"/>
    <xf numFmtId="164" fontId="6" fillId="12" borderId="2" xfId="0" applyNumberFormat="1" applyFont="1" applyFill="1" applyBorder="1"/>
    <xf numFmtId="49" fontId="6" fillId="6" borderId="2" xfId="0" applyNumberFormat="1" applyFont="1" applyFill="1" applyBorder="1"/>
    <xf numFmtId="164" fontId="6" fillId="4" borderId="2" xfId="0" applyNumberFormat="1" applyFont="1" applyFill="1" applyBorder="1"/>
    <xf numFmtId="164" fontId="6" fillId="15" borderId="2" xfId="0" applyNumberFormat="1" applyFont="1" applyFill="1" applyBorder="1"/>
    <xf numFmtId="49" fontId="27" fillId="6" borderId="2" xfId="0" applyNumberFormat="1" applyFont="1" applyFill="1" applyBorder="1"/>
    <xf numFmtId="1" fontId="28" fillId="7" borderId="2" xfId="0" applyNumberFormat="1" applyFont="1" applyFill="1" applyBorder="1"/>
    <xf numFmtId="49" fontId="2" fillId="19" borderId="2" xfId="0" applyNumberFormat="1" applyFont="1" applyFill="1" applyBorder="1"/>
    <xf numFmtId="14" fontId="2" fillId="19" borderId="2" xfId="0" applyNumberFormat="1" applyFont="1" applyFill="1" applyBorder="1"/>
    <xf numFmtId="164" fontId="2" fillId="19" borderId="2" xfId="0" applyNumberFormat="1" applyFont="1" applyFill="1" applyBorder="1"/>
    <xf numFmtId="2" fontId="2" fillId="19" borderId="2" xfId="0" applyNumberFormat="1" applyFont="1" applyFill="1" applyBorder="1"/>
    <xf numFmtId="1" fontId="2" fillId="19" borderId="2" xfId="0" applyNumberFormat="1" applyFont="1" applyFill="1" applyBorder="1"/>
    <xf numFmtId="49" fontId="29" fillId="19" borderId="2" xfId="0" applyNumberFormat="1" applyFont="1" applyFill="1" applyBorder="1"/>
    <xf numFmtId="164" fontId="6" fillId="19" borderId="2" xfId="0" applyNumberFormat="1" applyFont="1" applyFill="1" applyBorder="1"/>
    <xf numFmtId="164" fontId="30" fillId="12" borderId="2" xfId="0" applyNumberFormat="1" applyFont="1" applyFill="1" applyBorder="1"/>
    <xf numFmtId="1" fontId="31" fillId="11" borderId="2" xfId="0" applyNumberFormat="1" applyFont="1" applyFill="1" applyBorder="1"/>
    <xf numFmtId="14" fontId="6" fillId="2" borderId="2" xfId="0" applyNumberFormat="1" applyFont="1" applyFill="1" applyBorder="1"/>
    <xf numFmtId="49" fontId="6" fillId="2" borderId="2" xfId="0" applyNumberFormat="1" applyFont="1" applyFill="1" applyBorder="1"/>
    <xf numFmtId="49" fontId="32" fillId="13" borderId="2" xfId="0" applyNumberFormat="1" applyFont="1" applyFill="1" applyBorder="1"/>
    <xf numFmtId="49" fontId="2" fillId="20" borderId="2" xfId="0" applyNumberFormat="1" applyFont="1" applyFill="1" applyBorder="1"/>
    <xf numFmtId="14" fontId="2" fillId="20" borderId="2" xfId="0" applyNumberFormat="1" applyFont="1" applyFill="1" applyBorder="1"/>
    <xf numFmtId="164" fontId="2" fillId="20" borderId="2" xfId="0" applyNumberFormat="1" applyFont="1" applyFill="1" applyBorder="1"/>
    <xf numFmtId="2" fontId="2" fillId="20" borderId="2" xfId="0" applyNumberFormat="1" applyFont="1" applyFill="1" applyBorder="1"/>
    <xf numFmtId="1" fontId="2" fillId="20" borderId="2" xfId="0" applyNumberFormat="1" applyFont="1" applyFill="1" applyBorder="1"/>
    <xf numFmtId="164" fontId="33" fillId="20" borderId="2" xfId="0" applyNumberFormat="1" applyFont="1" applyFill="1" applyBorder="1"/>
    <xf numFmtId="49" fontId="34" fillId="20" borderId="2" xfId="0" applyNumberFormat="1" applyFont="1" applyFill="1" applyBorder="1"/>
    <xf numFmtId="164" fontId="35" fillId="6" borderId="2" xfId="0" applyNumberFormat="1" applyFont="1" applyFill="1" applyBorder="1"/>
    <xf numFmtId="14" fontId="6" fillId="9" borderId="2" xfId="0" applyNumberFormat="1" applyFont="1" applyFill="1" applyBorder="1"/>
    <xf numFmtId="164" fontId="35" fillId="2" borderId="2" xfId="0" applyNumberFormat="1" applyFont="1" applyFill="1" applyBorder="1"/>
    <xf numFmtId="49" fontId="36" fillId="11" borderId="2" xfId="0" applyNumberFormat="1" applyFont="1" applyFill="1" applyBorder="1"/>
    <xf numFmtId="1" fontId="37" fillId="2" borderId="2" xfId="0" applyNumberFormat="1" applyFont="1" applyFill="1" applyBorder="1"/>
    <xf numFmtId="164" fontId="6" fillId="11" borderId="2" xfId="0" applyNumberFormat="1" applyFont="1" applyFill="1" applyBorder="1"/>
    <xf numFmtId="0" fontId="2" fillId="21" borderId="2" xfId="0" applyFont="1" applyFill="1" applyBorder="1"/>
    <xf numFmtId="14" fontId="10" fillId="2" borderId="2" xfId="0" applyNumberFormat="1" applyFont="1" applyFill="1" applyBorder="1" applyAlignment="1">
      <alignment vertical="center"/>
    </xf>
    <xf numFmtId="164" fontId="10" fillId="2" borderId="2" xfId="0" applyNumberFormat="1" applyFont="1" applyFill="1" applyBorder="1" applyAlignment="1">
      <alignment vertical="center"/>
    </xf>
    <xf numFmtId="14" fontId="10" fillId="6" borderId="2" xfId="0" applyNumberFormat="1" applyFont="1" applyFill="1" applyBorder="1" applyAlignment="1">
      <alignment vertical="center"/>
    </xf>
    <xf numFmtId="164" fontId="6" fillId="6" borderId="2" xfId="0" applyNumberFormat="1" applyFont="1" applyFill="1" applyBorder="1" applyAlignment="1">
      <alignment vertical="center"/>
    </xf>
    <xf numFmtId="164" fontId="10" fillId="6" borderId="2" xfId="0" applyNumberFormat="1" applyFont="1" applyFill="1" applyBorder="1" applyAlignment="1">
      <alignment vertical="center"/>
    </xf>
    <xf numFmtId="164" fontId="10" fillId="3" borderId="2" xfId="0" applyNumberFormat="1" applyFont="1" applyFill="1" applyBorder="1" applyAlignment="1">
      <alignment vertical="center"/>
    </xf>
    <xf numFmtId="164" fontId="6" fillId="2" borderId="2" xfId="0" applyNumberFormat="1" applyFont="1" applyFill="1" applyBorder="1" applyAlignment="1">
      <alignment vertical="center"/>
    </xf>
    <xf numFmtId="14" fontId="10" fillId="8" borderId="2" xfId="0" applyNumberFormat="1" applyFont="1" applyFill="1" applyBorder="1" applyAlignment="1">
      <alignment vertical="center"/>
    </xf>
    <xf numFmtId="164" fontId="10" fillId="8" borderId="2" xfId="0" applyNumberFormat="1" applyFont="1" applyFill="1" applyBorder="1" applyAlignment="1">
      <alignment vertical="center"/>
    </xf>
    <xf numFmtId="14" fontId="10" fillId="11" borderId="2" xfId="0" applyNumberFormat="1" applyFont="1" applyFill="1" applyBorder="1" applyAlignment="1">
      <alignment vertical="center"/>
    </xf>
    <xf numFmtId="164" fontId="10" fillId="11" borderId="2" xfId="0" applyNumberFormat="1" applyFont="1" applyFill="1" applyBorder="1" applyAlignment="1">
      <alignment vertical="center"/>
    </xf>
    <xf numFmtId="49" fontId="39" fillId="8" borderId="2" xfId="0" applyNumberFormat="1" applyFont="1" applyFill="1" applyBorder="1"/>
    <xf numFmtId="164" fontId="40" fillId="8" borderId="2" xfId="0" applyNumberFormat="1" applyFont="1" applyFill="1" applyBorder="1" applyAlignment="1">
      <alignment vertical="center"/>
    </xf>
    <xf numFmtId="164" fontId="2" fillId="2" borderId="2" xfId="0" applyNumberFormat="1" applyFont="1" applyFill="1" applyBorder="1" applyAlignment="1">
      <alignment vertical="center"/>
    </xf>
    <xf numFmtId="164" fontId="41" fillId="2" borderId="2" xfId="0" applyNumberFormat="1" applyFont="1" applyFill="1" applyBorder="1" applyAlignment="1">
      <alignment vertical="center"/>
    </xf>
    <xf numFmtId="164" fontId="42" fillId="8" borderId="2" xfId="0" applyNumberFormat="1" applyFont="1" applyFill="1" applyBorder="1" applyAlignment="1">
      <alignment vertical="center"/>
    </xf>
    <xf numFmtId="49" fontId="43" fillId="6" borderId="2" xfId="0" applyNumberFormat="1" applyFont="1" applyFill="1" applyBorder="1"/>
    <xf numFmtId="49" fontId="2" fillId="22" borderId="2" xfId="0" applyNumberFormat="1" applyFont="1" applyFill="1" applyBorder="1"/>
    <xf numFmtId="14" fontId="2" fillId="22" borderId="2" xfId="0" applyNumberFormat="1" applyFont="1" applyFill="1" applyBorder="1"/>
    <xf numFmtId="164" fontId="2" fillId="22" borderId="2" xfId="0" applyNumberFormat="1" applyFont="1" applyFill="1" applyBorder="1"/>
    <xf numFmtId="164" fontId="6" fillId="22" borderId="2" xfId="0" applyNumberFormat="1" applyFont="1" applyFill="1" applyBorder="1"/>
    <xf numFmtId="2" fontId="2" fillId="22" borderId="2" xfId="0" applyNumberFormat="1" applyFont="1" applyFill="1" applyBorder="1"/>
    <xf numFmtId="1" fontId="2" fillId="22" borderId="2" xfId="0" applyNumberFormat="1" applyFont="1" applyFill="1" applyBorder="1"/>
    <xf numFmtId="49" fontId="44" fillId="22" borderId="2" xfId="0" applyNumberFormat="1" applyFont="1" applyFill="1" applyBorder="1"/>
    <xf numFmtId="0" fontId="2" fillId="0" borderId="0" xfId="0" applyFont="1" applyAlignment="1">
      <alignment vertical="center" wrapText="1"/>
    </xf>
    <xf numFmtId="20" fontId="2" fillId="0" borderId="0" xfId="0" applyNumberFormat="1" applyFont="1" applyAlignment="1">
      <alignment wrapText="1"/>
    </xf>
    <xf numFmtId="49" fontId="45" fillId="8" borderId="2" xfId="1" applyNumberFormat="1" applyFill="1" applyBorder="1"/>
    <xf numFmtId="14" fontId="46" fillId="10" borderId="2" xfId="0" applyNumberFormat="1" applyFont="1" applyFill="1" applyBorder="1"/>
    <xf numFmtId="49" fontId="46" fillId="10" borderId="2" xfId="0" applyNumberFormat="1" applyFont="1" applyFill="1" applyBorder="1"/>
    <xf numFmtId="164" fontId="45" fillId="6" borderId="2" xfId="1" applyNumberFormat="1" applyFill="1" applyBorder="1"/>
    <xf numFmtId="49" fontId="45" fillId="5" borderId="2" xfId="1" applyNumberFormat="1" applyFill="1" applyBorder="1"/>
    <xf numFmtId="14" fontId="46" fillId="7" borderId="2" xfId="0" applyNumberFormat="1" applyFont="1" applyFill="1" applyBorder="1"/>
    <xf numFmtId="49" fontId="5" fillId="7" borderId="2" xfId="0" applyNumberFormat="1" applyFont="1" applyFill="1" applyBorder="1"/>
    <xf numFmtId="49" fontId="45" fillId="7" borderId="2" xfId="1" applyNumberFormat="1" applyFill="1" applyBorder="1"/>
    <xf numFmtId="49" fontId="5" fillId="11" borderId="2" xfId="0" applyNumberFormat="1" applyFont="1" applyFill="1" applyBorder="1"/>
    <xf numFmtId="49" fontId="45" fillId="11" borderId="2" xfId="1" applyNumberFormat="1" applyFill="1" applyBorder="1"/>
    <xf numFmtId="49" fontId="5" fillId="5" borderId="2" xfId="0" applyNumberFormat="1" applyFont="1" applyFill="1" applyBorder="1"/>
    <xf numFmtId="14" fontId="46" fillId="11" borderId="2" xfId="0" applyNumberFormat="1" applyFont="1" applyFill="1" applyBorder="1"/>
    <xf numFmtId="49" fontId="45" fillId="4" borderId="2" xfId="1" applyNumberFormat="1" applyFill="1" applyBorder="1"/>
    <xf numFmtId="49" fontId="45" fillId="10" borderId="2" xfId="1" applyNumberFormat="1" applyFill="1" applyBorder="1"/>
    <xf numFmtId="49" fontId="45" fillId="9" borderId="2" xfId="1" applyNumberFormat="1" applyFill="1" applyBorder="1"/>
    <xf numFmtId="49" fontId="45" fillId="2" borderId="2" xfId="1" applyNumberFormat="1" applyFill="1" applyBorder="1"/>
    <xf numFmtId="49" fontId="2" fillId="23" borderId="2" xfId="0" applyNumberFormat="1" applyFont="1" applyFill="1" applyBorder="1"/>
    <xf numFmtId="14" fontId="2" fillId="23" borderId="2" xfId="0" applyNumberFormat="1" applyFont="1" applyFill="1" applyBorder="1"/>
    <xf numFmtId="164" fontId="2" fillId="23" borderId="2" xfId="0" applyNumberFormat="1" applyFont="1" applyFill="1" applyBorder="1"/>
    <xf numFmtId="2" fontId="2" fillId="23" borderId="2" xfId="0" applyNumberFormat="1" applyFont="1" applyFill="1" applyBorder="1"/>
    <xf numFmtId="1" fontId="2" fillId="23" borderId="2" xfId="0" applyNumberFormat="1" applyFont="1" applyFill="1" applyBorder="1"/>
    <xf numFmtId="49" fontId="45" fillId="23" borderId="2" xfId="1" applyNumberFormat="1" applyFill="1" applyBorder="1"/>
    <xf numFmtId="1" fontId="2" fillId="24" borderId="2" xfId="0" applyNumberFormat="1" applyFont="1" applyFill="1" applyBorder="1"/>
    <xf numFmtId="49" fontId="2" fillId="25" borderId="2" xfId="0" applyNumberFormat="1" applyFont="1" applyFill="1" applyBorder="1"/>
    <xf numFmtId="14" fontId="2" fillId="25" borderId="2" xfId="0" applyNumberFormat="1" applyFont="1" applyFill="1" applyBorder="1"/>
    <xf numFmtId="49" fontId="2" fillId="26" borderId="2" xfId="0" applyNumberFormat="1" applyFont="1" applyFill="1" applyBorder="1"/>
    <xf numFmtId="164" fontId="2" fillId="25" borderId="2" xfId="0" applyNumberFormat="1" applyFont="1" applyFill="1" applyBorder="1"/>
    <xf numFmtId="2" fontId="2" fillId="25" borderId="2" xfId="0" applyNumberFormat="1" applyFont="1" applyFill="1" applyBorder="1"/>
    <xf numFmtId="1" fontId="2" fillId="25" borderId="2" xfId="0" applyNumberFormat="1" applyFont="1" applyFill="1" applyBorder="1"/>
    <xf numFmtId="49" fontId="45" fillId="25" borderId="2" xfId="1" applyNumberFormat="1" applyFill="1" applyBorder="1"/>
    <xf numFmtId="49" fontId="5" fillId="25" borderId="2" xfId="0" applyNumberFormat="1" applyFont="1" applyFill="1" applyBorder="1"/>
    <xf numFmtId="49" fontId="5" fillId="4" borderId="2" xfId="0" applyNumberFormat="1" applyFont="1" applyFill="1" applyBorder="1"/>
    <xf numFmtId="49" fontId="46" fillId="9" borderId="2" xfId="0" applyNumberFormat="1" applyFont="1" applyFill="1" applyBorder="1"/>
    <xf numFmtId="1" fontId="45" fillId="3" borderId="2" xfId="1" applyNumberFormat="1" applyFill="1" applyBorder="1"/>
    <xf numFmtId="49" fontId="45" fillId="6" borderId="2" xfId="1" applyNumberFormat="1" applyFill="1" applyBorder="1"/>
    <xf numFmtId="49" fontId="48" fillId="10" borderId="2" xfId="0" applyNumberFormat="1" applyFont="1" applyFill="1" applyBorder="1"/>
    <xf numFmtId="49" fontId="45" fillId="15" borderId="2" xfId="1" applyNumberFormat="1" applyFill="1" applyBorder="1"/>
    <xf numFmtId="49" fontId="49" fillId="5" borderId="2" xfId="1" applyNumberFormat="1" applyFont="1" applyFill="1" applyBorder="1"/>
    <xf numFmtId="164" fontId="46" fillId="6" borderId="2" xfId="0" applyNumberFormat="1" applyFont="1" applyFill="1" applyBorder="1"/>
    <xf numFmtId="49" fontId="2" fillId="28" borderId="2" xfId="0" applyNumberFormat="1" applyFont="1" applyFill="1" applyBorder="1"/>
    <xf numFmtId="14" fontId="2" fillId="28" borderId="2" xfId="0" applyNumberFormat="1" applyFont="1" applyFill="1" applyBorder="1"/>
    <xf numFmtId="164" fontId="2" fillId="28" borderId="2" xfId="0" applyNumberFormat="1" applyFont="1" applyFill="1" applyBorder="1"/>
    <xf numFmtId="164" fontId="6" fillId="28" borderId="2" xfId="0" applyNumberFormat="1" applyFont="1" applyFill="1" applyBorder="1"/>
    <xf numFmtId="2" fontId="2" fillId="29" borderId="2" xfId="0" applyNumberFormat="1" applyFont="1" applyFill="1" applyBorder="1"/>
    <xf numFmtId="1" fontId="2" fillId="28" borderId="2" xfId="0" applyNumberFormat="1" applyFont="1" applyFill="1" applyBorder="1"/>
    <xf numFmtId="164" fontId="12" fillId="28" borderId="2" xfId="0" applyNumberFormat="1" applyFont="1" applyFill="1" applyBorder="1"/>
    <xf numFmtId="49" fontId="2" fillId="30" borderId="2" xfId="0" applyNumberFormat="1" applyFont="1" applyFill="1" applyBorder="1"/>
    <xf numFmtId="14" fontId="2" fillId="30" borderId="2" xfId="0" applyNumberFormat="1" applyFont="1" applyFill="1" applyBorder="1"/>
    <xf numFmtId="164" fontId="2" fillId="30" borderId="2" xfId="0" applyNumberFormat="1" applyFont="1" applyFill="1" applyBorder="1"/>
    <xf numFmtId="164" fontId="6" fillId="30" borderId="2" xfId="0" applyNumberFormat="1" applyFont="1" applyFill="1" applyBorder="1"/>
    <xf numFmtId="2" fontId="2" fillId="30" borderId="2" xfId="0" applyNumberFormat="1" applyFont="1" applyFill="1" applyBorder="1"/>
    <xf numFmtId="1" fontId="2" fillId="30" borderId="2" xfId="0" applyNumberFormat="1" applyFont="1" applyFill="1" applyBorder="1"/>
    <xf numFmtId="49" fontId="45" fillId="30" borderId="2" xfId="1" applyNumberFormat="1" applyFill="1" applyBorder="1"/>
    <xf numFmtId="49" fontId="14" fillId="30" borderId="2" xfId="0" applyNumberFormat="1" applyFont="1" applyFill="1" applyBorder="1"/>
    <xf numFmtId="14" fontId="46" fillId="8" borderId="2" xfId="0" applyNumberFormat="1" applyFont="1" applyFill="1" applyBorder="1"/>
    <xf numFmtId="164" fontId="46" fillId="8" borderId="2" xfId="0" applyNumberFormat="1" applyFont="1" applyFill="1" applyBorder="1"/>
    <xf numFmtId="49" fontId="5" fillId="10" borderId="2" xfId="0" applyNumberFormat="1" applyFont="1" applyFill="1" applyBorder="1"/>
    <xf numFmtId="49" fontId="2" fillId="31" borderId="2" xfId="0" applyNumberFormat="1" applyFont="1" applyFill="1" applyBorder="1"/>
    <xf numFmtId="14" fontId="46" fillId="31" borderId="2" xfId="0" applyNumberFormat="1" applyFont="1" applyFill="1" applyBorder="1"/>
    <xf numFmtId="49" fontId="46" fillId="31" borderId="2" xfId="0" applyNumberFormat="1" applyFont="1" applyFill="1" applyBorder="1"/>
    <xf numFmtId="164" fontId="2" fillId="31" borderId="2" xfId="0" applyNumberFormat="1" applyFont="1" applyFill="1" applyBorder="1"/>
    <xf numFmtId="164" fontId="6" fillId="31" borderId="2" xfId="0" applyNumberFormat="1" applyFont="1" applyFill="1" applyBorder="1"/>
    <xf numFmtId="2" fontId="2" fillId="31" borderId="2" xfId="0" applyNumberFormat="1" applyFont="1" applyFill="1" applyBorder="1"/>
    <xf numFmtId="1" fontId="2" fillId="31" borderId="2" xfId="0" applyNumberFormat="1" applyFont="1" applyFill="1" applyBorder="1"/>
    <xf numFmtId="49" fontId="45" fillId="31" borderId="2" xfId="1" applyNumberFormat="1" applyFill="1" applyBorder="1"/>
    <xf numFmtId="49" fontId="17" fillId="31" borderId="2" xfId="0" applyNumberFormat="1" applyFont="1" applyFill="1" applyBorder="1"/>
    <xf numFmtId="164" fontId="46" fillId="18" borderId="2" xfId="0" applyNumberFormat="1" applyFont="1" applyFill="1" applyBorder="1"/>
    <xf numFmtId="49" fontId="45" fillId="18" borderId="2" xfId="1" applyNumberFormat="1" applyFill="1" applyBorder="1"/>
    <xf numFmtId="14" fontId="6" fillId="18" borderId="2" xfId="0" applyNumberFormat="1" applyFont="1" applyFill="1" applyBorder="1"/>
    <xf numFmtId="14" fontId="6" fillId="0" borderId="2" xfId="0" applyNumberFormat="1" applyFont="1" applyBorder="1"/>
    <xf numFmtId="49" fontId="2" fillId="0" borderId="2" xfId="0" applyNumberFormat="1" applyFont="1" applyBorder="1"/>
    <xf numFmtId="164" fontId="2" fillId="0" borderId="2" xfId="0" applyNumberFormat="1" applyFont="1" applyBorder="1"/>
    <xf numFmtId="164" fontId="6" fillId="0" borderId="2" xfId="0" applyNumberFormat="1" applyFont="1" applyBorder="1"/>
    <xf numFmtId="2" fontId="2" fillId="0" borderId="2" xfId="0" applyNumberFormat="1" applyFont="1" applyBorder="1"/>
    <xf numFmtId="1" fontId="2" fillId="0" borderId="2" xfId="0" applyNumberFormat="1" applyFont="1" applyBorder="1"/>
    <xf numFmtId="164" fontId="23" fillId="0" borderId="2" xfId="0" applyNumberFormat="1" applyFont="1" applyBorder="1"/>
    <xf numFmtId="49" fontId="6" fillId="18" borderId="2" xfId="0" applyNumberFormat="1" applyFont="1" applyFill="1" applyBorder="1"/>
    <xf numFmtId="1" fontId="6" fillId="18" borderId="2" xfId="0" applyNumberFormat="1" applyFont="1" applyFill="1" applyBorder="1"/>
    <xf numFmtId="14" fontId="46" fillId="18" borderId="2" xfId="0" applyNumberFormat="1" applyFont="1" applyFill="1" applyBorder="1"/>
    <xf numFmtId="14" fontId="49" fillId="10" borderId="2" xfId="0" applyNumberFormat="1" applyFont="1" applyFill="1" applyBorder="1"/>
    <xf numFmtId="49" fontId="5" fillId="8" borderId="2" xfId="0" applyNumberFormat="1" applyFont="1" applyFill="1" applyBorder="1"/>
    <xf numFmtId="49" fontId="2" fillId="32" borderId="2" xfId="0" applyNumberFormat="1" applyFont="1" applyFill="1" applyBorder="1"/>
    <xf numFmtId="14" fontId="6" fillId="32" borderId="2" xfId="0" applyNumberFormat="1" applyFont="1" applyFill="1" applyBorder="1"/>
    <xf numFmtId="164" fontId="2" fillId="32" borderId="2" xfId="0" applyNumberFormat="1" applyFont="1" applyFill="1" applyBorder="1"/>
    <xf numFmtId="2" fontId="2" fillId="32" borderId="2" xfId="0" applyNumberFormat="1" applyFont="1" applyFill="1" applyBorder="1"/>
    <xf numFmtId="1" fontId="2" fillId="32" borderId="2" xfId="0" applyNumberFormat="1" applyFont="1" applyFill="1" applyBorder="1"/>
    <xf numFmtId="49" fontId="45" fillId="32" borderId="2" xfId="1" applyNumberFormat="1" applyFill="1" applyBorder="1"/>
    <xf numFmtId="49" fontId="9" fillId="32" borderId="2" xfId="0" applyNumberFormat="1" applyFont="1" applyFill="1" applyBorder="1"/>
    <xf numFmtId="0" fontId="0" fillId="0" borderId="2" xfId="0" applyBorder="1"/>
    <xf numFmtId="0" fontId="4" fillId="0" borderId="2" xfId="0" applyFont="1" applyBorder="1"/>
    <xf numFmtId="49" fontId="47" fillId="0" borderId="1" xfId="1" applyNumberFormat="1" applyFont="1" applyBorder="1" applyAlignment="1">
      <alignment horizontal="left"/>
    </xf>
    <xf numFmtId="49" fontId="2" fillId="31" borderId="2" xfId="0" applyNumberFormat="1" applyFont="1" applyFill="1" applyBorder="1" applyAlignment="1">
      <alignment horizontal="left"/>
    </xf>
    <xf numFmtId="49" fontId="2" fillId="23" borderId="2" xfId="0" applyNumberFormat="1" applyFont="1" applyFill="1" applyBorder="1" applyAlignment="1">
      <alignment horizontal="left"/>
    </xf>
    <xf numFmtId="49" fontId="2" fillId="2" borderId="2" xfId="0" applyNumberFormat="1" applyFont="1" applyFill="1" applyBorder="1" applyAlignment="1">
      <alignment horizontal="left"/>
    </xf>
    <xf numFmtId="49" fontId="2" fillId="11" borderId="2" xfId="0" applyNumberFormat="1" applyFont="1" applyFill="1" applyBorder="1" applyAlignment="1">
      <alignment horizontal="left"/>
    </xf>
    <xf numFmtId="49" fontId="2" fillId="8" borderId="2" xfId="0" applyNumberFormat="1" applyFont="1" applyFill="1" applyBorder="1" applyAlignment="1">
      <alignment horizontal="left"/>
    </xf>
    <xf numFmtId="49" fontId="6" fillId="2" borderId="2" xfId="0" applyNumberFormat="1" applyFont="1" applyFill="1" applyBorder="1" applyAlignment="1">
      <alignment horizontal="left"/>
    </xf>
    <xf numFmtId="49" fontId="2" fillId="4" borderId="2" xfId="0" applyNumberFormat="1" applyFont="1" applyFill="1" applyBorder="1" applyAlignment="1">
      <alignment horizontal="left"/>
    </xf>
    <xf numFmtId="49" fontId="2" fillId="3" borderId="2" xfId="0" applyNumberFormat="1" applyFont="1" applyFill="1" applyBorder="1" applyAlignment="1">
      <alignment horizontal="left"/>
    </xf>
    <xf numFmtId="49" fontId="2" fillId="5" borderId="2" xfId="0" applyNumberFormat="1" applyFont="1" applyFill="1" applyBorder="1" applyAlignment="1">
      <alignment horizontal="left"/>
    </xf>
    <xf numFmtId="49" fontId="2" fillId="6" borderId="2" xfId="0" applyNumberFormat="1" applyFont="1" applyFill="1" applyBorder="1" applyAlignment="1">
      <alignment horizontal="left"/>
    </xf>
    <xf numFmtId="49" fontId="2" fillId="10" borderId="2" xfId="0" applyNumberFormat="1" applyFont="1" applyFill="1" applyBorder="1" applyAlignment="1">
      <alignment horizontal="left"/>
    </xf>
    <xf numFmtId="49" fontId="2" fillId="9" borderId="2" xfId="0" applyNumberFormat="1" applyFont="1" applyFill="1" applyBorder="1" applyAlignment="1">
      <alignment horizontal="left"/>
    </xf>
    <xf numFmtId="49" fontId="2" fillId="32" borderId="2" xfId="0" applyNumberFormat="1" applyFont="1" applyFill="1" applyBorder="1" applyAlignment="1">
      <alignment horizontal="left"/>
    </xf>
    <xf numFmtId="49" fontId="2" fillId="28" borderId="2" xfId="0" applyNumberFormat="1" applyFont="1" applyFill="1" applyBorder="1" applyAlignment="1">
      <alignment horizontal="left"/>
    </xf>
    <xf numFmtId="49" fontId="2" fillId="7" borderId="2" xfId="0" applyNumberFormat="1" applyFont="1" applyFill="1" applyBorder="1" applyAlignment="1">
      <alignment horizontal="left"/>
    </xf>
    <xf numFmtId="49" fontId="6" fillId="5" borderId="2" xfId="0" applyNumberFormat="1" applyFont="1" applyFill="1" applyBorder="1" applyAlignment="1">
      <alignment horizontal="left"/>
    </xf>
    <xf numFmtId="49" fontId="2" fillId="30" borderId="2" xfId="0" applyNumberFormat="1" applyFont="1" applyFill="1" applyBorder="1" applyAlignment="1">
      <alignment horizontal="left"/>
    </xf>
    <xf numFmtId="49" fontId="46" fillId="10" borderId="2" xfId="0" applyNumberFormat="1" applyFont="1" applyFill="1" applyBorder="1" applyAlignment="1">
      <alignment horizontal="left"/>
    </xf>
    <xf numFmtId="49" fontId="2" fillId="25" borderId="2" xfId="0" applyNumberFormat="1" applyFont="1" applyFill="1" applyBorder="1" applyAlignment="1">
      <alignment horizontal="left"/>
    </xf>
    <xf numFmtId="49" fontId="2" fillId="15" borderId="2" xfId="0" applyNumberFormat="1" applyFont="1" applyFill="1" applyBorder="1" applyAlignment="1">
      <alignment horizontal="left"/>
    </xf>
    <xf numFmtId="49" fontId="15" fillId="9" borderId="2" xfId="0" applyNumberFormat="1" applyFont="1" applyFill="1" applyBorder="1" applyAlignment="1">
      <alignment horizontal="left"/>
    </xf>
    <xf numFmtId="49" fontId="2" fillId="12" borderId="2" xfId="0" applyNumberFormat="1" applyFont="1" applyFill="1" applyBorder="1" applyAlignment="1">
      <alignment horizontal="left"/>
    </xf>
    <xf numFmtId="49" fontId="2" fillId="13" borderId="2" xfId="0" applyNumberFormat="1" applyFont="1" applyFill="1" applyBorder="1" applyAlignment="1">
      <alignment horizontal="left"/>
    </xf>
    <xf numFmtId="49" fontId="6" fillId="0" borderId="2" xfId="0" applyNumberFormat="1" applyFont="1" applyBorder="1" applyAlignment="1">
      <alignment horizontal="left"/>
    </xf>
    <xf numFmtId="49" fontId="15" fillId="6" borderId="2" xfId="0" applyNumberFormat="1" applyFont="1" applyFill="1" applyBorder="1" applyAlignment="1">
      <alignment horizontal="left"/>
    </xf>
    <xf numFmtId="49" fontId="2" fillId="18" borderId="2" xfId="0" applyNumberFormat="1" applyFont="1" applyFill="1" applyBorder="1" applyAlignment="1">
      <alignment horizontal="left"/>
    </xf>
    <xf numFmtId="49" fontId="2" fillId="16" borderId="2" xfId="0" applyNumberFormat="1" applyFont="1" applyFill="1" applyBorder="1" applyAlignment="1">
      <alignment horizontal="left"/>
    </xf>
    <xf numFmtId="49" fontId="2" fillId="17" borderId="2" xfId="0" applyNumberFormat="1" applyFont="1" applyFill="1" applyBorder="1" applyAlignment="1">
      <alignment horizontal="left"/>
    </xf>
    <xf numFmtId="49" fontId="6" fillId="7" borderId="2" xfId="0" applyNumberFormat="1" applyFont="1" applyFill="1" applyBorder="1" applyAlignment="1">
      <alignment horizontal="left"/>
    </xf>
    <xf numFmtId="49" fontId="2" fillId="19" borderId="2" xfId="0" applyNumberFormat="1" applyFont="1" applyFill="1" applyBorder="1" applyAlignment="1">
      <alignment horizontal="left"/>
    </xf>
    <xf numFmtId="49" fontId="6" fillId="11" borderId="2" xfId="0" applyNumberFormat="1" applyFont="1" applyFill="1" applyBorder="1" applyAlignment="1">
      <alignment horizontal="left"/>
    </xf>
    <xf numFmtId="49" fontId="2" fillId="20" borderId="2" xfId="0" applyNumberFormat="1" applyFont="1" applyFill="1" applyBorder="1" applyAlignment="1">
      <alignment horizontal="left"/>
    </xf>
    <xf numFmtId="49" fontId="6" fillId="6" borderId="2" xfId="0" applyNumberFormat="1" applyFont="1" applyFill="1" applyBorder="1" applyAlignment="1">
      <alignment horizontal="left"/>
    </xf>
    <xf numFmtId="49" fontId="6" fillId="18" borderId="2" xfId="0" applyNumberFormat="1" applyFont="1" applyFill="1" applyBorder="1" applyAlignment="1">
      <alignment horizontal="left"/>
    </xf>
    <xf numFmtId="49" fontId="6" fillId="8" borderId="2" xfId="0" applyNumberFormat="1" applyFont="1" applyFill="1" applyBorder="1" applyAlignment="1">
      <alignment horizontal="left"/>
    </xf>
    <xf numFmtId="49" fontId="2" fillId="22" borderId="2" xfId="0" applyNumberFormat="1" applyFont="1" applyFill="1" applyBorder="1" applyAlignment="1">
      <alignment horizontal="left"/>
    </xf>
    <xf numFmtId="0" fontId="0" fillId="0" borderId="0" xfId="0" applyAlignment="1">
      <alignment horizontal="left"/>
    </xf>
    <xf numFmtId="0" fontId="50" fillId="0" borderId="2" xfId="0" applyFont="1" applyBorder="1" applyAlignment="1">
      <alignment vertical="center"/>
    </xf>
    <xf numFmtId="164" fontId="50" fillId="0" borderId="2" xfId="0" applyNumberFormat="1" applyFont="1" applyBorder="1" applyAlignment="1">
      <alignment vertical="center" wrapText="1"/>
    </xf>
    <xf numFmtId="164" fontId="4" fillId="0" borderId="2" xfId="0" applyNumberFormat="1" applyFont="1" applyBorder="1"/>
    <xf numFmtId="14" fontId="4" fillId="0" borderId="2" xfId="0" applyNumberFormat="1" applyFont="1" applyBorder="1"/>
    <xf numFmtId="1" fontId="4" fillId="0" borderId="2" xfId="0" applyNumberFormat="1" applyFont="1" applyBorder="1"/>
    <xf numFmtId="1" fontId="2" fillId="5" borderId="2" xfId="0" applyNumberFormat="1" applyFont="1" applyFill="1" applyBorder="1" applyAlignment="1">
      <alignment horizontal="right"/>
    </xf>
    <xf numFmtId="1" fontId="2" fillId="11" borderId="2" xfId="0" applyNumberFormat="1" applyFont="1" applyFill="1" applyBorder="1" applyAlignment="1">
      <alignment horizontal="right"/>
    </xf>
    <xf numFmtId="1" fontId="2" fillId="22" borderId="2" xfId="0" applyNumberFormat="1" applyFont="1" applyFill="1" applyBorder="1" applyAlignment="1">
      <alignment horizontal="right"/>
    </xf>
    <xf numFmtId="1" fontId="2" fillId="18" borderId="2" xfId="0" applyNumberFormat="1" applyFont="1" applyFill="1" applyBorder="1" applyAlignment="1">
      <alignment horizontal="right"/>
    </xf>
    <xf numFmtId="1" fontId="2" fillId="8" borderId="2" xfId="0" applyNumberFormat="1" applyFont="1" applyFill="1" applyBorder="1" applyAlignment="1">
      <alignment horizontal="right"/>
    </xf>
    <xf numFmtId="1" fontId="2" fillId="2" borderId="2" xfId="0" applyNumberFormat="1" applyFont="1" applyFill="1" applyBorder="1" applyAlignment="1">
      <alignment horizontal="right"/>
    </xf>
    <xf numFmtId="1" fontId="2" fillId="6" borderId="2" xfId="0" applyNumberFormat="1" applyFont="1" applyFill="1" applyBorder="1" applyAlignment="1">
      <alignment horizontal="right"/>
    </xf>
    <xf numFmtId="1" fontId="2" fillId="15" borderId="2" xfId="0" applyNumberFormat="1" applyFont="1" applyFill="1" applyBorder="1" applyAlignment="1">
      <alignment horizontal="right"/>
    </xf>
    <xf numFmtId="1" fontId="4" fillId="0" borderId="2" xfId="0" applyNumberFormat="1" applyFont="1" applyBorder="1" applyAlignment="1">
      <alignment horizontal="right"/>
    </xf>
    <xf numFmtId="1" fontId="1" fillId="0" borderId="1" xfId="0" applyNumberFormat="1" applyFont="1" applyBorder="1" applyAlignment="1">
      <alignment horizontal="right"/>
    </xf>
    <xf numFmtId="1" fontId="2" fillId="31" borderId="2" xfId="0" applyNumberFormat="1" applyFont="1" applyFill="1" applyBorder="1" applyAlignment="1">
      <alignment horizontal="right"/>
    </xf>
    <xf numFmtId="1" fontId="2" fillId="23" borderId="2" xfId="0" applyNumberFormat="1" applyFont="1" applyFill="1" applyBorder="1" applyAlignment="1">
      <alignment horizontal="right"/>
    </xf>
    <xf numFmtId="1" fontId="2" fillId="4" borderId="2" xfId="0" applyNumberFormat="1" applyFont="1" applyFill="1" applyBorder="1" applyAlignment="1">
      <alignment horizontal="right"/>
    </xf>
    <xf numFmtId="1" fontId="2" fillId="3" borderId="2" xfId="0" applyNumberFormat="1" applyFont="1" applyFill="1" applyBorder="1" applyAlignment="1">
      <alignment horizontal="right"/>
    </xf>
    <xf numFmtId="1" fontId="2" fillId="10" borderId="2" xfId="0" applyNumberFormat="1" applyFont="1" applyFill="1" applyBorder="1" applyAlignment="1">
      <alignment horizontal="right"/>
    </xf>
    <xf numFmtId="1" fontId="2" fillId="9" borderId="2" xfId="0" applyNumberFormat="1" applyFont="1" applyFill="1" applyBorder="1" applyAlignment="1">
      <alignment horizontal="right"/>
    </xf>
    <xf numFmtId="1" fontId="2" fillId="32" borderId="2" xfId="0" applyNumberFormat="1" applyFont="1" applyFill="1" applyBorder="1" applyAlignment="1">
      <alignment horizontal="right"/>
    </xf>
    <xf numFmtId="1" fontId="2" fillId="28" borderId="2" xfId="0" applyNumberFormat="1" applyFont="1" applyFill="1" applyBorder="1" applyAlignment="1">
      <alignment horizontal="right"/>
    </xf>
    <xf numFmtId="1" fontId="2" fillId="7" borderId="2" xfId="0" applyNumberFormat="1" applyFont="1" applyFill="1" applyBorder="1" applyAlignment="1">
      <alignment horizontal="right"/>
    </xf>
    <xf numFmtId="1" fontId="2" fillId="30" borderId="2" xfId="0" applyNumberFormat="1" applyFont="1" applyFill="1" applyBorder="1" applyAlignment="1">
      <alignment horizontal="right"/>
    </xf>
    <xf numFmtId="1" fontId="46" fillId="10" borderId="2" xfId="0" applyNumberFormat="1" applyFont="1" applyFill="1" applyBorder="1" applyAlignment="1">
      <alignment horizontal="right"/>
    </xf>
    <xf numFmtId="1" fontId="2" fillId="25" borderId="2" xfId="0" applyNumberFormat="1" applyFont="1" applyFill="1" applyBorder="1" applyAlignment="1">
      <alignment horizontal="right"/>
    </xf>
    <xf numFmtId="1" fontId="2" fillId="12" borderId="2" xfId="0" applyNumberFormat="1" applyFont="1" applyFill="1" applyBorder="1" applyAlignment="1">
      <alignment horizontal="right"/>
    </xf>
    <xf numFmtId="1" fontId="2" fillId="13" borderId="2" xfId="0" applyNumberFormat="1" applyFont="1" applyFill="1" applyBorder="1" applyAlignment="1">
      <alignment horizontal="right"/>
    </xf>
    <xf numFmtId="1" fontId="2" fillId="0" borderId="2" xfId="0" applyNumberFormat="1" applyFont="1" applyBorder="1" applyAlignment="1">
      <alignment horizontal="right"/>
    </xf>
    <xf numFmtId="1" fontId="2" fillId="17" borderId="2" xfId="0" applyNumberFormat="1" applyFont="1" applyFill="1" applyBorder="1" applyAlignment="1">
      <alignment horizontal="right"/>
    </xf>
    <xf numFmtId="1" fontId="2" fillId="19" borderId="2" xfId="0" applyNumberFormat="1" applyFont="1" applyFill="1" applyBorder="1" applyAlignment="1">
      <alignment horizontal="right"/>
    </xf>
    <xf numFmtId="1" fontId="2" fillId="20" borderId="2" xfId="0" applyNumberFormat="1" applyFont="1" applyFill="1" applyBorder="1" applyAlignment="1">
      <alignment horizontal="right"/>
    </xf>
    <xf numFmtId="1" fontId="0" fillId="0" borderId="0" xfId="0" applyNumberFormat="1" applyAlignment="1">
      <alignment horizontal="right"/>
    </xf>
    <xf numFmtId="1" fontId="46" fillId="31" borderId="2" xfId="0" applyNumberFormat="1" applyFont="1" applyFill="1" applyBorder="1" applyAlignment="1">
      <alignment horizontal="right" vertical="center"/>
    </xf>
    <xf numFmtId="1" fontId="2" fillId="2" borderId="2" xfId="0" applyNumberFormat="1" applyFont="1" applyFill="1" applyBorder="1" applyAlignment="1">
      <alignment horizontal="right" vertical="center"/>
    </xf>
    <xf numFmtId="1" fontId="2" fillId="11" borderId="2" xfId="0" applyNumberFormat="1" applyFont="1" applyFill="1" applyBorder="1" applyAlignment="1">
      <alignment horizontal="right" vertical="center"/>
    </xf>
    <xf numFmtId="1" fontId="46" fillId="8" borderId="2" xfId="0" applyNumberFormat="1" applyFont="1" applyFill="1" applyBorder="1" applyAlignment="1">
      <alignment horizontal="right" vertical="center"/>
    </xf>
    <xf numFmtId="1" fontId="2" fillId="4" borderId="2" xfId="0" applyNumberFormat="1" applyFont="1" applyFill="1" applyBorder="1" applyAlignment="1">
      <alignment horizontal="right" vertical="center"/>
    </xf>
    <xf numFmtId="1" fontId="10" fillId="5" borderId="2" xfId="0" applyNumberFormat="1" applyFont="1" applyFill="1" applyBorder="1" applyAlignment="1">
      <alignment horizontal="right" vertical="center"/>
    </xf>
    <xf numFmtId="1" fontId="46" fillId="10" borderId="2" xfId="0" applyNumberFormat="1" applyFont="1" applyFill="1" applyBorder="1" applyAlignment="1">
      <alignment horizontal="right" vertical="center"/>
    </xf>
    <xf numFmtId="1" fontId="2" fillId="32" borderId="2" xfId="0" applyNumberFormat="1" applyFont="1" applyFill="1" applyBorder="1" applyAlignment="1">
      <alignment horizontal="right" vertical="center"/>
    </xf>
    <xf numFmtId="1" fontId="2" fillId="7" borderId="2" xfId="0" applyNumberFormat="1" applyFont="1" applyFill="1" applyBorder="1" applyAlignment="1">
      <alignment horizontal="right" vertical="center"/>
    </xf>
    <xf numFmtId="1" fontId="2" fillId="8" borderId="2" xfId="0" applyNumberFormat="1" applyFont="1" applyFill="1" applyBorder="1" applyAlignment="1">
      <alignment horizontal="right" vertical="center"/>
    </xf>
    <xf numFmtId="1" fontId="6" fillId="5" borderId="2" xfId="0" applyNumberFormat="1" applyFont="1" applyFill="1" applyBorder="1" applyAlignment="1">
      <alignment horizontal="right" vertical="center"/>
    </xf>
    <xf numFmtId="1" fontId="2" fillId="30" borderId="2" xfId="0" applyNumberFormat="1" applyFont="1" applyFill="1" applyBorder="1" applyAlignment="1">
      <alignment horizontal="right" vertical="center"/>
    </xf>
    <xf numFmtId="1" fontId="2" fillId="10" borderId="2" xfId="0" applyNumberFormat="1" applyFont="1" applyFill="1" applyBorder="1" applyAlignment="1">
      <alignment horizontal="right" vertical="center"/>
    </xf>
    <xf numFmtId="1" fontId="2" fillId="25" borderId="2" xfId="0" applyNumberFormat="1" applyFont="1" applyFill="1" applyBorder="1" applyAlignment="1">
      <alignment horizontal="right" vertical="center"/>
    </xf>
    <xf numFmtId="1" fontId="6" fillId="8" borderId="2" xfId="0" applyNumberFormat="1" applyFont="1" applyFill="1" applyBorder="1" applyAlignment="1">
      <alignment horizontal="right" vertical="center"/>
    </xf>
    <xf numFmtId="1" fontId="6" fillId="3" borderId="2" xfId="0" applyNumberFormat="1" applyFont="1" applyFill="1" applyBorder="1" applyAlignment="1">
      <alignment horizontal="right"/>
    </xf>
    <xf numFmtId="1" fontId="6" fillId="14" borderId="2" xfId="0" applyNumberFormat="1" applyFont="1" applyFill="1" applyBorder="1" applyAlignment="1">
      <alignment horizontal="right"/>
    </xf>
    <xf numFmtId="1" fontId="6" fillId="15" borderId="2" xfId="0" applyNumberFormat="1" applyFont="1" applyFill="1" applyBorder="1" applyAlignment="1">
      <alignment horizontal="right"/>
    </xf>
    <xf numFmtId="1" fontId="6" fillId="6" borderId="2" xfId="0" applyNumberFormat="1" applyFont="1" applyFill="1" applyBorder="1" applyAlignment="1">
      <alignment horizontal="right"/>
    </xf>
    <xf numFmtId="1" fontId="6" fillId="10" borderId="2" xfId="0" applyNumberFormat="1" applyFont="1" applyFill="1" applyBorder="1" applyAlignment="1">
      <alignment horizontal="right" vertical="center"/>
    </xf>
    <xf numFmtId="1" fontId="6" fillId="4" borderId="2" xfId="0" applyNumberFormat="1" applyFont="1" applyFill="1" applyBorder="1" applyAlignment="1">
      <alignment horizontal="right" vertical="center"/>
    </xf>
    <xf numFmtId="1" fontId="2" fillId="18" borderId="2" xfId="0" applyNumberFormat="1" applyFont="1" applyFill="1" applyBorder="1" applyAlignment="1">
      <alignment horizontal="right" vertical="center"/>
    </xf>
    <xf numFmtId="1" fontId="10" fillId="7" borderId="2" xfId="0" applyNumberFormat="1" applyFont="1" applyFill="1" applyBorder="1" applyAlignment="1">
      <alignment horizontal="right" vertical="center"/>
    </xf>
    <xf numFmtId="1" fontId="2" fillId="5" borderId="2" xfId="0" applyNumberFormat="1" applyFont="1" applyFill="1" applyBorder="1" applyAlignment="1">
      <alignment horizontal="right" vertical="center"/>
    </xf>
    <xf numFmtId="1" fontId="10" fillId="2" borderId="2" xfId="0" applyNumberFormat="1" applyFont="1" applyFill="1" applyBorder="1" applyAlignment="1">
      <alignment horizontal="right" vertical="center"/>
    </xf>
    <xf numFmtId="1" fontId="46" fillId="18" borderId="2" xfId="0" applyNumberFormat="1" applyFont="1" applyFill="1" applyBorder="1" applyAlignment="1">
      <alignment horizontal="right" vertical="center"/>
    </xf>
    <xf numFmtId="1" fontId="10" fillId="4" borderId="2" xfId="0" applyNumberFormat="1" applyFont="1" applyFill="1" applyBorder="1" applyAlignment="1">
      <alignment horizontal="right" vertical="center"/>
    </xf>
    <xf numFmtId="1" fontId="10" fillId="19" borderId="2" xfId="0" applyNumberFormat="1" applyFont="1" applyFill="1" applyBorder="1" applyAlignment="1">
      <alignment horizontal="right" vertical="center"/>
    </xf>
    <xf numFmtId="1" fontId="6" fillId="2" borderId="2" xfId="0" applyNumberFormat="1" applyFont="1" applyFill="1" applyBorder="1" applyAlignment="1">
      <alignment horizontal="right" vertical="center"/>
    </xf>
    <xf numFmtId="1" fontId="10" fillId="13" borderId="2" xfId="0" applyNumberFormat="1" applyFont="1" applyFill="1" applyBorder="1" applyAlignment="1">
      <alignment horizontal="right" vertical="center"/>
    </xf>
    <xf numFmtId="1" fontId="10" fillId="8" borderId="2" xfId="0" applyNumberFormat="1" applyFont="1" applyFill="1" applyBorder="1" applyAlignment="1">
      <alignment horizontal="right" vertical="center"/>
    </xf>
    <xf numFmtId="1" fontId="6" fillId="18" borderId="2" xfId="0" applyNumberFormat="1" applyFont="1" applyFill="1" applyBorder="1" applyAlignment="1">
      <alignment horizontal="right" vertical="center"/>
    </xf>
    <xf numFmtId="1" fontId="6" fillId="11" borderId="2" xfId="0" applyNumberFormat="1" applyFont="1" applyFill="1" applyBorder="1" applyAlignment="1">
      <alignment horizontal="right"/>
    </xf>
    <xf numFmtId="1" fontId="10" fillId="6" borderId="2" xfId="0" applyNumberFormat="1" applyFont="1" applyFill="1" applyBorder="1" applyAlignment="1">
      <alignment horizontal="right" vertical="center"/>
    </xf>
    <xf numFmtId="1" fontId="10" fillId="3" borderId="2" xfId="0" applyNumberFormat="1" applyFont="1" applyFill="1" applyBorder="1" applyAlignment="1">
      <alignment horizontal="right" vertical="center"/>
    </xf>
    <xf numFmtId="1" fontId="10" fillId="11" borderId="2" xfId="0" applyNumberFormat="1" applyFont="1" applyFill="1" applyBorder="1" applyAlignment="1">
      <alignment horizontal="right" vertical="center"/>
    </xf>
    <xf numFmtId="1" fontId="40" fillId="8" borderId="2" xfId="0" applyNumberFormat="1" applyFont="1" applyFill="1" applyBorder="1" applyAlignment="1">
      <alignment horizontal="right" vertical="center"/>
    </xf>
    <xf numFmtId="1" fontId="6" fillId="6" borderId="2" xfId="0" applyNumberFormat="1" applyFont="1" applyFill="1" applyBorder="1" applyAlignment="1">
      <alignment horizontal="right" vertical="center"/>
    </xf>
    <xf numFmtId="1" fontId="2" fillId="6" borderId="2" xfId="0" applyNumberFormat="1" applyFont="1" applyFill="1" applyBorder="1" applyAlignment="1">
      <alignment horizontal="right" vertical="center"/>
    </xf>
    <xf numFmtId="0" fontId="4" fillId="0" borderId="2" xfId="0" applyFont="1" applyBorder="1" applyAlignment="1">
      <alignment horizontal="right"/>
    </xf>
    <xf numFmtId="0" fontId="0" fillId="0" borderId="0" xfId="0" applyAlignment="1">
      <alignment horizontal="right"/>
    </xf>
    <xf numFmtId="164" fontId="52" fillId="0" borderId="2" xfId="0" applyNumberFormat="1" applyFont="1" applyBorder="1" applyAlignment="1">
      <alignment vertical="center" wrapText="1"/>
    </xf>
    <xf numFmtId="0" fontId="45" fillId="0" borderId="2" xfId="1" applyFill="1" applyBorder="1"/>
    <xf numFmtId="0" fontId="4" fillId="33" borderId="2" xfId="0" applyFont="1" applyFill="1" applyBorder="1"/>
    <xf numFmtId="1" fontId="45" fillId="2" borderId="2" xfId="1" applyNumberFormat="1" applyFill="1" applyBorder="1"/>
    <xf numFmtId="49" fontId="45" fillId="3" borderId="2" xfId="1" applyNumberFormat="1" applyFill="1" applyBorder="1"/>
    <xf numFmtId="1" fontId="45" fillId="15" borderId="2" xfId="1" applyNumberFormat="1" applyFill="1" applyBorder="1"/>
    <xf numFmtId="164" fontId="52" fillId="0" borderId="2" xfId="0" applyNumberFormat="1" applyFont="1" applyBorder="1"/>
    <xf numFmtId="49" fontId="5" fillId="9" borderId="2" xfId="0" applyNumberFormat="1" applyFont="1" applyFill="1" applyBorder="1"/>
    <xf numFmtId="164" fontId="46" fillId="2" borderId="2" xfId="0" applyNumberFormat="1" applyFont="1" applyFill="1" applyBorder="1"/>
    <xf numFmtId="0" fontId="2" fillId="9" borderId="2" xfId="0" applyFont="1" applyFill="1" applyBorder="1" applyAlignment="1">
      <alignment horizontal="right"/>
    </xf>
    <xf numFmtId="0" fontId="2" fillId="31" borderId="2" xfId="0" applyFont="1" applyFill="1" applyBorder="1" applyAlignment="1">
      <alignment horizontal="right"/>
    </xf>
    <xf numFmtId="0" fontId="2" fillId="10" borderId="2" xfId="0" applyFont="1" applyFill="1" applyBorder="1" applyAlignment="1">
      <alignment horizontal="right"/>
    </xf>
    <xf numFmtId="0" fontId="2" fillId="2" borderId="2" xfId="0" applyFont="1" applyFill="1" applyBorder="1" applyAlignment="1">
      <alignment horizontal="right"/>
    </xf>
    <xf numFmtId="0" fontId="0" fillId="23" borderId="2" xfId="0" applyFill="1" applyBorder="1"/>
    <xf numFmtId="49" fontId="46" fillId="2" borderId="2" xfId="0" applyNumberFormat="1" applyFont="1" applyFill="1" applyBorder="1" applyAlignment="1">
      <alignment horizontal="left"/>
    </xf>
    <xf numFmtId="164" fontId="46" fillId="30" borderId="2" xfId="0" applyNumberFormat="1" applyFont="1" applyFill="1" applyBorder="1"/>
    <xf numFmtId="164" fontId="6" fillId="20" borderId="2" xfId="0" applyNumberFormat="1" applyFont="1" applyFill="1" applyBorder="1"/>
    <xf numFmtId="49" fontId="2" fillId="34" borderId="2" xfId="0" applyNumberFormat="1" applyFont="1" applyFill="1" applyBorder="1" applyAlignment="1">
      <alignment horizontal="left"/>
    </xf>
    <xf numFmtId="14" fontId="2" fillId="34" borderId="2" xfId="0" applyNumberFormat="1" applyFont="1" applyFill="1" applyBorder="1"/>
    <xf numFmtId="49" fontId="2" fillId="34" borderId="2" xfId="0" applyNumberFormat="1" applyFont="1" applyFill="1" applyBorder="1"/>
    <xf numFmtId="1" fontId="2" fillId="34" borderId="2" xfId="0" applyNumberFormat="1" applyFont="1" applyFill="1" applyBorder="1" applyAlignment="1">
      <alignment horizontal="right"/>
    </xf>
    <xf numFmtId="1" fontId="2" fillId="34" borderId="2" xfId="0" applyNumberFormat="1" applyFont="1" applyFill="1" applyBorder="1" applyAlignment="1">
      <alignment horizontal="right" vertical="center"/>
    </xf>
    <xf numFmtId="164" fontId="2" fillId="34" borderId="2" xfId="0" applyNumberFormat="1" applyFont="1" applyFill="1" applyBorder="1"/>
    <xf numFmtId="2" fontId="2" fillId="34" borderId="2" xfId="0" applyNumberFormat="1" applyFont="1" applyFill="1" applyBorder="1"/>
    <xf numFmtId="2" fontId="2" fillId="35" borderId="2" xfId="0" applyNumberFormat="1" applyFont="1" applyFill="1" applyBorder="1"/>
    <xf numFmtId="1" fontId="2" fillId="34" borderId="2" xfId="0" applyNumberFormat="1" applyFont="1" applyFill="1" applyBorder="1"/>
    <xf numFmtId="49" fontId="45" fillId="34" borderId="2" xfId="1" applyNumberFormat="1" applyFill="1" applyBorder="1"/>
    <xf numFmtId="0" fontId="0" fillId="35" borderId="0" xfId="0" applyFill="1"/>
    <xf numFmtId="0" fontId="4" fillId="35" borderId="0" xfId="0" applyFont="1" applyFill="1"/>
    <xf numFmtId="1" fontId="45" fillId="34" borderId="2" xfId="1" applyNumberFormat="1" applyFill="1" applyBorder="1"/>
    <xf numFmtId="49" fontId="20" fillId="34" borderId="2" xfId="0" applyNumberFormat="1" applyFont="1" applyFill="1" applyBorder="1"/>
    <xf numFmtId="1" fontId="10" fillId="34" borderId="2" xfId="0" applyNumberFormat="1" applyFont="1" applyFill="1" applyBorder="1" applyAlignment="1">
      <alignment horizontal="right" vertical="center"/>
    </xf>
    <xf numFmtId="164" fontId="6" fillId="34" borderId="2" xfId="0" applyNumberFormat="1" applyFont="1" applyFill="1" applyBorder="1"/>
    <xf numFmtId="0" fontId="50" fillId="36" borderId="2" xfId="0" applyFont="1" applyFill="1" applyBorder="1" applyAlignment="1">
      <alignment vertical="center"/>
    </xf>
    <xf numFmtId="14" fontId="49" fillId="36" borderId="2" xfId="0" applyNumberFormat="1" applyFont="1" applyFill="1" applyBorder="1"/>
    <xf numFmtId="0" fontId="0" fillId="36" borderId="2" xfId="0" applyFill="1" applyBorder="1"/>
    <xf numFmtId="1" fontId="4" fillId="36" borderId="2" xfId="0" applyNumberFormat="1" applyFont="1" applyFill="1" applyBorder="1" applyAlignment="1">
      <alignment horizontal="right"/>
    </xf>
    <xf numFmtId="0" fontId="4" fillId="36" borderId="2" xfId="0" applyFont="1" applyFill="1" applyBorder="1"/>
    <xf numFmtId="0" fontId="4" fillId="36" borderId="2" xfId="0" applyFont="1" applyFill="1" applyBorder="1" applyAlignment="1">
      <alignment horizontal="right"/>
    </xf>
    <xf numFmtId="164" fontId="50" fillId="36" borderId="2" xfId="0" applyNumberFormat="1" applyFont="1" applyFill="1" applyBorder="1" applyAlignment="1">
      <alignment vertical="center" wrapText="1"/>
    </xf>
    <xf numFmtId="164" fontId="52" fillId="36" borderId="2" xfId="0" applyNumberFormat="1" applyFont="1" applyFill="1" applyBorder="1" applyAlignment="1">
      <alignment vertical="center" wrapText="1"/>
    </xf>
    <xf numFmtId="164" fontId="51" fillId="36" borderId="2" xfId="0" applyNumberFormat="1" applyFont="1" applyFill="1" applyBorder="1" applyAlignment="1">
      <alignment vertical="center" wrapText="1"/>
    </xf>
    <xf numFmtId="164" fontId="4" fillId="36" borderId="2" xfId="0" applyNumberFormat="1" applyFont="1" applyFill="1" applyBorder="1"/>
    <xf numFmtId="2" fontId="2" fillId="36" borderId="2" xfId="0" applyNumberFormat="1" applyFont="1" applyFill="1" applyBorder="1"/>
    <xf numFmtId="1" fontId="4" fillId="36" borderId="2" xfId="0" applyNumberFormat="1" applyFont="1" applyFill="1" applyBorder="1"/>
    <xf numFmtId="0" fontId="45" fillId="36" borderId="2" xfId="1" applyFill="1" applyBorder="1"/>
    <xf numFmtId="1" fontId="2" fillId="36" borderId="2" xfId="0" applyNumberFormat="1" applyFont="1" applyFill="1" applyBorder="1"/>
    <xf numFmtId="0" fontId="0" fillId="36" borderId="0" xfId="0" applyFill="1"/>
    <xf numFmtId="14" fontId="4" fillId="36" borderId="2" xfId="0" applyNumberFormat="1" applyFont="1" applyFill="1" applyBorder="1"/>
    <xf numFmtId="49" fontId="2" fillId="37" borderId="2" xfId="0" applyNumberFormat="1" applyFont="1" applyFill="1" applyBorder="1" applyAlignment="1">
      <alignment horizontal="left"/>
    </xf>
    <xf numFmtId="14" fontId="2" fillId="37" borderId="2" xfId="0" applyNumberFormat="1" applyFont="1" applyFill="1" applyBorder="1"/>
    <xf numFmtId="49" fontId="2" fillId="37" borderId="2" xfId="0" applyNumberFormat="1" applyFont="1" applyFill="1" applyBorder="1"/>
    <xf numFmtId="1" fontId="2" fillId="37" borderId="2" xfId="0" applyNumberFormat="1" applyFont="1" applyFill="1" applyBorder="1" applyAlignment="1">
      <alignment horizontal="right"/>
    </xf>
    <xf numFmtId="1" fontId="2" fillId="37" borderId="2" xfId="0" applyNumberFormat="1" applyFont="1" applyFill="1" applyBorder="1" applyAlignment="1">
      <alignment horizontal="right" vertical="center"/>
    </xf>
    <xf numFmtId="164" fontId="2" fillId="37" borderId="2" xfId="0" applyNumberFormat="1" applyFont="1" applyFill="1" applyBorder="1"/>
    <xf numFmtId="164" fontId="6" fillId="37" borderId="2" xfId="0" applyNumberFormat="1" applyFont="1" applyFill="1" applyBorder="1"/>
    <xf numFmtId="2" fontId="2" fillId="37" borderId="2" xfId="0" applyNumberFormat="1" applyFont="1" applyFill="1" applyBorder="1"/>
    <xf numFmtId="1" fontId="2" fillId="37" borderId="2" xfId="0" applyNumberFormat="1" applyFont="1" applyFill="1" applyBorder="1"/>
    <xf numFmtId="49" fontId="17" fillId="37" borderId="2" xfId="0" applyNumberFormat="1" applyFont="1" applyFill="1" applyBorder="1"/>
    <xf numFmtId="1" fontId="6" fillId="37" borderId="2" xfId="0" applyNumberFormat="1" applyFont="1" applyFill="1" applyBorder="1" applyAlignment="1">
      <alignment horizontal="right" vertical="center"/>
    </xf>
    <xf numFmtId="49" fontId="2" fillId="38" borderId="2" xfId="0" applyNumberFormat="1" applyFont="1" applyFill="1" applyBorder="1" applyAlignment="1">
      <alignment horizontal="left"/>
    </xf>
    <xf numFmtId="14" fontId="6" fillId="38" borderId="2" xfId="0" applyNumberFormat="1" applyFont="1" applyFill="1" applyBorder="1"/>
    <xf numFmtId="49" fontId="2" fillId="38" borderId="2" xfId="0" applyNumberFormat="1" applyFont="1" applyFill="1" applyBorder="1"/>
    <xf numFmtId="1" fontId="2" fillId="38" borderId="2" xfId="0" applyNumberFormat="1" applyFont="1" applyFill="1" applyBorder="1" applyAlignment="1">
      <alignment horizontal="right"/>
    </xf>
    <xf numFmtId="49" fontId="6" fillId="38" borderId="2" xfId="0" applyNumberFormat="1" applyFont="1" applyFill="1" applyBorder="1"/>
    <xf numFmtId="1" fontId="10" fillId="38" borderId="2" xfId="0" applyNumberFormat="1" applyFont="1" applyFill="1" applyBorder="1" applyAlignment="1">
      <alignment horizontal="right" vertical="center"/>
    </xf>
    <xf numFmtId="164" fontId="2" fillId="38" borderId="2" xfId="0" applyNumberFormat="1" applyFont="1" applyFill="1" applyBorder="1"/>
    <xf numFmtId="164" fontId="6" fillId="38" borderId="2" xfId="0" applyNumberFormat="1" applyFont="1" applyFill="1" applyBorder="1"/>
    <xf numFmtId="2" fontId="2" fillId="38" borderId="2" xfId="0" applyNumberFormat="1" applyFont="1" applyFill="1" applyBorder="1"/>
    <xf numFmtId="49" fontId="11" fillId="38" borderId="2" xfId="0" applyNumberFormat="1" applyFont="1" applyFill="1" applyBorder="1"/>
    <xf numFmtId="1" fontId="2" fillId="38" borderId="2" xfId="0" applyNumberFormat="1" applyFont="1" applyFill="1" applyBorder="1"/>
    <xf numFmtId="14" fontId="2" fillId="38" borderId="2" xfId="0" applyNumberFormat="1" applyFont="1" applyFill="1" applyBorder="1"/>
    <xf numFmtId="49" fontId="45" fillId="38" borderId="2" xfId="1" applyNumberFormat="1" applyFill="1" applyBorder="1"/>
    <xf numFmtId="14" fontId="10" fillId="38" borderId="2" xfId="0" applyNumberFormat="1" applyFont="1" applyFill="1" applyBorder="1" applyAlignment="1">
      <alignment vertical="center"/>
    </xf>
    <xf numFmtId="164" fontId="10" fillId="38" borderId="2" xfId="0" applyNumberFormat="1" applyFont="1" applyFill="1" applyBorder="1" applyAlignment="1">
      <alignment vertical="center"/>
    </xf>
    <xf numFmtId="0" fontId="50" fillId="39" borderId="2" xfId="0" applyFont="1" applyFill="1" applyBorder="1" applyAlignment="1">
      <alignment vertical="center"/>
    </xf>
    <xf numFmtId="14" fontId="4" fillId="39" borderId="2" xfId="0" applyNumberFormat="1" applyFont="1" applyFill="1" applyBorder="1"/>
    <xf numFmtId="0" fontId="0" fillId="39" borderId="2" xfId="0" applyFill="1" applyBorder="1"/>
    <xf numFmtId="1" fontId="4" fillId="39" borderId="2" xfId="0" applyNumberFormat="1" applyFont="1" applyFill="1" applyBorder="1" applyAlignment="1">
      <alignment horizontal="right"/>
    </xf>
    <xf numFmtId="0" fontId="4" fillId="39" borderId="2" xfId="0" applyFont="1" applyFill="1" applyBorder="1"/>
    <xf numFmtId="0" fontId="4" fillId="39" borderId="2" xfId="0" applyFont="1" applyFill="1" applyBorder="1" applyAlignment="1">
      <alignment horizontal="right"/>
    </xf>
    <xf numFmtId="164" fontId="50" fillId="39" borderId="2" xfId="0" applyNumberFormat="1" applyFont="1" applyFill="1" applyBorder="1" applyAlignment="1">
      <alignment vertical="center" wrapText="1"/>
    </xf>
    <xf numFmtId="164" fontId="4" fillId="39" borderId="2" xfId="0" applyNumberFormat="1" applyFont="1" applyFill="1" applyBorder="1"/>
    <xf numFmtId="2" fontId="2" fillId="39" borderId="2" xfId="0" applyNumberFormat="1" applyFont="1" applyFill="1" applyBorder="1"/>
    <xf numFmtId="1" fontId="4" fillId="39" borderId="2" xfId="0" applyNumberFormat="1" applyFont="1" applyFill="1" applyBorder="1"/>
    <xf numFmtId="0" fontId="45" fillId="39" borderId="2" xfId="1" applyFill="1" applyBorder="1"/>
    <xf numFmtId="1" fontId="2" fillId="39" borderId="2" xfId="0" applyNumberFormat="1" applyFont="1" applyFill="1" applyBorder="1"/>
    <xf numFmtId="0" fontId="0" fillId="39" borderId="0" xfId="0" applyFill="1"/>
    <xf numFmtId="0" fontId="50" fillId="40" borderId="2" xfId="0" applyFont="1" applyFill="1" applyBorder="1" applyAlignment="1">
      <alignment vertical="center"/>
    </xf>
    <xf numFmtId="14" fontId="4" fillId="40" borderId="2" xfId="0" applyNumberFormat="1" applyFont="1" applyFill="1" applyBorder="1"/>
    <xf numFmtId="0" fontId="0" fillId="40" borderId="2" xfId="0" applyFill="1" applyBorder="1"/>
    <xf numFmtId="1" fontId="4" fillId="40" borderId="2" xfId="0" applyNumberFormat="1" applyFont="1" applyFill="1" applyBorder="1" applyAlignment="1">
      <alignment horizontal="right"/>
    </xf>
    <xf numFmtId="0" fontId="4" fillId="40" borderId="2" xfId="0" applyFont="1" applyFill="1" applyBorder="1"/>
    <xf numFmtId="0" fontId="4" fillId="40" borderId="2" xfId="0" applyFont="1" applyFill="1" applyBorder="1" applyAlignment="1">
      <alignment horizontal="right"/>
    </xf>
    <xf numFmtId="164" fontId="50" fillId="40" borderId="2" xfId="0" applyNumberFormat="1" applyFont="1" applyFill="1" applyBorder="1" applyAlignment="1">
      <alignment vertical="center" wrapText="1"/>
    </xf>
    <xf numFmtId="164" fontId="4" fillId="40" borderId="2" xfId="0" applyNumberFormat="1" applyFont="1" applyFill="1" applyBorder="1"/>
    <xf numFmtId="2" fontId="2" fillId="40" borderId="2" xfId="0" applyNumberFormat="1" applyFont="1" applyFill="1" applyBorder="1"/>
    <xf numFmtId="1" fontId="4" fillId="40" borderId="2" xfId="0" applyNumberFormat="1" applyFont="1" applyFill="1" applyBorder="1"/>
    <xf numFmtId="0" fontId="45" fillId="40" borderId="2" xfId="1" applyFill="1" applyBorder="1"/>
    <xf numFmtId="1" fontId="2" fillId="40" borderId="2" xfId="0" applyNumberFormat="1" applyFont="1" applyFill="1" applyBorder="1"/>
    <xf numFmtId="0" fontId="0" fillId="40" borderId="0" xfId="0" applyFill="1"/>
    <xf numFmtId="164" fontId="52" fillId="40" borderId="2" xfId="0" applyNumberFormat="1" applyFont="1" applyFill="1" applyBorder="1" applyAlignment="1">
      <alignment vertical="center" wrapText="1"/>
    </xf>
    <xf numFmtId="164" fontId="51" fillId="40" borderId="2" xfId="0" applyNumberFormat="1" applyFont="1" applyFill="1" applyBorder="1" applyAlignment="1">
      <alignment vertical="center" wrapText="1"/>
    </xf>
    <xf numFmtId="0" fontId="50" fillId="41" borderId="2" xfId="0" applyFont="1" applyFill="1" applyBorder="1" applyAlignment="1">
      <alignment vertical="center"/>
    </xf>
    <xf numFmtId="14" fontId="4" fillId="41" borderId="2" xfId="0" applyNumberFormat="1" applyFont="1" applyFill="1" applyBorder="1"/>
    <xf numFmtId="0" fontId="0" fillId="41" borderId="2" xfId="0" applyFill="1" applyBorder="1"/>
    <xf numFmtId="1" fontId="4" fillId="41" borderId="2" xfId="0" applyNumberFormat="1" applyFont="1" applyFill="1" applyBorder="1" applyAlignment="1">
      <alignment horizontal="right"/>
    </xf>
    <xf numFmtId="0" fontId="4" fillId="41" borderId="2" xfId="0" applyFont="1" applyFill="1" applyBorder="1"/>
    <xf numFmtId="0" fontId="4" fillId="41" borderId="2" xfId="0" applyFont="1" applyFill="1" applyBorder="1" applyAlignment="1">
      <alignment horizontal="right"/>
    </xf>
    <xf numFmtId="164" fontId="50" fillId="41" borderId="2" xfId="0" applyNumberFormat="1" applyFont="1" applyFill="1" applyBorder="1" applyAlignment="1">
      <alignment vertical="center" wrapText="1"/>
    </xf>
    <xf numFmtId="164" fontId="52" fillId="41" borderId="2" xfId="0" applyNumberFormat="1" applyFont="1" applyFill="1" applyBorder="1" applyAlignment="1">
      <alignment vertical="center" wrapText="1"/>
    </xf>
    <xf numFmtId="164" fontId="51" fillId="41" borderId="2" xfId="0" applyNumberFormat="1" applyFont="1" applyFill="1" applyBorder="1" applyAlignment="1">
      <alignment vertical="center" wrapText="1"/>
    </xf>
    <xf numFmtId="164" fontId="4" fillId="41" borderId="2" xfId="0" applyNumberFormat="1" applyFont="1" applyFill="1" applyBorder="1"/>
    <xf numFmtId="2" fontId="2" fillId="41" borderId="2" xfId="0" applyNumberFormat="1" applyFont="1" applyFill="1" applyBorder="1"/>
    <xf numFmtId="1" fontId="4" fillId="41" borderId="2" xfId="0" applyNumberFormat="1" applyFont="1" applyFill="1" applyBorder="1"/>
    <xf numFmtId="1" fontId="2" fillId="41" borderId="2" xfId="0" applyNumberFormat="1" applyFont="1" applyFill="1" applyBorder="1"/>
    <xf numFmtId="0" fontId="0" fillId="41" borderId="0" xfId="0" applyFill="1"/>
    <xf numFmtId="0" fontId="50" fillId="42" borderId="2" xfId="0" applyFont="1" applyFill="1" applyBorder="1" applyAlignment="1">
      <alignment vertical="center"/>
    </xf>
    <xf numFmtId="14" fontId="4" fillId="42" borderId="2" xfId="0" applyNumberFormat="1" applyFont="1" applyFill="1" applyBorder="1"/>
    <xf numFmtId="0" fontId="4" fillId="42" borderId="2" xfId="0" applyFont="1" applyFill="1" applyBorder="1"/>
    <xf numFmtId="1" fontId="4" fillId="42" borderId="2" xfId="0" applyNumberFormat="1" applyFont="1" applyFill="1" applyBorder="1" applyAlignment="1">
      <alignment horizontal="right"/>
    </xf>
    <xf numFmtId="49" fontId="4" fillId="42" borderId="2" xfId="0" applyNumberFormat="1" applyFont="1" applyFill="1" applyBorder="1"/>
    <xf numFmtId="164" fontId="50" fillId="42" borderId="2" xfId="0" applyNumberFormat="1" applyFont="1" applyFill="1" applyBorder="1" applyAlignment="1">
      <alignment vertical="center" wrapText="1"/>
    </xf>
    <xf numFmtId="164" fontId="4" fillId="42" borderId="2" xfId="0" applyNumberFormat="1" applyFont="1" applyFill="1" applyBorder="1"/>
    <xf numFmtId="2" fontId="2" fillId="42" borderId="2" xfId="0" applyNumberFormat="1" applyFont="1" applyFill="1" applyBorder="1"/>
    <xf numFmtId="1" fontId="4" fillId="42" borderId="2" xfId="0" applyNumberFormat="1" applyFont="1" applyFill="1" applyBorder="1"/>
    <xf numFmtId="1" fontId="2" fillId="42" borderId="2" xfId="0" applyNumberFormat="1" applyFont="1" applyFill="1" applyBorder="1"/>
    <xf numFmtId="0" fontId="0" fillId="42" borderId="0" xfId="0" applyFill="1"/>
    <xf numFmtId="0" fontId="0" fillId="42" borderId="2" xfId="0" applyFill="1" applyBorder="1"/>
    <xf numFmtId="0" fontId="4" fillId="42" borderId="2" xfId="0" applyFont="1" applyFill="1" applyBorder="1" applyAlignment="1">
      <alignment horizontal="right"/>
    </xf>
    <xf numFmtId="164" fontId="52" fillId="42" borderId="2" xfId="0" applyNumberFormat="1" applyFont="1" applyFill="1" applyBorder="1" applyAlignment="1">
      <alignment vertical="center" wrapText="1"/>
    </xf>
    <xf numFmtId="164" fontId="51" fillId="42" borderId="2" xfId="0" applyNumberFormat="1" applyFont="1" applyFill="1" applyBorder="1" applyAlignment="1">
      <alignment vertical="center" wrapText="1"/>
    </xf>
    <xf numFmtId="0" fontId="45" fillId="42" borderId="2" xfId="1" applyFill="1" applyBorder="1"/>
    <xf numFmtId="0" fontId="50" fillId="23" borderId="2" xfId="0" applyFont="1" applyFill="1" applyBorder="1" applyAlignment="1">
      <alignment vertical="center"/>
    </xf>
    <xf numFmtId="14" fontId="4" fillId="23" borderId="2" xfId="0" applyNumberFormat="1" applyFont="1" applyFill="1" applyBorder="1"/>
    <xf numFmtId="1" fontId="4" fillId="23" borderId="2" xfId="0" applyNumberFormat="1" applyFont="1" applyFill="1" applyBorder="1" applyAlignment="1">
      <alignment horizontal="right"/>
    </xf>
    <xf numFmtId="0" fontId="4" fillId="23" borderId="2" xfId="0" applyFont="1" applyFill="1" applyBorder="1"/>
    <xf numFmtId="0" fontId="4" fillId="23" borderId="2" xfId="0" applyFont="1" applyFill="1" applyBorder="1" applyAlignment="1">
      <alignment horizontal="right"/>
    </xf>
    <xf numFmtId="164" fontId="50" fillId="23" borderId="2" xfId="0" applyNumberFormat="1" applyFont="1" applyFill="1" applyBorder="1" applyAlignment="1">
      <alignment vertical="center" wrapText="1"/>
    </xf>
    <xf numFmtId="164" fontId="4" fillId="23" borderId="2" xfId="0" applyNumberFormat="1" applyFont="1" applyFill="1" applyBorder="1"/>
    <xf numFmtId="1" fontId="4" fillId="23" borderId="2" xfId="0" applyNumberFormat="1" applyFont="1" applyFill="1" applyBorder="1"/>
    <xf numFmtId="0" fontId="45" fillId="23" borderId="2" xfId="1" applyFill="1" applyBorder="1"/>
    <xf numFmtId="0" fontId="0" fillId="23" borderId="0" xfId="0" applyFill="1"/>
    <xf numFmtId="0" fontId="50" fillId="33" borderId="2" xfId="0" applyFont="1" applyFill="1" applyBorder="1" applyAlignment="1">
      <alignment vertical="center"/>
    </xf>
    <xf numFmtId="14" fontId="4" fillId="33" borderId="2" xfId="0" applyNumberFormat="1" applyFont="1" applyFill="1" applyBorder="1"/>
    <xf numFmtId="1" fontId="4" fillId="33" borderId="2" xfId="0" applyNumberFormat="1" applyFont="1" applyFill="1" applyBorder="1" applyAlignment="1">
      <alignment horizontal="right"/>
    </xf>
    <xf numFmtId="0" fontId="4" fillId="33" borderId="2" xfId="0" applyFont="1" applyFill="1" applyBorder="1" applyAlignment="1">
      <alignment horizontal="right"/>
    </xf>
    <xf numFmtId="164" fontId="0" fillId="33" borderId="2" xfId="0" applyNumberFormat="1" applyFill="1" applyBorder="1"/>
    <xf numFmtId="164" fontId="53" fillId="33" borderId="2" xfId="0" applyNumberFormat="1" applyFont="1" applyFill="1" applyBorder="1"/>
    <xf numFmtId="2" fontId="2" fillId="33" borderId="2" xfId="0" applyNumberFormat="1" applyFont="1" applyFill="1" applyBorder="1"/>
    <xf numFmtId="164" fontId="4" fillId="33" borderId="2" xfId="0" applyNumberFormat="1" applyFont="1" applyFill="1" applyBorder="1"/>
    <xf numFmtId="1" fontId="4" fillId="33" borderId="2" xfId="0" applyNumberFormat="1" applyFont="1" applyFill="1" applyBorder="1"/>
    <xf numFmtId="49" fontId="2" fillId="33" borderId="2" xfId="0" applyNumberFormat="1" applyFont="1" applyFill="1" applyBorder="1"/>
    <xf numFmtId="1" fontId="2" fillId="33" borderId="2" xfId="0" applyNumberFormat="1" applyFont="1" applyFill="1" applyBorder="1"/>
    <xf numFmtId="164" fontId="50" fillId="33" borderId="2" xfId="0" applyNumberFormat="1" applyFont="1" applyFill="1" applyBorder="1" applyAlignment="1">
      <alignment vertical="center" wrapText="1"/>
    </xf>
    <xf numFmtId="164" fontId="51" fillId="33" borderId="2" xfId="0" applyNumberFormat="1" applyFont="1" applyFill="1" applyBorder="1" applyAlignment="1">
      <alignment vertical="center" wrapText="1"/>
    </xf>
    <xf numFmtId="164" fontId="52" fillId="33" borderId="2" xfId="0" applyNumberFormat="1" applyFont="1" applyFill="1" applyBorder="1" applyAlignment="1">
      <alignment vertical="center" wrapText="1"/>
    </xf>
    <xf numFmtId="0" fontId="45" fillId="33" borderId="2" xfId="1" applyFill="1" applyBorder="1"/>
    <xf numFmtId="164" fontId="55" fillId="8" borderId="2" xfId="0" applyNumberFormat="1" applyFont="1" applyFill="1" applyBorder="1"/>
    <xf numFmtId="164" fontId="45" fillId="20" borderId="2" xfId="1" applyNumberFormat="1" applyFill="1" applyBorder="1"/>
    <xf numFmtId="49" fontId="45" fillId="22" borderId="2" xfId="1" applyNumberFormat="1" applyFill="1" applyBorder="1"/>
    <xf numFmtId="49" fontId="55" fillId="10" borderId="2" xfId="0" applyNumberFormat="1" applyFont="1" applyFill="1" applyBorder="1" applyAlignment="1">
      <alignment horizontal="left"/>
    </xf>
    <xf numFmtId="49" fontId="55" fillId="10" borderId="2" xfId="0" applyNumberFormat="1" applyFont="1" applyFill="1" applyBorder="1"/>
    <xf numFmtId="1" fontId="55" fillId="10" borderId="2" xfId="0" applyNumberFormat="1" applyFont="1" applyFill="1" applyBorder="1" applyAlignment="1">
      <alignment horizontal="right"/>
    </xf>
    <xf numFmtId="49" fontId="49" fillId="10" borderId="2" xfId="0" applyNumberFormat="1" applyFont="1" applyFill="1" applyBorder="1"/>
    <xf numFmtId="1" fontId="49" fillId="10" borderId="2" xfId="0" applyNumberFormat="1" applyFont="1" applyFill="1" applyBorder="1" applyAlignment="1">
      <alignment horizontal="right" vertical="center"/>
    </xf>
    <xf numFmtId="164" fontId="55" fillId="10" borderId="2" xfId="0" applyNumberFormat="1" applyFont="1" applyFill="1" applyBorder="1"/>
    <xf numFmtId="2" fontId="55" fillId="10" borderId="2" xfId="0" applyNumberFormat="1" applyFont="1" applyFill="1" applyBorder="1"/>
    <xf numFmtId="1" fontId="55" fillId="10" borderId="2" xfId="0" applyNumberFormat="1" applyFont="1" applyFill="1" applyBorder="1"/>
    <xf numFmtId="49" fontId="45" fillId="10" borderId="0" xfId="1" applyNumberFormat="1" applyFill="1" applyBorder="1"/>
    <xf numFmtId="49" fontId="56" fillId="10" borderId="2" xfId="0" applyNumberFormat="1" applyFont="1" applyFill="1" applyBorder="1"/>
    <xf numFmtId="49" fontId="6" fillId="11" borderId="2" xfId="0" applyNumberFormat="1" applyFont="1" applyFill="1" applyBorder="1"/>
    <xf numFmtId="1" fontId="6" fillId="11" borderId="2" xfId="0" applyNumberFormat="1" applyFont="1" applyFill="1" applyBorder="1" applyAlignment="1">
      <alignment horizontal="right" vertical="center"/>
    </xf>
    <xf numFmtId="49" fontId="6" fillId="43" borderId="2" xfId="0" applyNumberFormat="1" applyFont="1" applyFill="1" applyBorder="1" applyAlignment="1">
      <alignment horizontal="left"/>
    </xf>
    <xf numFmtId="14" fontId="6" fillId="43" borderId="2" xfId="0" applyNumberFormat="1" applyFont="1" applyFill="1" applyBorder="1"/>
    <xf numFmtId="49" fontId="2" fillId="43" borderId="2" xfId="0" applyNumberFormat="1" applyFont="1" applyFill="1" applyBorder="1"/>
    <xf numFmtId="1" fontId="2" fillId="43" borderId="2" xfId="0" applyNumberFormat="1" applyFont="1" applyFill="1" applyBorder="1" applyAlignment="1">
      <alignment horizontal="right"/>
    </xf>
    <xf numFmtId="49" fontId="6" fillId="43" borderId="2" xfId="0" applyNumberFormat="1" applyFont="1" applyFill="1" applyBorder="1"/>
    <xf numFmtId="1" fontId="6" fillId="43" borderId="2" xfId="0" applyNumberFormat="1" applyFont="1" applyFill="1" applyBorder="1" applyAlignment="1">
      <alignment horizontal="right" vertical="center"/>
    </xf>
    <xf numFmtId="164" fontId="2" fillId="43" borderId="2" xfId="0" applyNumberFormat="1" applyFont="1" applyFill="1" applyBorder="1"/>
    <xf numFmtId="164" fontId="6" fillId="43" borderId="2" xfId="0" applyNumberFormat="1" applyFont="1" applyFill="1" applyBorder="1"/>
    <xf numFmtId="164" fontId="55" fillId="43" borderId="2" xfId="0" applyNumberFormat="1" applyFont="1" applyFill="1" applyBorder="1"/>
    <xf numFmtId="2" fontId="2" fillId="43" borderId="2" xfId="0" applyNumberFormat="1" applyFont="1" applyFill="1" applyBorder="1"/>
    <xf numFmtId="1" fontId="2" fillId="43" borderId="2" xfId="0" applyNumberFormat="1" applyFont="1" applyFill="1" applyBorder="1"/>
    <xf numFmtId="49" fontId="45" fillId="43" borderId="2" xfId="1" applyNumberFormat="1" applyFill="1" applyBorder="1"/>
    <xf numFmtId="49" fontId="14" fillId="43" borderId="2" xfId="0" applyNumberFormat="1" applyFont="1" applyFill="1" applyBorder="1"/>
    <xf numFmtId="0" fontId="0" fillId="43" borderId="0" xfId="0" applyFill="1"/>
    <xf numFmtId="49" fontId="38" fillId="38" borderId="2" xfId="0" applyNumberFormat="1" applyFont="1" applyFill="1" applyBorder="1"/>
    <xf numFmtId="0" fontId="2" fillId="37" borderId="2" xfId="0" applyFont="1" applyFill="1" applyBorder="1"/>
    <xf numFmtId="49" fontId="2" fillId="27" borderId="2" xfId="0" applyNumberFormat="1" applyFont="1" applyFill="1" applyBorder="1"/>
    <xf numFmtId="0" fontId="2" fillId="6" borderId="2" xfId="0" applyFont="1" applyFill="1" applyBorder="1"/>
    <xf numFmtId="14" fontId="46" fillId="15" borderId="2" xfId="0" applyNumberFormat="1" applyFont="1" applyFill="1" applyBorder="1"/>
    <xf numFmtId="14" fontId="46" fillId="5" borderId="2" xfId="0" applyNumberFormat="1" applyFont="1" applyFill="1" applyBorder="1"/>
    <xf numFmtId="164" fontId="52" fillId="42" borderId="2" xfId="0" applyNumberFormat="1" applyFont="1" applyFill="1" applyBorder="1"/>
    <xf numFmtId="164" fontId="52" fillId="39" borderId="2" xfId="0" applyNumberFormat="1" applyFont="1" applyFill="1" applyBorder="1"/>
    <xf numFmtId="14" fontId="49" fillId="42" borderId="2" xfId="0" applyNumberFormat="1" applyFont="1" applyFill="1" applyBorder="1"/>
    <xf numFmtId="0" fontId="49" fillId="42" borderId="2" xfId="0" applyFont="1" applyFill="1" applyBorder="1"/>
    <xf numFmtId="164" fontId="49" fillId="42" borderId="2" xfId="0" applyNumberFormat="1" applyFont="1" applyFill="1" applyBorder="1"/>
    <xf numFmtId="0" fontId="57" fillId="33" borderId="2" xfId="0" applyFont="1" applyFill="1" applyBorder="1" applyAlignment="1">
      <alignment vertical="center"/>
    </xf>
    <xf numFmtId="0" fontId="57" fillId="33" borderId="2" xfId="0" applyFont="1" applyFill="1" applyBorder="1"/>
    <xf numFmtId="1" fontId="57" fillId="33" borderId="2" xfId="0" applyNumberFormat="1" applyFont="1" applyFill="1" applyBorder="1" applyAlignment="1">
      <alignment horizontal="right"/>
    </xf>
    <xf numFmtId="0" fontId="57" fillId="33" borderId="2" xfId="0" applyFont="1" applyFill="1" applyBorder="1" applyAlignment="1">
      <alignment horizontal="right"/>
    </xf>
    <xf numFmtId="164" fontId="57" fillId="33" borderId="2" xfId="0" applyNumberFormat="1" applyFont="1" applyFill="1" applyBorder="1" applyAlignment="1">
      <alignment vertical="center" wrapText="1"/>
    </xf>
    <xf numFmtId="164" fontId="57" fillId="33" borderId="2" xfId="0" applyNumberFormat="1" applyFont="1" applyFill="1" applyBorder="1"/>
    <xf numFmtId="2" fontId="57" fillId="33" borderId="2" xfId="0" applyNumberFormat="1" applyFont="1" applyFill="1" applyBorder="1"/>
    <xf numFmtId="1" fontId="57" fillId="33" borderId="2" xfId="0" applyNumberFormat="1" applyFont="1" applyFill="1" applyBorder="1"/>
    <xf numFmtId="0" fontId="50" fillId="44" borderId="2" xfId="0" applyFont="1" applyFill="1" applyBorder="1" applyAlignment="1">
      <alignment vertical="center"/>
    </xf>
    <xf numFmtId="14" fontId="55" fillId="44" borderId="2" xfId="0" applyNumberFormat="1" applyFont="1" applyFill="1" applyBorder="1"/>
    <xf numFmtId="0" fontId="55" fillId="44" borderId="2" xfId="0" applyFont="1" applyFill="1" applyBorder="1"/>
    <xf numFmtId="1" fontId="55" fillId="44" borderId="2" xfId="0" applyNumberFormat="1" applyFont="1" applyFill="1" applyBorder="1" applyAlignment="1">
      <alignment horizontal="right"/>
    </xf>
    <xf numFmtId="0" fontId="55" fillId="44" borderId="2" xfId="0" applyFont="1" applyFill="1" applyBorder="1" applyAlignment="1">
      <alignment horizontal="right"/>
    </xf>
    <xf numFmtId="164" fontId="50" fillId="44" borderId="2" xfId="0" applyNumberFormat="1" applyFont="1" applyFill="1" applyBorder="1" applyAlignment="1">
      <alignment vertical="center" wrapText="1"/>
    </xf>
    <xf numFmtId="164" fontId="55" fillId="44" borderId="2" xfId="0" applyNumberFormat="1" applyFont="1" applyFill="1" applyBorder="1"/>
    <xf numFmtId="2" fontId="55" fillId="44" borderId="2" xfId="0" applyNumberFormat="1" applyFont="1" applyFill="1" applyBorder="1"/>
    <xf numFmtId="1" fontId="55" fillId="44" borderId="2" xfId="0" applyNumberFormat="1" applyFont="1" applyFill="1" applyBorder="1"/>
    <xf numFmtId="0" fontId="45" fillId="44" borderId="2" xfId="1" applyFill="1" applyBorder="1"/>
    <xf numFmtId="0" fontId="50" fillId="45" borderId="2" xfId="0" applyFont="1" applyFill="1" applyBorder="1" applyAlignment="1">
      <alignment vertical="center"/>
    </xf>
    <xf numFmtId="14" fontId="55" fillId="45" borderId="2" xfId="0" applyNumberFormat="1" applyFont="1" applyFill="1" applyBorder="1"/>
    <xf numFmtId="0" fontId="55" fillId="45" borderId="2" xfId="0" applyFont="1" applyFill="1" applyBorder="1"/>
    <xf numFmtId="1" fontId="55" fillId="45" borderId="2" xfId="0" applyNumberFormat="1" applyFont="1" applyFill="1" applyBorder="1" applyAlignment="1">
      <alignment horizontal="right"/>
    </xf>
    <xf numFmtId="0" fontId="55" fillId="45" borderId="2" xfId="0" applyFont="1" applyFill="1" applyBorder="1" applyAlignment="1">
      <alignment horizontal="right"/>
    </xf>
    <xf numFmtId="164" fontId="50" fillId="45" borderId="2" xfId="0" applyNumberFormat="1" applyFont="1" applyFill="1" applyBorder="1" applyAlignment="1">
      <alignment vertical="center" wrapText="1"/>
    </xf>
    <xf numFmtId="164" fontId="55" fillId="45" borderId="2" xfId="0" applyNumberFormat="1" applyFont="1" applyFill="1" applyBorder="1"/>
    <xf numFmtId="2" fontId="55" fillId="45" borderId="2" xfId="0" applyNumberFormat="1" applyFont="1" applyFill="1" applyBorder="1"/>
    <xf numFmtId="1" fontId="55" fillId="45" borderId="2" xfId="0" applyNumberFormat="1" applyFont="1" applyFill="1" applyBorder="1"/>
    <xf numFmtId="0" fontId="45" fillId="45" borderId="2" xfId="1" applyFill="1" applyBorder="1"/>
    <xf numFmtId="164" fontId="49" fillId="45" borderId="2" xfId="0" applyNumberFormat="1" applyFont="1" applyFill="1" applyBorder="1"/>
    <xf numFmtId="2" fontId="52" fillId="45" borderId="2" xfId="0" applyNumberFormat="1" applyFont="1" applyFill="1" applyBorder="1"/>
    <xf numFmtId="14" fontId="49" fillId="33" borderId="2" xfId="0" applyNumberFormat="1" applyFont="1" applyFill="1" applyBorder="1"/>
    <xf numFmtId="0" fontId="50" fillId="35" borderId="2" xfId="0" applyFont="1" applyFill="1" applyBorder="1" applyAlignment="1">
      <alignment vertical="center"/>
    </xf>
    <xf numFmtId="14" fontId="52" fillId="35" borderId="2" xfId="0" applyNumberFormat="1" applyFont="1" applyFill="1" applyBorder="1"/>
    <xf numFmtId="0" fontId="4" fillId="35" borderId="2" xfId="0" applyFont="1" applyFill="1" applyBorder="1"/>
    <xf numFmtId="1" fontId="4" fillId="35" borderId="2" xfId="0" applyNumberFormat="1" applyFont="1" applyFill="1" applyBorder="1" applyAlignment="1">
      <alignment horizontal="right"/>
    </xf>
    <xf numFmtId="0" fontId="4" fillId="35" borderId="2" xfId="0" applyFont="1" applyFill="1" applyBorder="1" applyAlignment="1">
      <alignment horizontal="right"/>
    </xf>
    <xf numFmtId="164" fontId="50" fillId="35" borderId="2" xfId="0" applyNumberFormat="1" applyFont="1" applyFill="1" applyBorder="1" applyAlignment="1">
      <alignment vertical="center" wrapText="1"/>
    </xf>
    <xf numFmtId="164" fontId="4" fillId="35" borderId="2" xfId="0" applyNumberFormat="1" applyFont="1" applyFill="1" applyBorder="1"/>
    <xf numFmtId="1" fontId="4" fillId="35" borderId="2" xfId="0" applyNumberFormat="1" applyFont="1" applyFill="1" applyBorder="1"/>
    <xf numFmtId="0" fontId="45" fillId="35" borderId="2" xfId="1" applyFill="1" applyBorder="1"/>
    <xf numFmtId="0" fontId="45" fillId="35" borderId="2" xfId="1" applyFill="1" applyBorder="1" applyAlignment="1">
      <alignment wrapText="1"/>
    </xf>
    <xf numFmtId="1" fontId="2" fillId="35" borderId="2" xfId="0" applyNumberFormat="1" applyFont="1" applyFill="1" applyBorder="1"/>
    <xf numFmtId="0" fontId="4" fillId="35" borderId="2" xfId="0" applyFont="1" applyFill="1" applyBorder="1" applyAlignment="1">
      <alignment wrapText="1"/>
    </xf>
    <xf numFmtId="164" fontId="46" fillId="10" borderId="2" xfId="0" applyNumberFormat="1" applyFont="1" applyFill="1" applyBorder="1"/>
    <xf numFmtId="0" fontId="49" fillId="0" borderId="0" xfId="0" applyFont="1"/>
    <xf numFmtId="0" fontId="55" fillId="0" borderId="0" xfId="0" applyFont="1"/>
    <xf numFmtId="0" fontId="55" fillId="0" borderId="2" xfId="0" applyFont="1" applyBorder="1"/>
    <xf numFmtId="164" fontId="45" fillId="28" borderId="2" xfId="1" applyNumberFormat="1" applyFill="1" applyBorder="1"/>
    <xf numFmtId="49" fontId="2" fillId="0" borderId="2" xfId="0" applyNumberFormat="1" applyFont="1" applyBorder="1" applyAlignment="1">
      <alignment horizontal="left"/>
    </xf>
    <xf numFmtId="14" fontId="46" fillId="0" borderId="2" xfId="0" applyNumberFormat="1" applyFont="1" applyBorder="1"/>
    <xf numFmtId="0" fontId="2" fillId="0" borderId="2" xfId="0" applyFont="1" applyBorder="1" applyAlignment="1">
      <alignment horizontal="right"/>
    </xf>
    <xf numFmtId="49" fontId="46" fillId="0" borderId="2" xfId="0" applyNumberFormat="1" applyFont="1" applyBorder="1"/>
    <xf numFmtId="1" fontId="46" fillId="0" borderId="2" xfId="0" applyNumberFormat="1" applyFont="1" applyBorder="1" applyAlignment="1">
      <alignment horizontal="right" vertical="center"/>
    </xf>
    <xf numFmtId="164" fontId="46" fillId="0" borderId="2" xfId="0" applyNumberFormat="1" applyFont="1" applyBorder="1"/>
    <xf numFmtId="49" fontId="45" fillId="0" borderId="2" xfId="1" applyNumberFormat="1" applyFill="1" applyBorder="1"/>
    <xf numFmtId="49" fontId="2" fillId="5" borderId="0" xfId="0" applyNumberFormat="1" applyFont="1" applyFill="1"/>
    <xf numFmtId="0" fontId="0" fillId="33" borderId="2" xfId="0" applyFill="1" applyBorder="1"/>
    <xf numFmtId="0" fontId="45" fillId="39" borderId="0" xfId="1" applyFill="1" applyBorder="1"/>
    <xf numFmtId="49" fontId="45" fillId="2" borderId="0" xfId="1" applyNumberFormat="1" applyFill="1" applyBorder="1"/>
    <xf numFmtId="0" fontId="54" fillId="44" borderId="2" xfId="0" applyFont="1" applyFill="1" applyBorder="1"/>
    <xf numFmtId="0" fontId="54" fillId="23" borderId="2" xfId="0" applyFont="1" applyFill="1" applyBorder="1"/>
    <xf numFmtId="49" fontId="45" fillId="5" borderId="0" xfId="1" applyNumberFormat="1" applyFill="1" applyBorder="1"/>
    <xf numFmtId="0" fontId="54" fillId="45" borderId="2" xfId="0" applyFont="1" applyFill="1" applyBorder="1"/>
    <xf numFmtId="49" fontId="45" fillId="8" borderId="0" xfId="1" applyNumberFormat="1" applyFill="1" applyBorder="1"/>
    <xf numFmtId="0" fontId="45" fillId="42" borderId="0" xfId="1" applyFill="1" applyBorder="1"/>
    <xf numFmtId="0" fontId="45" fillId="33" borderId="0" xfId="1" applyFill="1" applyBorder="1"/>
    <xf numFmtId="49" fontId="2" fillId="46" borderId="2" xfId="0" applyNumberFormat="1" applyFont="1" applyFill="1" applyBorder="1" applyAlignment="1">
      <alignment horizontal="left"/>
    </xf>
    <xf numFmtId="14" fontId="46" fillId="46" borderId="2" xfId="0" applyNumberFormat="1" applyFont="1" applyFill="1" applyBorder="1"/>
    <xf numFmtId="49" fontId="2" fillId="46" borderId="2" xfId="0" applyNumberFormat="1" applyFont="1" applyFill="1" applyBorder="1"/>
    <xf numFmtId="0" fontId="2" fillId="46" borderId="2" xfId="0" applyFont="1" applyFill="1" applyBorder="1" applyAlignment="1">
      <alignment horizontal="right"/>
    </xf>
    <xf numFmtId="49" fontId="46" fillId="46" borderId="2" xfId="0" applyNumberFormat="1" applyFont="1" applyFill="1" applyBorder="1"/>
    <xf numFmtId="1" fontId="46" fillId="46" borderId="2" xfId="0" applyNumberFormat="1" applyFont="1" applyFill="1" applyBorder="1" applyAlignment="1">
      <alignment horizontal="right" vertical="center"/>
    </xf>
    <xf numFmtId="164" fontId="2" fillId="46" borderId="2" xfId="0" applyNumberFormat="1" applyFont="1" applyFill="1" applyBorder="1"/>
    <xf numFmtId="164" fontId="6" fillId="46" borderId="2" xfId="0" applyNumberFormat="1" applyFont="1" applyFill="1" applyBorder="1"/>
    <xf numFmtId="164" fontId="46" fillId="46" borderId="2" xfId="0" applyNumberFormat="1" applyFont="1" applyFill="1" applyBorder="1"/>
    <xf numFmtId="2" fontId="2" fillId="46" borderId="2" xfId="0" applyNumberFormat="1" applyFont="1" applyFill="1" applyBorder="1"/>
    <xf numFmtId="1" fontId="2" fillId="46" borderId="2" xfId="0" applyNumberFormat="1" applyFont="1" applyFill="1" applyBorder="1"/>
    <xf numFmtId="49" fontId="45" fillId="46" borderId="0" xfId="1" applyNumberFormat="1" applyFill="1" applyBorder="1"/>
    <xf numFmtId="0" fontId="0" fillId="46" borderId="0" xfId="0" applyFill="1"/>
    <xf numFmtId="49" fontId="45" fillId="46" borderId="2" xfId="1" applyNumberFormat="1" applyFill="1" applyBorder="1"/>
    <xf numFmtId="49" fontId="5" fillId="2" borderId="0" xfId="0" applyNumberFormat="1" applyFont="1" applyFill="1"/>
    <xf numFmtId="49" fontId="47" fillId="0" borderId="2" xfId="1" applyNumberFormat="1" applyFont="1" applyBorder="1" applyAlignment="1">
      <alignment horizontal="left"/>
    </xf>
    <xf numFmtId="14" fontId="1" fillId="0" borderId="2" xfId="0" applyNumberFormat="1" applyFont="1" applyBorder="1"/>
    <xf numFmtId="49" fontId="1" fillId="0" borderId="2" xfId="0" applyNumberFormat="1" applyFont="1" applyBorder="1"/>
    <xf numFmtId="1" fontId="1" fillId="0" borderId="2" xfId="0" applyNumberFormat="1" applyFont="1" applyBorder="1" applyAlignment="1">
      <alignment horizontal="right"/>
    </xf>
    <xf numFmtId="164" fontId="1" fillId="0" borderId="2" xfId="0" applyNumberFormat="1" applyFont="1" applyBorder="1"/>
    <xf numFmtId="2" fontId="1" fillId="0" borderId="2" xfId="0" applyNumberFormat="1" applyFont="1" applyBorder="1"/>
    <xf numFmtId="1" fontId="1" fillId="0" borderId="2" xfId="0" applyNumberFormat="1" applyFont="1" applyBorder="1"/>
    <xf numFmtId="49" fontId="2" fillId="3" borderId="0" xfId="0" applyNumberFormat="1" applyFont="1" applyFill="1" applyAlignment="1">
      <alignment horizontal="left"/>
    </xf>
    <xf numFmtId="14" fontId="2" fillId="3" borderId="0" xfId="0" applyNumberFormat="1" applyFont="1" applyFill="1"/>
    <xf numFmtId="49" fontId="2" fillId="3" borderId="0" xfId="0" applyNumberFormat="1" applyFont="1" applyFill="1"/>
    <xf numFmtId="1" fontId="2" fillId="3" borderId="0" xfId="0" applyNumberFormat="1" applyFont="1" applyFill="1" applyAlignment="1">
      <alignment horizontal="right"/>
    </xf>
    <xf numFmtId="1" fontId="6" fillId="3" borderId="0" xfId="0" applyNumberFormat="1" applyFont="1" applyFill="1" applyAlignment="1">
      <alignment horizontal="right"/>
    </xf>
    <xf numFmtId="164" fontId="2" fillId="3" borderId="0" xfId="0" applyNumberFormat="1" applyFont="1" applyFill="1"/>
    <xf numFmtId="164" fontId="50" fillId="36" borderId="0" xfId="0" applyNumberFormat="1" applyFont="1" applyFill="1" applyAlignment="1">
      <alignment vertical="center" wrapText="1"/>
    </xf>
    <xf numFmtId="164" fontId="6" fillId="3" borderId="0" xfId="0" applyNumberFormat="1" applyFont="1" applyFill="1"/>
    <xf numFmtId="2" fontId="2" fillId="3" borderId="0" xfId="0" applyNumberFormat="1" applyFont="1" applyFill="1"/>
    <xf numFmtId="164" fontId="7" fillId="3" borderId="0" xfId="0" applyNumberFormat="1" applyFont="1" applyFill="1"/>
    <xf numFmtId="1" fontId="2" fillId="3" borderId="0" xfId="0" applyNumberFormat="1" applyFont="1" applyFill="1"/>
    <xf numFmtId="1" fontId="2" fillId="8" borderId="0" xfId="0" applyNumberFormat="1" applyFont="1" applyFill="1"/>
    <xf numFmtId="1" fontId="8" fillId="3" borderId="0" xfId="0" applyNumberFormat="1" applyFont="1" applyFill="1"/>
    <xf numFmtId="0" fontId="4" fillId="33" borderId="0" xfId="0" applyFont="1" applyFill="1"/>
    <xf numFmtId="49" fontId="19" fillId="3" borderId="0" xfId="0" applyNumberFormat="1" applyFont="1" applyFill="1"/>
    <xf numFmtId="49" fontId="16" fillId="9" borderId="0" xfId="0" applyNumberFormat="1" applyFont="1" applyFill="1"/>
    <xf numFmtId="49" fontId="45" fillId="3" borderId="0" xfId="1" applyNumberFormat="1" applyFill="1" applyBorder="1"/>
    <xf numFmtId="164" fontId="46" fillId="11" borderId="2" xfId="0" applyNumberFormat="1" applyFont="1" applyFill="1" applyBorder="1"/>
    <xf numFmtId="49" fontId="57" fillId="0" borderId="2" xfId="0" applyNumberFormat="1" applyFont="1" applyFill="1" applyBorder="1" applyAlignment="1">
      <alignment horizontal="left"/>
    </xf>
    <xf numFmtId="14" fontId="57" fillId="0" borderId="2" xfId="0" applyNumberFormat="1" applyFont="1" applyFill="1" applyBorder="1"/>
    <xf numFmtId="49" fontId="57" fillId="0" borderId="2" xfId="0" applyNumberFormat="1" applyFont="1" applyFill="1" applyBorder="1"/>
    <xf numFmtId="0" fontId="57" fillId="0" borderId="2" xfId="0" applyFont="1" applyFill="1" applyBorder="1" applyAlignment="1">
      <alignment horizontal="right"/>
    </xf>
    <xf numFmtId="1" fontId="57" fillId="0" borderId="2" xfId="0" applyNumberFormat="1" applyFont="1" applyFill="1" applyBorder="1" applyAlignment="1">
      <alignment horizontal="right"/>
    </xf>
    <xf numFmtId="164" fontId="57" fillId="0" borderId="2" xfId="0" applyNumberFormat="1" applyFont="1" applyFill="1" applyBorder="1"/>
    <xf numFmtId="2" fontId="57" fillId="0" borderId="2" xfId="0" applyNumberFormat="1" applyFont="1" applyFill="1" applyBorder="1"/>
    <xf numFmtId="1" fontId="57" fillId="0" borderId="2" xfId="0" applyNumberFormat="1" applyFont="1" applyFill="1" applyBorder="1"/>
    <xf numFmtId="49" fontId="58" fillId="0" borderId="2" xfId="1" applyNumberFormat="1" applyFont="1" applyFill="1" applyBorder="1"/>
    <xf numFmtId="49" fontId="58" fillId="0" borderId="2" xfId="0" applyNumberFormat="1" applyFont="1" applyFill="1" applyBorder="1"/>
    <xf numFmtId="0" fontId="57" fillId="0"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F8CD7"/>
      <color rgb="FFD19EFF"/>
      <color rgb="FFEEC983"/>
      <color rgb="FFFDDC86"/>
      <color rgb="FFFFC3C6"/>
      <color rgb="FFC062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1" Type="http://schemas.openxmlformats.org/officeDocument/2006/relationships/hyperlink" Target="https://www.facebook.com/realpr93/posts/pfbid01BDA8pp5TwG7aSoLpVqS4YVhBXx1a7X9PGtXjkdjaMQaCdSZYk2sX3US8CiK5Qm9l" TargetMode="External"/><Relationship Id="rId170" Type="http://schemas.openxmlformats.org/officeDocument/2006/relationships/hyperlink" Target="http://republikon.hu/media/38516/republikon_kutatas_prez_1803.pdf" TargetMode="External"/><Relationship Id="rId268" Type="http://schemas.openxmlformats.org/officeDocument/2006/relationships/hyperlink" Target="https://docs.google.com/spreadsheets/d/1eitltXmNIU4tHgrYiaQPWPHaG4tN0xVSZO4w_k0mVyA/edit" TargetMode="External"/><Relationship Id="rId475" Type="http://schemas.openxmlformats.org/officeDocument/2006/relationships/hyperlink" Target="http://www.zaveczresearch.hu/kampanyban-is-valtozatlan-eroviszonyok/" TargetMode="External"/><Relationship Id="rId682" Type="http://schemas.openxmlformats.org/officeDocument/2006/relationships/hyperlink" Target="https://444.hu/2021/05/06/publicus-kicsit-nepszerubb-az-ellenzeki-osszefogas-a-fidesz-kdnp-szovetsegenel" TargetMode="External"/><Relationship Id="rId128" Type="http://schemas.openxmlformats.org/officeDocument/2006/relationships/hyperlink" Target="http://publicus.hu/blog/partok_tamogatottsaga_es_egyes_politikusok_nepszersege_2018_februar/" TargetMode="External"/><Relationship Id="rId335" Type="http://schemas.openxmlformats.org/officeDocument/2006/relationships/hyperlink" Target="https://szazadveg.hu/hu/kutatasok/az-alapitvany-kutatasai/piackutatas-kozvelemeny-kutatas/stabil-a-kormanypartok-tamogatottsaga" TargetMode="External"/><Relationship Id="rId542" Type="http://schemas.openxmlformats.org/officeDocument/2006/relationships/hyperlink" Target="https://nezopont.hu/a-kormanyellenesek-is-tamogatjak-a-kormanyt/" TargetMode="External"/><Relationship Id="rId987" Type="http://schemas.openxmlformats.org/officeDocument/2006/relationships/hyperlink" Target="http://hvg.hu/itthon/201744_medianfelmeres_elony_afidesznel" TargetMode="External"/><Relationship Id="rId1172" Type="http://schemas.openxmlformats.org/officeDocument/2006/relationships/hyperlink" Target="https://24.hu/belfold/2026/03/05/minerva-kozvelemenykutatas-februar/" TargetMode="External"/><Relationship Id="rId402" Type="http://schemas.openxmlformats.org/officeDocument/2006/relationships/hyperlink" Target="https://magyarhang.org/belfold/2019/05/04/oriasi-kulonbsegek-ket-egyideju-zavecz-meresben/" TargetMode="External"/><Relationship Id="rId847" Type="http://schemas.openxmlformats.org/officeDocument/2006/relationships/hyperlink" Target="https://publicus.hu/blog/tizbol-heten-elegedettek-veres-pal-miskolci-polgarmester-eddigi-munkajaval/" TargetMode="External"/><Relationship Id="rId1032" Type="http://schemas.openxmlformats.org/officeDocument/2006/relationships/hyperlink" Target="https://jelen.media/forras-kutatas-a-sajat-taboron-beluli-bizonytalanok-donthetik-el-a-valasztast" TargetMode="External"/><Relationship Id="rId707" Type="http://schemas.openxmlformats.org/officeDocument/2006/relationships/hyperlink" Target="http://www.ideaintezet.hu/hu/hirek-aktualis/69/megallt-a-jobbik-eloretorese-a-nyar-derekan------2021--julius" TargetMode="External"/><Relationship Id="rId914" Type="http://schemas.openxmlformats.org/officeDocument/2006/relationships/hyperlink" Target="https://web.archive.org/web/20220315094648/https:/nezopont.hu/valtozatlanul-vezet-a-fidesz-a-kampany-veghajrajaban/" TargetMode="External"/><Relationship Id="rId43" Type="http://schemas.openxmlformats.org/officeDocument/2006/relationships/hyperlink" Target="https://web.archive.org/web/20201203100433/https:/iranytuintezet.hu/letoltes/?file=/shared/elemzesek/kutat%C3%A1s_2020%20okt%C3%B3ber.pdf" TargetMode="External"/><Relationship Id="rId192" Type="http://schemas.openxmlformats.org/officeDocument/2006/relationships/hyperlink" Target="http://publicus.hu/images/uploads/2018_04_ppref_all.png" TargetMode="External"/><Relationship Id="rId497" Type="http://schemas.openxmlformats.org/officeDocument/2006/relationships/hyperlink" Target="https://www.magyarhirlap.hu/belfold/20191112-nezopont-tovabbra-is-orzi-elonyet-a-fidesz" TargetMode="External"/><Relationship Id="rId357" Type="http://schemas.openxmlformats.org/officeDocument/2006/relationships/hyperlink" Target="https://publicus.hu/wp-content/uploads/2019/03/2019_02_ppef_all.png" TargetMode="External"/><Relationship Id="rId217" Type="http://schemas.openxmlformats.org/officeDocument/2006/relationships/hyperlink" Target="https://www.vasarnapihirek.hu/szerintem/bojkottra_szavaz_a_tobbseg" TargetMode="External"/><Relationship Id="rId564" Type="http://schemas.openxmlformats.org/officeDocument/2006/relationships/hyperlink" Target="https://nezopont.hu/a-jobbik-2022-re-folosleges-lehet/" TargetMode="External"/><Relationship Id="rId771" Type="http://schemas.openxmlformats.org/officeDocument/2006/relationships/hyperlink" Target="https://publicus.hu/blog/partok-tamogatottsaga-2022-julius/" TargetMode="External"/><Relationship Id="rId869" Type="http://schemas.openxmlformats.org/officeDocument/2006/relationships/hyperlink" Target="https://nepszava.hu/3225480_zuglo-partok-onkormanyzati-valasztas-polgarmesterjeloltek" TargetMode="External"/><Relationship Id="rId424" Type="http://schemas.openxmlformats.org/officeDocument/2006/relationships/hyperlink" Target="https://hvg.hu/itthon/201921_mozdulnake" TargetMode="External"/><Relationship Id="rId631" Type="http://schemas.openxmlformats.org/officeDocument/2006/relationships/hyperlink" Target="https://publicus.hu/blog/partok-tamogatottsaga-2021-februar/" TargetMode="External"/><Relationship Id="rId729" Type="http://schemas.openxmlformats.org/officeDocument/2006/relationships/hyperlink" Target="https://www.nyugat.hu/cikk/zavecz_szerint_szombathely_ellenzekinek_szamit" TargetMode="External"/><Relationship Id="rId1054" Type="http://schemas.openxmlformats.org/officeDocument/2006/relationships/hyperlink" Target="https://index.hu/belfold/2025/12/05/kozvelemeny-kutatas-fidesz-tisza-part-real-pr-93-videk-fovaros-mi-hazank/" TargetMode="External"/><Relationship Id="rId936" Type="http://schemas.openxmlformats.org/officeDocument/2006/relationships/hyperlink" Target="https://archiv.nezopont.hu/csucsponton-a-fidesz-melyponton-a-jobbik/" TargetMode="External"/><Relationship Id="rId1121" Type="http://schemas.openxmlformats.org/officeDocument/2006/relationships/hyperlink" Target="https://hvg.hu/gazdasag/20260130_21-kutatokozpont-szoros-a-verseny-bekes-2-ben-bekes-4-ben-a-tisza-jeloltje-vezet" TargetMode="External"/><Relationship Id="rId65" Type="http://schemas.openxmlformats.org/officeDocument/2006/relationships/hyperlink" Target="https://nezopont.hu/hu/tevekenysegeink/kozvelemeny-kutatasok/tovabbra-is-orban-viktor-a-legnepszerubb-politikus" TargetMode="External"/><Relationship Id="rId281" Type="http://schemas.openxmlformats.org/officeDocument/2006/relationships/hyperlink" Target="https://publicus.hu/blog/partok-tamogatottsaga-2018-oktober/" TargetMode="External"/><Relationship Id="rId141" Type="http://schemas.openxmlformats.org/officeDocument/2006/relationships/hyperlink" Target="https://www.origo.hu/itthon/20180301-szazadveg-aktivizalodott-a-fidesz-kdnp-tabor.html" TargetMode="External"/><Relationship Id="rId379" Type="http://schemas.openxmlformats.org/officeDocument/2006/relationships/hyperlink" Target="https://publicus.hu/blog/partok-orszaggyulesi-es-ep-tamogatottsaga-2019-marcius/" TargetMode="External"/><Relationship Id="rId586" Type="http://schemas.openxmlformats.org/officeDocument/2006/relationships/hyperlink" Target="https://publicus.hu/blog/egy-lista-elovalasztas-es-kozos-miniszterelnok-jelolt-noveli-inkabb-az-ellenzek-gyozelmi-eselyeit/" TargetMode="External"/><Relationship Id="rId793" Type="http://schemas.openxmlformats.org/officeDocument/2006/relationships/hyperlink" Target="https://publicus.hu/blog/partok-tamogatottsaga-2022-december/" TargetMode="External"/><Relationship Id="rId7" Type="http://schemas.openxmlformats.org/officeDocument/2006/relationships/hyperlink" Target="https://demokrata.hu/kozvelemeny-kutatas/on-kit-valasztana-30-242516/" TargetMode="External"/><Relationship Id="rId239" Type="http://schemas.openxmlformats.org/officeDocument/2006/relationships/hyperlink" Target="https://kozvelemenykutatok.hu/partpreferenciatrend/" TargetMode="External"/><Relationship Id="rId446" Type="http://schemas.openxmlformats.org/officeDocument/2006/relationships/hyperlink" Target="https://24.hu/belfold/2019/07/19/zavecz-300-ezerrel-nott-a-partnelkuliek-szama/" TargetMode="External"/><Relationship Id="rId653" Type="http://schemas.openxmlformats.org/officeDocument/2006/relationships/hyperlink" Target="https://publicus.hu/blog/partok-tamogatottsaga-2021-februar/" TargetMode="External"/><Relationship Id="rId1076" Type="http://schemas.openxmlformats.org/officeDocument/2006/relationships/hyperlink" Target="https://24.hu/belfold/2025/12/18/visszalep-egy-ellenzeki-kepviselojelolt-hogy-biztosabban-gyozzon-a-tiszas-indulo/" TargetMode="External"/><Relationship Id="rId306" Type="http://schemas.openxmlformats.org/officeDocument/2006/relationships/hyperlink" Target="https://docs.google.com/spreadsheets/d/1eitltXmNIU4tHgrYiaQPWPHaG4tN0xVSZO4w_k0mVyA/edit" TargetMode="External"/><Relationship Id="rId860" Type="http://schemas.openxmlformats.org/officeDocument/2006/relationships/hyperlink" Target="https://magyarnemzet.hu/belfold/2023/12/haboruk-arnyekaban-tamogatjak-a-magyarok-a-hadero-fejleszteset" TargetMode="External"/><Relationship Id="rId958" Type="http://schemas.openxmlformats.org/officeDocument/2006/relationships/hyperlink" Target="https://web.archive.org/web/20200409011007/http:/iranytuintezet.hu/letoltes/?file=/shared/kutatasok/Hogy%20szavazn%C3%A1nak%20az%20akt%C3%ADv%20Facebook-felhaszn%C3%A1l%C3%B3k_2018.03.01..pdf" TargetMode="External"/><Relationship Id="rId1143" Type="http://schemas.openxmlformats.org/officeDocument/2006/relationships/hyperlink" Target="https://tenyek.hu/politika/2025/12/tobb-kulcsfontossagu-valasztokeruletben-is-jelentosen-vezet-a-fidesz-a-tisza-elott" TargetMode="External"/><Relationship Id="rId87" Type="http://schemas.openxmlformats.org/officeDocument/2006/relationships/hyperlink" Target="https://24.hu/belfold/2024/04/22/ep-valasztas-2024-kampany-felmeres-kutatas-zavecz-fidesz-magyar-peter-dk-parbeszed-mszp/" TargetMode="External"/><Relationship Id="rId513" Type="http://schemas.openxmlformats.org/officeDocument/2006/relationships/hyperlink" Target="https://hvg.hu/360/20191218_median_partpreferencia" TargetMode="External"/><Relationship Id="rId720" Type="http://schemas.openxmlformats.org/officeDocument/2006/relationships/hyperlink" Target="https://telex.hu/belfold/2021/11/08/rebuplikon-orban-viktor-nepszerusege-43-marki-zay-petere-55-szazalek" TargetMode="External"/><Relationship Id="rId818" Type="http://schemas.openxmlformats.org/officeDocument/2006/relationships/hyperlink" Target="https://24.hu/belfold/2023/03/13/zavecz-kozvelemeny-kutatas-partpreferencia-fidesz-dk-mi-hazank/" TargetMode="External"/><Relationship Id="rId1003" Type="http://schemas.openxmlformats.org/officeDocument/2006/relationships/hyperlink" Target="https://www.mindenkipecsert.hu/2025/09/28/kozhangulat-pecsen/" TargetMode="External"/><Relationship Id="rId14" Type="http://schemas.openxmlformats.org/officeDocument/2006/relationships/hyperlink" Target="https://demokrata.hu/magyarorszag/felmeres-igy-all-most-az-orban-viktor-marki-zay-csata-507827/" TargetMode="External"/><Relationship Id="rId163" Type="http://schemas.openxmlformats.org/officeDocument/2006/relationships/hyperlink" Target="https://publicus.hu/blog/partok_tamogatottsaga_2018_marcius/" TargetMode="External"/><Relationship Id="rId370" Type="http://schemas.openxmlformats.org/officeDocument/2006/relationships/hyperlink" Target="http://www.zaveczresearch.hu/kismervu-valtozasok-a-partpreferenciakban/" TargetMode="External"/><Relationship Id="rId230" Type="http://schemas.openxmlformats.org/officeDocument/2006/relationships/hyperlink" Target="http://www.zaveczresearch.hu/muloban-az-aktivitas-de-a-fidesz-szavazok-lenduletben-maradtak/" TargetMode="External"/><Relationship Id="rId468" Type="http://schemas.openxmlformats.org/officeDocument/2006/relationships/hyperlink" Target="https://magyarnemzet.hu/belfold/tobb-mint-harommillioan-tamogatjak-a-fidesz-kdnp-t-7268714/" TargetMode="External"/><Relationship Id="rId675" Type="http://schemas.openxmlformats.org/officeDocument/2006/relationships/hyperlink" Target="https://nezopont.hu/csucsot-dontott-az-oltaspartisag/" TargetMode="External"/><Relationship Id="rId882" Type="http://schemas.openxmlformats.org/officeDocument/2006/relationships/hyperlink" Target="https://www.origo.hu/itthon/2024/05/nezopont-fidesz-ep-valasztas-haboru-es-beke" TargetMode="External"/><Relationship Id="rId1098" Type="http://schemas.openxmlformats.org/officeDocument/2006/relationships/hyperlink" Target="https://alapjogokert.hu/anyagok/kutatasaink/allandosult-a-kormanypartok-stabil-elonye-a-tisza-parttal-szemben" TargetMode="External"/><Relationship Id="rId328" Type="http://schemas.openxmlformats.org/officeDocument/2006/relationships/hyperlink" Target="https://publicus.hu/blog/partok-tamogatottsaga-2018-december/" TargetMode="External"/><Relationship Id="rId535" Type="http://schemas.openxmlformats.org/officeDocument/2006/relationships/hyperlink" Target="https://publicus.hu/blog/partok-tamogatottsaga-2020-marcius/" TargetMode="External"/><Relationship Id="rId742" Type="http://schemas.openxmlformats.org/officeDocument/2006/relationships/hyperlink" Target="https://publicus.hu/blog/a-kormany-oroszbarat-kulpolitikaja-megosztja-a-tarsadalmat/" TargetMode="External"/><Relationship Id="rId1165" Type="http://schemas.openxmlformats.org/officeDocument/2006/relationships/hyperlink" Target="https://web.archive.org/web/20230329152621/https:/kozvelemenykutatok.hu/valasztas-2014-ertekeles/" TargetMode="External"/><Relationship Id="rId602" Type="http://schemas.openxmlformats.org/officeDocument/2006/relationships/hyperlink" Target="https://24.hu/belfold/2020/11/20/idea-intezet-mar-fidesz-feletti-az-ellenzek-ossztamogatottsaga-a-teljes-nepessegen-belul/" TargetMode="External"/><Relationship Id="rId1025" Type="http://schemas.openxmlformats.org/officeDocument/2006/relationships/hyperlink" Target="https://www.facebook.com/ideaintezet/posts/pfbid031sfxGjZR87ujuFHPA6NeB7DegHZaFsHD4fRhdQadp1i6adTKP65G23FY2nADzTP2l" TargetMode="External"/><Relationship Id="rId907" Type="http://schemas.openxmlformats.org/officeDocument/2006/relationships/hyperlink" Target="https://hvg.hu/itthon/20250719_Tisza-Magyar-Peter-belso-meres-holtverseny-Tisza-Fidesz-Bekes-partpreferencia-kutatas-ebx" TargetMode="External"/><Relationship Id="rId36" Type="http://schemas.openxmlformats.org/officeDocument/2006/relationships/hyperlink" Target="https://nepszava.hu/3030602_az-mszp-szavazoi-a-legelkotelezettebbek-egyre-tobben-elegedetlenek-az-orszag-allapotaval" TargetMode="External"/><Relationship Id="rId185" Type="http://schemas.openxmlformats.org/officeDocument/2006/relationships/hyperlink" Target="https://m.hvg.hu/360/hetilap360/2018/14/20181405magyar3" TargetMode="External"/><Relationship Id="rId392" Type="http://schemas.openxmlformats.org/officeDocument/2006/relationships/hyperlink" Target="http://www.zaveczresearch.hu/az-ep-kampany-valamelyest-mozditott-a-partpreferenciakon/" TargetMode="External"/><Relationship Id="rId697" Type="http://schemas.openxmlformats.org/officeDocument/2006/relationships/hyperlink" Target="https://telex.hu/belfold/2021/07/02/republikon-partpreferencia-2021-junius" TargetMode="External"/><Relationship Id="rId252" Type="http://schemas.openxmlformats.org/officeDocument/2006/relationships/hyperlink" Target="https://magyarhang.org/belfold/2019/05/04/oriasi-kulonbsegek-ket-egyideju-zavecz-meresben/" TargetMode="External"/><Relationship Id="rId1187" Type="http://schemas.openxmlformats.org/officeDocument/2006/relationships/hyperlink" Target="https://nezopont.hu/hu/tevekenysegeink/kozvelemeny-kutatasok/csak-a-fidesztol-varjak-a-rezsicsokkentes-fenntartasat" TargetMode="External"/><Relationship Id="rId112" Type="http://schemas.openxmlformats.org/officeDocument/2006/relationships/hyperlink" Target="http://republikon.hu/elemzesek,-kutatasok/180213-kvk.aspx" TargetMode="External"/><Relationship Id="rId557" Type="http://schemas.openxmlformats.org/officeDocument/2006/relationships/hyperlink" Target="http://ideaintezet.hu/hu/hirek-aktualis/37/nem-tort-elore-a-fidesz-a-koronavirus-jarvanykezelessel" TargetMode="External"/><Relationship Id="rId764" Type="http://schemas.openxmlformats.org/officeDocument/2006/relationships/hyperlink" Target="https://www.facebook.com/median.hu/posts/pfbid025tUpFn3uLCW1nkK1qjJBjAFBDM5pedTEEbUjvpgxCA88PWraxhktQE1NbkJHUomGl" TargetMode="External"/><Relationship Id="rId971" Type="http://schemas.openxmlformats.org/officeDocument/2006/relationships/hyperlink" Target="https://web.archive.org/web/20231129122056/https:/iranytuintezet.hu/elemzesek-kutatasok/mind/211-az-iranytu-intezet-2017.-novemberi-orszagos-kozvelemeny-kutatasa/" TargetMode="External"/><Relationship Id="rId417" Type="http://schemas.openxmlformats.org/officeDocument/2006/relationships/hyperlink" Target="https://hvg.hu/itthon/20190516_Ugyanannyi_kepviseloje_lehet_a_Jobbiknak_MSZPnek_es_DKnak_is_az_Epben" TargetMode="External"/><Relationship Id="rId624" Type="http://schemas.openxmlformats.org/officeDocument/2006/relationships/hyperlink" Target="https://telex.hu/belfold/2020/12/23/republikon-decemberi-partpreferencia" TargetMode="External"/><Relationship Id="rId831" Type="http://schemas.openxmlformats.org/officeDocument/2006/relationships/hyperlink" Target="https://24.hu/belfold/2023/05/17/zavecz-research-mi-hazank-2024-es-ep-valasztas-felmeres/" TargetMode="External"/><Relationship Id="rId1047" Type="http://schemas.openxmlformats.org/officeDocument/2006/relationships/hyperlink" Target="https://24.hu/belfold/2025/12/02/21-kutatokozpont-tisza-part-fidesz-kulonbseg-2025-november/" TargetMode="External"/><Relationship Id="rId929" Type="http://schemas.openxmlformats.org/officeDocument/2006/relationships/hyperlink" Target="https://www.zaveczresearch.hu/nott-fidesz-tabora-kis-valtozasok-az-ellenzeki-oldalon/" TargetMode="External"/><Relationship Id="rId1114" Type="http://schemas.openxmlformats.org/officeDocument/2006/relationships/hyperlink" Target="https://www.facebook.com/21kutatokozpont/posts/pfbid0oj74Sv4mrebUWc1sRBnP38Zgvtmzb8DHvzryZZ5DJYtg6XKYW72ZzYdQmqJnCcU2l" TargetMode="External"/><Relationship Id="rId58" Type="http://schemas.openxmlformats.org/officeDocument/2006/relationships/hyperlink" Target="http://www.ideaintezet.hu/hu/hirek-aktualis/120/a-kormanypartok-es-az-ellenzeki-partok-tamogatottsaga-is-csokkent-az-utobbi-idoszakban" TargetMode="External"/><Relationship Id="rId274" Type="http://schemas.openxmlformats.org/officeDocument/2006/relationships/hyperlink" Target="https://nezopontintezet.hu/2018/12/22/a-fidesz-nepszerusege-nott-a-radikalizalodo-ellenzeke-csokkent-a-valasztasok-ota/" TargetMode="External"/><Relationship Id="rId481" Type="http://schemas.openxmlformats.org/officeDocument/2006/relationships/hyperlink" Target="https://kozvelemenykutatok.hu/" TargetMode="External"/><Relationship Id="rId134" Type="http://schemas.openxmlformats.org/officeDocument/2006/relationships/hyperlink" Target="http://iranytuintezet.hu/letoltes/?file=/shared/kutatasok/Hogy%20szavazn%C3%A1nak%20az%20akt%C3%ADv%20Facebook-felhaszn%C3%A1l%C3%B3k_2018.03.01..pdf" TargetMode="External"/><Relationship Id="rId579" Type="http://schemas.openxmlformats.org/officeDocument/2006/relationships/hyperlink" Target="http://ideaintezet.hu/hu/hirek-aktualis/41/vihar-elotti-csend------koronavirus-jarvany-elso-hullama-utan-is-befagyott-partpreferenciak%C5%B1" TargetMode="External"/><Relationship Id="rId786" Type="http://schemas.openxmlformats.org/officeDocument/2006/relationships/hyperlink" Target="https://telex.hu/belfold/2022/10/29/republikon-intezet-partpreferencia-kutatas-fel-evvel-a-valasztas-utan" TargetMode="External"/><Relationship Id="rId993" Type="http://schemas.openxmlformats.org/officeDocument/2006/relationships/hyperlink" Target="https://hvg.hu/itthon/201751__politikai_mozgasok_2017__medianfelmeres__novekvo_aktivitas__evvesztesek" TargetMode="External"/><Relationship Id="rId341" Type="http://schemas.openxmlformats.org/officeDocument/2006/relationships/hyperlink" Target="https://publicus.hu/blog/partok-tamogatottsaga-2019-januar/" TargetMode="External"/><Relationship Id="rId439" Type="http://schemas.openxmlformats.org/officeDocument/2006/relationships/hyperlink" Target="https://nezopontintezet.hu/en/2019/07/02/fidesz-kdnp-holds-comfortable-lead-after-ep-elections/" TargetMode="External"/><Relationship Id="rId646" Type="http://schemas.openxmlformats.org/officeDocument/2006/relationships/hyperlink" Target="https://telex.hu/belfold/2021/03/03/republikon-februar-partpreferencia-felmeres" TargetMode="External"/><Relationship Id="rId1069" Type="http://schemas.openxmlformats.org/officeDocument/2006/relationships/hyperlink" Target="https://24.hu/belfold/2025/12/17/21-kutatokozpont-2025-december-tisza-fidesz-tamogatottsag/" TargetMode="External"/><Relationship Id="rId201" Type="http://schemas.openxmlformats.org/officeDocument/2006/relationships/hyperlink" Target="http://iranytuintezet.hu/elemzesek-kutatasok/mind/235-a-valasztas-elotti-utolso-meresunk/" TargetMode="External"/><Relationship Id="rId506" Type="http://schemas.openxmlformats.org/officeDocument/2006/relationships/hyperlink" Target="https://nezopontintezet.hu/2019/12/10/a-fidesz-kdnp-az-osszefogott-ellenzekkel-szemben-is-vezet/" TargetMode="External"/><Relationship Id="rId853" Type="http://schemas.openxmlformats.org/officeDocument/2006/relationships/hyperlink" Target="https://24.hu/belfold/2023/09/22/zavecz-fidesz-mi-hazank-ketfarku-kutyapart-partpreferenciak-szeptember/" TargetMode="External"/><Relationship Id="rId1136" Type="http://schemas.openxmlformats.org/officeDocument/2006/relationships/hyperlink" Target="https://telex.hu/belfold/2026/02/09/szombathely-czegledy-csaba-kecskemet-birosag-itelet-valasztas-kampany" TargetMode="External"/><Relationship Id="rId492" Type="http://schemas.openxmlformats.org/officeDocument/2006/relationships/hyperlink" Target="https://www.magyarhirlap.hu/belfold/20191112-nezopont-tovabbra-is-orzi-elonyet-a-fidesz" TargetMode="External"/><Relationship Id="rId713" Type="http://schemas.openxmlformats.org/officeDocument/2006/relationships/hyperlink" Target="http://republikon.hu/elemzesek,-kutatasok/21-09-01-kvk.aspx" TargetMode="External"/><Relationship Id="rId797" Type="http://schemas.openxmlformats.org/officeDocument/2006/relationships/hyperlink" Target="https://hvg.hu/360/20230104_Nincs_ok_unneplesre" TargetMode="External"/><Relationship Id="rId920" Type="http://schemas.openxmlformats.org/officeDocument/2006/relationships/hyperlink" Target="https://telex.hu/belfold/2025/09/19/trumpista-tanacsado-segiti-a-fidesz-kampanyat-ebben-az-index-lett-a-partnere" TargetMode="External"/><Relationship Id="rId145" Type="http://schemas.openxmlformats.org/officeDocument/2006/relationships/hyperlink" Target="http://www.atv.hu/belfold/20180310-friss-felmeres-csokken-a-fidesz-elonye-erosodik-az-ellenzek" TargetMode="External"/><Relationship Id="rId352" Type="http://schemas.openxmlformats.org/officeDocument/2006/relationships/hyperlink" Target="http://www.ideaintezet.hu/hirek-aktualis/14/24-hu---idea-intezet--gyengult-a-fidesz--erosodott-a-jobbik" TargetMode="External"/><Relationship Id="rId212" Type="http://schemas.openxmlformats.org/officeDocument/2006/relationships/hyperlink" Target="https://nezopontintezet.hu/2018/05/08/a-fidesz-kdnp-vel-szimpatizal-a-tobbseg/" TargetMode="External"/><Relationship Id="rId657" Type="http://schemas.openxmlformats.org/officeDocument/2006/relationships/hyperlink" Target="http://www.zaveczresearch.hu/bovult-a-fidesz-es-a-jobbik-tabora-kielezett-maradt-a-verseny-a-kormanypartok-es-a-hatparti-ellenzek-kozott/" TargetMode="External"/><Relationship Id="rId864" Type="http://schemas.openxmlformats.org/officeDocument/2006/relationships/hyperlink" Target="https://www.zaveczresearch.hu/wp-content/uploads/2024/02/ZRI_Kispest_2023december_vegleges_bp.pptx" TargetMode="External"/><Relationship Id="rId296" Type="http://schemas.openxmlformats.org/officeDocument/2006/relationships/hyperlink" Target="http://www.ideaintezet.hu/hirek-aktualis/12/fidesz-kdnp-es-jobbik--egyutt-vesztettek-tamogatokat-----erosodo-momentum" TargetMode="External"/><Relationship Id="rId517" Type="http://schemas.openxmlformats.org/officeDocument/2006/relationships/hyperlink" Target="https://publicus.hu/blog/partok-tamogatottsaga-2019-december/" TargetMode="External"/><Relationship Id="rId724" Type="http://schemas.openxmlformats.org/officeDocument/2006/relationships/hyperlink" Target="http://www.ideaintezet.hu/hu/hirek-aktualis/75/az-ellenzek-elcsendesedett-november-vegere-2021--november-december" TargetMode="External"/><Relationship Id="rId931" Type="http://schemas.openxmlformats.org/officeDocument/2006/relationships/hyperlink" Target="https://archiv.nezopont.hu/nem-lesz-kormanyvaltas/" TargetMode="External"/><Relationship Id="rId1147" Type="http://schemas.openxmlformats.org/officeDocument/2006/relationships/hyperlink" Target="https://nepszava.hu/3312324_fidesz-tisza-part-valasztas-2026-iranytu-gyozelem-intezet-felmeres" TargetMode="External"/><Relationship Id="rId60" Type="http://schemas.openxmlformats.org/officeDocument/2006/relationships/hyperlink" Target="https://24.hu/belfold/2025/04/28/idea-intezet-ukrajna-eu-s-csatlakozas-kozvelemeny-kutatas/" TargetMode="External"/><Relationship Id="rId156" Type="http://schemas.openxmlformats.org/officeDocument/2006/relationships/hyperlink" Target="http://www.zaveczresearch.hu/nott-az-aktivitas-erosodott-a-jobbik/" TargetMode="External"/><Relationship Id="rId363" Type="http://schemas.openxmlformats.org/officeDocument/2006/relationships/hyperlink" Target="https://publicus.hu/wp-content/uploads/2019/03/2019_02_ppef_all.png" TargetMode="External"/><Relationship Id="rId570" Type="http://schemas.openxmlformats.org/officeDocument/2006/relationships/hyperlink" Target="https://magyarnemzet.hu/belfold/kockazatos-a-kozos-lista-8352999/" TargetMode="External"/><Relationship Id="rId1007" Type="http://schemas.openxmlformats.org/officeDocument/2006/relationships/hyperlink" Target="https://docs.google.com/presentation/d/1AHGXqOcl4M3icT7SAKTTbizC5qOR-5TI/edit" TargetMode="External"/><Relationship Id="rId223" Type="http://schemas.openxmlformats.org/officeDocument/2006/relationships/hyperlink" Target="https://kozvelemenykutatok.hu/partpreferenciatrend/" TargetMode="External"/><Relationship Id="rId430" Type="http://schemas.openxmlformats.org/officeDocument/2006/relationships/hyperlink" Target="https://24.hu/belfold/2019/06/18/az-ep-valasztas-utan-nott-a-dk-es-momentum-szavazotabora/" TargetMode="External"/><Relationship Id="rId668" Type="http://schemas.openxmlformats.org/officeDocument/2006/relationships/hyperlink" Target="https://24.hu/kozelet/2021/04/13/erosodo-jobbikot-ellenzeki-folenyt-mert-az-idea-intezet/" TargetMode="External"/><Relationship Id="rId875" Type="http://schemas.openxmlformats.org/officeDocument/2006/relationships/hyperlink" Target="http://iranytuintezet.hu/elemzesek-kutatasok/mind/259-kik-a-tisza-part-szavazoi---az-iranytu-intezet-orszagos-kozvelemeny-kutatasa/" TargetMode="External"/><Relationship Id="rId1060" Type="http://schemas.openxmlformats.org/officeDocument/2006/relationships/hyperlink" Target="https://telex.hu/belfold/2025/12/08/valasztasi-kutatas-21-kutatokozpont-telex-atszavazas" TargetMode="External"/><Relationship Id="rId18" Type="http://schemas.openxmlformats.org/officeDocument/2006/relationships/hyperlink" Target="https://index.hu/belfold/2025/08/07/kozvelemeny-kutatas-felmeres-orszaggyulesi-valasztasok-fidesz-kdnp-tisza-part-mi-hazank" TargetMode="External"/><Relationship Id="rId528" Type="http://schemas.openxmlformats.org/officeDocument/2006/relationships/hyperlink" Target="https://publicus.hu/blog/partok-tamogatottsaga-2020-marcius/" TargetMode="External"/><Relationship Id="rId735" Type="http://schemas.openxmlformats.org/officeDocument/2006/relationships/hyperlink" Target="https://publicus.hu/blog/partok-tamogatottsaga-2022-februar/" TargetMode="External"/><Relationship Id="rId942" Type="http://schemas.openxmlformats.org/officeDocument/2006/relationships/hyperlink" Target="http://nezopontintezet.hu/analysis/hibahataron-beluli-atrendezodes-jobbik-es-az-mszp-csokken-az-lmp-es-fidesz/" TargetMode="External"/><Relationship Id="rId1158" Type="http://schemas.openxmlformats.org/officeDocument/2006/relationships/hyperlink" Target="https://web.archive.org/web/20140404193344/http:/kozvelemenykutatok.hu/celegyenesben-tarki/" TargetMode="External"/><Relationship Id="rId167" Type="http://schemas.openxmlformats.org/officeDocument/2006/relationships/hyperlink" Target="https://publicus.hu/blog/partok_tamogatottsaga_2018_marcius/" TargetMode="External"/><Relationship Id="rId374" Type="http://schemas.openxmlformats.org/officeDocument/2006/relationships/hyperlink" Target="https://publicus.hu/wp-content/uploads/2019/03/2019_03_ppef_all.png" TargetMode="External"/><Relationship Id="rId581" Type="http://schemas.openxmlformats.org/officeDocument/2006/relationships/hyperlink" Target="http://www.zaveczresearch.hu/tetemes-a-fidesz-elonye-de-egy-ellenzeki-kozos-lista-megkozelitene/" TargetMode="External"/><Relationship Id="rId1018" Type="http://schemas.openxmlformats.org/officeDocument/2006/relationships/hyperlink" Target="https://archiv.nezopont.hu/valsagallo-fidesz-elony/" TargetMode="External"/><Relationship Id="rId71" Type="http://schemas.openxmlformats.org/officeDocument/2006/relationships/hyperlink" Target="https://europion.hu/tolna2/" TargetMode="External"/><Relationship Id="rId234" Type="http://schemas.openxmlformats.org/officeDocument/2006/relationships/hyperlink" Target="https://publicus.hu/blog/partok-tamogatottsaga-2018-junius/" TargetMode="External"/><Relationship Id="rId679" Type="http://schemas.openxmlformats.org/officeDocument/2006/relationships/hyperlink" Target="http://republikon.hu/elemzesek,-kutatasok/21-04-30-kvk.aspx" TargetMode="External"/><Relationship Id="rId802" Type="http://schemas.openxmlformats.org/officeDocument/2006/relationships/hyperlink" Target="https://nezopont.hu/a-fidesz-nyerne-az-ep-mandatumok-haromnegyedet/" TargetMode="External"/><Relationship Id="rId886" Type="http://schemas.openxmlformats.org/officeDocument/2006/relationships/hyperlink" Target="https://szazadveg.hu/cikkek/vitezy-david-a-legnepszerubb-fopolgarmester-jelolt/" TargetMode="External"/><Relationship Id="rId2" Type="http://schemas.openxmlformats.org/officeDocument/2006/relationships/hyperlink" Target="https://www.datawrapper.de/_/vg5ZF/" TargetMode="External"/><Relationship Id="rId29" Type="http://schemas.openxmlformats.org/officeDocument/2006/relationships/hyperlink" Target="https://24.hu/belfold/2025/06/30/21-kutatokozpont-tisza-part-fidesz-kozvelemeny-kutatas-2025-junius/" TargetMode="External"/><Relationship Id="rId441" Type="http://schemas.openxmlformats.org/officeDocument/2006/relationships/hyperlink" Target="https://publicus.hu/blog/partok-tamogatottsaga-2019-junius/" TargetMode="External"/><Relationship Id="rId539" Type="http://schemas.openxmlformats.org/officeDocument/2006/relationships/hyperlink" Target="http://www.atv.hu/belfold/20200826-zavecz-tetemes-a-fidesz-elonye-de-egy-ellenzeki-kozos-lista-megkozelitene" TargetMode="External"/><Relationship Id="rId746" Type="http://schemas.openxmlformats.org/officeDocument/2006/relationships/hyperlink" Target="https://magyarnemzet.hu/belfold/2022/03/nezopont-a-fideszkdnp-47-az-egyesult-baloldal-42-szazalekon-all-a-valasztasok-elott-egy-hettel" TargetMode="External"/><Relationship Id="rId1071" Type="http://schemas.openxmlformats.org/officeDocument/2006/relationships/hyperlink" Target="https://24.hu/belfold/2025/12/17/21-kutatokozpont-2025-december-tisza-fidesz-tamogatottsag/" TargetMode="External"/><Relationship Id="rId1169" Type="http://schemas.openxmlformats.org/officeDocument/2006/relationships/hyperlink" Target="https://web.archive.org/web/20230329152621/https:/kozvelemenykutatok.hu/valasztas-2014-ertekeles/" TargetMode="External"/><Relationship Id="rId178" Type="http://schemas.openxmlformats.org/officeDocument/2006/relationships/hyperlink" Target="https://mno.hu/belfold/iranytu-intezet-a-jobbik-a-fidesz-fo-kihivoja-2458014" TargetMode="External"/><Relationship Id="rId301" Type="http://schemas.openxmlformats.org/officeDocument/2006/relationships/hyperlink" Target="https://publicus.hu/blog/partok-tamogatottsaga-2018-november/" TargetMode="External"/><Relationship Id="rId953" Type="http://schemas.openxmlformats.org/officeDocument/2006/relationships/hyperlink" Target="https://hirado.hu/2017/10/17/szazadveg-bukas-lenne-a-kozos-ellenzeki-jeloltallitas/" TargetMode="External"/><Relationship Id="rId1029" Type="http://schemas.openxmlformats.org/officeDocument/2006/relationships/hyperlink" Target="https://docs.google.com/presentation/d/1AHGXqOcl4M3icT7SAKTTbizC5qOR-5TI/edit" TargetMode="External"/><Relationship Id="rId82" Type="http://schemas.openxmlformats.org/officeDocument/2006/relationships/hyperlink" Target="https://magyarnemzet.hu/belfold/2024/11/ha-most-vasarnap-lenne-egy-orszaggyulesi-valasztas-magabiztosan-nyerne-a-fidesz" TargetMode="External"/><Relationship Id="rId385" Type="http://schemas.openxmlformats.org/officeDocument/2006/relationships/hyperlink" Target="https://index.hu/belfold/2019/03/29/hiaba_nepszerubb_a_fidesz_teljesen_elveszitheti_szomabthelyet_kozvelemeny-kutatas/" TargetMode="External"/><Relationship Id="rId592" Type="http://schemas.openxmlformats.org/officeDocument/2006/relationships/hyperlink" Target="https://hvg.hu/360/20201021_Median_ellenzeki_politikusok_nepszerusege" TargetMode="External"/><Relationship Id="rId606" Type="http://schemas.openxmlformats.org/officeDocument/2006/relationships/hyperlink" Target="http://ideaintezet.hu/hu/hirek-aktualis/45/az-ellenzek-ossztamogatottsaga-magasabb--mint-a-kormanypartoke" TargetMode="External"/><Relationship Id="rId813" Type="http://schemas.openxmlformats.org/officeDocument/2006/relationships/hyperlink" Target="https://drive.google.com/file/d/1QYQE7v3D5bEgR1GSESng0ABbOKuE0X64/view?fbclid=IwAR0zL_XJhBS5UiHN0glzw74vrP_UMtrci5J9-iW19RkVT4pnBAm4Q8wG7jw" TargetMode="External"/><Relationship Id="rId245" Type="http://schemas.openxmlformats.org/officeDocument/2006/relationships/hyperlink" Target="https://docs.google.com/spreadsheets/d/1eitltXmNIU4tHgrYiaQPWPHaG4tN0xVSZO4w_k0mVyA/edit" TargetMode="External"/><Relationship Id="rId452" Type="http://schemas.openxmlformats.org/officeDocument/2006/relationships/hyperlink" Target="https://nezopontintezet.hu/2019/08/05/40-szazalekpontos-elonnyel-vezet-a-fidesz-kdnp/" TargetMode="External"/><Relationship Id="rId897" Type="http://schemas.openxmlformats.org/officeDocument/2006/relationships/hyperlink" Target="https://hvg.hu/360/20240911_Median-meres-Gyorsabban-fogy-a-Fidesz-elonye-mint-Orban-Viktor-Tisza-Magyar-Peter-DK" TargetMode="External"/><Relationship Id="rId1082" Type="http://schemas.openxmlformats.org/officeDocument/2006/relationships/hyperlink" Target="https://iranytuintezet.hu/kutatas/az-egyes-partok-szavazotaboranak-szociodemografiai-osszetetele-2" TargetMode="External"/><Relationship Id="rId105" Type="http://schemas.openxmlformats.org/officeDocument/2006/relationships/hyperlink" Target="https://index.hu/belfold/2018/valasztas/2018/02/01/szazadveg_a_jobbik_tavolodik_az_mszp-tol" TargetMode="External"/><Relationship Id="rId312" Type="http://schemas.openxmlformats.org/officeDocument/2006/relationships/hyperlink" Target="https://kozvelemenykutatok.hu/2018-decemberi-kutatasi-eredmenyek-median/" TargetMode="External"/><Relationship Id="rId757" Type="http://schemas.openxmlformats.org/officeDocument/2006/relationships/hyperlink" Target="https://infostart.hu/valasztas-2022/2022/04/01/a-tarsadalomkutatonal-is-50-szazalekon-allnak-a-kormanypartok" TargetMode="External"/><Relationship Id="rId964" Type="http://schemas.openxmlformats.org/officeDocument/2006/relationships/hyperlink" Target="https://web.archive.org/web/20231129125504/http:/iranytuintezet.hu/elemzesek-kutatasok/mind/215-az-iranytu-intezet-2018.-januari-orszagos-kozvelemeny-kutatasa/" TargetMode="External"/><Relationship Id="rId93" Type="http://schemas.openxmlformats.org/officeDocument/2006/relationships/hyperlink" Target="http://www.zaveczresearch.hu/alacsony-aktivitas-valtozatlan-eroviszonyok/" TargetMode="External"/><Relationship Id="rId189" Type="http://schemas.openxmlformats.org/officeDocument/2006/relationships/hyperlink" Target="https://web.archive.org/web/20200723061910/https:/szazadveg.hu/hu/kutatasok/az-alapitvany-kutatasai/piackutatas-kozvelemeny-kutatas/fordulat-a-partok-versenyeben-az-mszp-megelozte-a-jobbikot" TargetMode="External"/><Relationship Id="rId396" Type="http://schemas.openxmlformats.org/officeDocument/2006/relationships/hyperlink" Target="https://magyarnemzet.hu/belfold/nezopont-tovabb-nott-a-fidesz-kdnp-nepszerusege-6889859/" TargetMode="External"/><Relationship Id="rId617" Type="http://schemas.openxmlformats.org/officeDocument/2006/relationships/hyperlink" Target="https://hvg.hu/360/20201209_Median_Szajer" TargetMode="External"/><Relationship Id="rId824" Type="http://schemas.openxmlformats.org/officeDocument/2006/relationships/hyperlink" Target="https://szocialis.eu/Lakotelepek.pdf" TargetMode="External"/><Relationship Id="rId256" Type="http://schemas.openxmlformats.org/officeDocument/2006/relationships/hyperlink" Target="https://nezopontintezet.hu/2018/09/03/a-fidesz-az-egyetlen-neppart/" TargetMode="External"/><Relationship Id="rId463" Type="http://schemas.openxmlformats.org/officeDocument/2006/relationships/hyperlink" Target="https://index.hu/belfold/2019/08/15/zavecz_budapesten_es_a_megyei_jogu_varosokban_erosebb_az_ellenzek_mint_a_fidesz/" TargetMode="External"/><Relationship Id="rId670" Type="http://schemas.openxmlformats.org/officeDocument/2006/relationships/hyperlink" Target="https://24.hu/kozelet/2021/04/13/erosodo-jobbikot-ellenzeki-folenyt-mert-az-idea-intezet/" TargetMode="External"/><Relationship Id="rId1093" Type="http://schemas.openxmlformats.org/officeDocument/2006/relationships/hyperlink" Target="https://www.facebook.com/nezopontintezet/posts/pfbid02V7SWxJJjDdGPHSMXc8hqZQTwpMgz4KXaAZjQ71yGmjDNrsxk9R8wAt6c5VkXjq6rl" TargetMode="External"/><Relationship Id="rId1107" Type="http://schemas.openxmlformats.org/officeDocument/2006/relationships/hyperlink" Target="https://tarsadalomkutato.hu/ketszamjegyu-elonnyel-fordul-a-fidesz-a-kampanystartra/" TargetMode="External"/><Relationship Id="rId116" Type="http://schemas.openxmlformats.org/officeDocument/2006/relationships/hyperlink" Target="https://www.origo.hu/itthon/20180215-itt-a-szazadveg-alapitvany-friss-februari-merese.html" TargetMode="External"/><Relationship Id="rId323" Type="http://schemas.openxmlformats.org/officeDocument/2006/relationships/hyperlink" Target="https://nepszava.hu/3019793_rabszolgatorveny-egyre-tobben-latjak-ugy-hogy-rossz-iranyba-mennek-a-dolgok" TargetMode="External"/><Relationship Id="rId530" Type="http://schemas.openxmlformats.org/officeDocument/2006/relationships/hyperlink" Target="https://nezopontintezet.hu/2020/04/20/a-fidesz-erezhetoen-erosodott/" TargetMode="External"/><Relationship Id="rId768" Type="http://schemas.openxmlformats.org/officeDocument/2006/relationships/hyperlink" Target="https://nezopont.hu/mindenki-tamogatja-a-magyar-rendszamuak-benzinarat/" TargetMode="External"/><Relationship Id="rId975" Type="http://schemas.openxmlformats.org/officeDocument/2006/relationships/hyperlink" Target="https://magyarnemzet.hu/belfold-archivum/2017/11/novelte-tamogatottsagat-oktoberben-a-fidesz" TargetMode="External"/><Relationship Id="rId1160" Type="http://schemas.openxmlformats.org/officeDocument/2006/relationships/hyperlink" Target="https://web.archive.org/web/20140409095352/http:/kozvelemenykutatok.hu/csak-a-fidesz-ketharmada-a-kerdes-median/" TargetMode="External"/><Relationship Id="rId20" Type="http://schemas.openxmlformats.org/officeDocument/2006/relationships/hyperlink" Target="https://szocialis.eu/Celegyenesben.pdf" TargetMode="External"/><Relationship Id="rId628" Type="http://schemas.openxmlformats.org/officeDocument/2006/relationships/hyperlink" Target="https://www.facebook.com/nezopontintezet/photos/a.387611711283718/3798756080169247" TargetMode="External"/><Relationship Id="rId835" Type="http://schemas.openxmlformats.org/officeDocument/2006/relationships/hyperlink" Target="https://drive.google.com/file/d/1cyI7LbLhqAf-Pw_sT12P6MoLGYYB47jT/view?fbclid=IwAR2Ol7Brr8T7Lv15LFw64GLp0lgOE_iruRvZEbz0IrND9Oepgu5fbe1Z2iw" TargetMode="External"/><Relationship Id="rId267" Type="http://schemas.openxmlformats.org/officeDocument/2006/relationships/hyperlink" Target="https://nezopontintezet.hu/2018/10/01/most-vasarnap-az-ep-mandatumok-tobb-mint-60-szazalekat-a-fidesz-szerezne-meg-3/" TargetMode="External"/><Relationship Id="rId474" Type="http://schemas.openxmlformats.org/officeDocument/2006/relationships/hyperlink" Target="https://publicus.hu/blog/partok-tamogatottsaga-2019-augusztus/" TargetMode="External"/><Relationship Id="rId1020" Type="http://schemas.openxmlformats.org/officeDocument/2006/relationships/hyperlink" Target="https://archiv.nezopont.hu/visszaerosodott-a-fidesz/" TargetMode="External"/><Relationship Id="rId1118" Type="http://schemas.openxmlformats.org/officeDocument/2006/relationships/hyperlink" Target="https://hvg.hu/gazdasag/20260130_21-kutatokozpont-szoros-a-verseny-bekes-2-ben-bekes-4-ben-a-tisza-jeloltje-vezet" TargetMode="External"/><Relationship Id="rId127" Type="http://schemas.openxmlformats.org/officeDocument/2006/relationships/hyperlink" Target="http://publicus.hu/images/uploads/2018_02_ppref_all.png" TargetMode="External"/><Relationship Id="rId681" Type="http://schemas.openxmlformats.org/officeDocument/2006/relationships/hyperlink" Target="https://publicus.hu/blog/partok-tamogatottsaga-es-az-elovalasztas-2021-aprilis/" TargetMode="External"/><Relationship Id="rId779" Type="http://schemas.openxmlformats.org/officeDocument/2006/relationships/hyperlink" Target="http://www.ideaintezet.hu/hu/hirek-aktualis/87/ujra-van-olyan-ellenzeki-part--melynek-tamogatottsaga-kettessel-kezdodik-es-ketszamjegyu" TargetMode="External"/><Relationship Id="rId902" Type="http://schemas.openxmlformats.org/officeDocument/2006/relationships/hyperlink" Target="https://demokrata.hu/magyarorszag/felmeres-a-fidesz-erosodott-a-baloldal-es-marki-zay-csak-lefele-megy-488482/" TargetMode="External"/><Relationship Id="rId986" Type="http://schemas.openxmlformats.org/officeDocument/2006/relationships/hyperlink" Target="http://hvg.hu/itthon/201744_medianfelmeres_elony_afidesznel" TargetMode="External"/><Relationship Id="rId31" Type="http://schemas.openxmlformats.org/officeDocument/2006/relationships/hyperlink" Target="https://republikon.hu/elemzesek,-kutatasok/20250629_budapest-partpreferencia.aspx" TargetMode="External"/><Relationship Id="rId334" Type="http://schemas.openxmlformats.org/officeDocument/2006/relationships/hyperlink" Target="https://szazadveg.hu/hu/kutatasok/az-alapitvany-kutatasai/piackutatas-kozvelemeny-kutatas/stabil-a-kormanypartok-tamogatottsaga" TargetMode="External"/><Relationship Id="rId541" Type="http://schemas.openxmlformats.org/officeDocument/2006/relationships/hyperlink" Target="https://www.policysolutions.hu/hu/hirek/496/orban10_publikacio" TargetMode="External"/><Relationship Id="rId639" Type="http://schemas.openxmlformats.org/officeDocument/2006/relationships/hyperlink" Target="http://ideaintezet.hu/hu/hirek-aktualis/50/az-ellenzek-egyesitett-listajanak-van-eselye-a-gyozelemre---2021--januar" TargetMode="External"/><Relationship Id="rId1171" Type="http://schemas.openxmlformats.org/officeDocument/2006/relationships/hyperlink" Target="https://index.hu/belfold/2026/02/06/valasztas-kozvelemeny-kutatas-amerika-felmeres-fidesz-tisza-part-orban-viktor-magyar-peter/" TargetMode="External"/><Relationship Id="rId180" Type="http://schemas.openxmlformats.org/officeDocument/2006/relationships/hyperlink" Target="https://web.archive.org/web/20180406141749/https:/hvg.hu/itthon/201814__medianfelmeres__erosodo_fidesz__nepszeru_kormany__rejtozo_ketharmad" TargetMode="External"/><Relationship Id="rId278" Type="http://schemas.openxmlformats.org/officeDocument/2006/relationships/hyperlink" Target="https://publicus.hu/blog/partok-tamogatottsaga-2018-szeptember/" TargetMode="External"/><Relationship Id="rId401" Type="http://schemas.openxmlformats.org/officeDocument/2006/relationships/hyperlink" Target="https://szazadveg.hu/hu/kutatasok/az-alapitvany-kutatasai/piackutatas-kozvelemeny-kutatas/eros-kormanyparti-gyozelem-varhato-az-ep-valasztasokon" TargetMode="External"/><Relationship Id="rId846" Type="http://schemas.openxmlformats.org/officeDocument/2006/relationships/hyperlink" Target="https://publicus.hu/blog/tizbol-heten-elegedettek-veres-pal-miskolci-polgarmester-eddigi-munkajaval/" TargetMode="External"/><Relationship Id="rId1031" Type="http://schemas.openxmlformats.org/officeDocument/2006/relationships/hyperlink" Target="https://www.mindenkipecsert.hu/2025/09/28/kozhangulat-pecsen/" TargetMode="External"/><Relationship Id="rId1129" Type="http://schemas.openxmlformats.org/officeDocument/2006/relationships/hyperlink" Target="https://www.facebook.com/deakdanielelemez/posts/pfbid02U5PBgJMbZoPWoL7RcQohAbTQmGH2SRVf5TqgZWM2qYoz5KjmLa9wMrUqYqFy5hPjl" TargetMode="External"/><Relationship Id="rId485" Type="http://schemas.openxmlformats.org/officeDocument/2006/relationships/hyperlink" Target="https://szazadveg.hu/hu/kutatasok/az-alapitvany-kutatasai/piackutatas-kozvelemeny-kutatas/a-fidesz-kdnp-elonye-toretlen" TargetMode="External"/><Relationship Id="rId692" Type="http://schemas.openxmlformats.org/officeDocument/2006/relationships/hyperlink" Target="https://hvg.hu/360/20210623_Median_Stabilizacio" TargetMode="External"/><Relationship Id="rId706" Type="http://schemas.openxmlformats.org/officeDocument/2006/relationships/hyperlink" Target="http://republikon.hu/3509.aspx" TargetMode="External"/><Relationship Id="rId913" Type="http://schemas.openxmlformats.org/officeDocument/2006/relationships/hyperlink" Target="https://www.nyugat.hu/cikk/szombathely_kozvelemenykutatas_nemeny_balazsy_koczka" TargetMode="External"/><Relationship Id="rId42" Type="http://schemas.openxmlformats.org/officeDocument/2006/relationships/hyperlink" Target="https://24.hu/belfold/2025/03/28/tisza-fidesz-felmeres-zavecz-2025-marcius/" TargetMode="External"/><Relationship Id="rId138" Type="http://schemas.openxmlformats.org/officeDocument/2006/relationships/hyperlink" Target="http://republikon.hu/elemzesek,-kutatasok/180228-kvk.aspx" TargetMode="External"/><Relationship Id="rId345" Type="http://schemas.openxmlformats.org/officeDocument/2006/relationships/hyperlink" Target="https://nezopontintezet.hu/2019/02/11/valtozatlan-a-fidesz-kdnp-tamogatottsaga/" TargetMode="External"/><Relationship Id="rId552" Type="http://schemas.openxmlformats.org/officeDocument/2006/relationships/hyperlink" Target="https://publicus.hu/blog/partok-tamogatottsaga-2020-aprilis/" TargetMode="External"/><Relationship Id="rId997" Type="http://schemas.openxmlformats.org/officeDocument/2006/relationships/hyperlink" Target="https://hvg.hu/itthon/201751__politikai_mozgasok_2017__medianfelmeres__novekvo_aktivitas__evvesztesek" TargetMode="External"/><Relationship Id="rId1182" Type="http://schemas.openxmlformats.org/officeDocument/2006/relationships/hyperlink" Target="https://index.hu/belfold/2026/03/31/zavecz-research-kozvelemeny-kutatas-partpreferencia-fidesz-tisza-part-valasztas-2026/" TargetMode="External"/><Relationship Id="rId191" Type="http://schemas.openxmlformats.org/officeDocument/2006/relationships/hyperlink" Target="https://www.ideaintezet.hu/hirek-aktualis/7/nem-eleg-hallani-az-eselyes-jeloltrol--tudni-is-kell--ki-az" TargetMode="External"/><Relationship Id="rId205" Type="http://schemas.openxmlformats.org/officeDocument/2006/relationships/hyperlink" Target="https://m.hvg.hu/360/hetilap360/2018/14/20181405magyar3" TargetMode="External"/><Relationship Id="rId412" Type="http://schemas.openxmlformats.org/officeDocument/2006/relationships/hyperlink" Target="http://iranytuintezet.hu/elemzesek-kutatasok/mind/237-partpreferenciak-alakulasa-az-europai-parlamenti-valasztas-elott/" TargetMode="External"/><Relationship Id="rId857" Type="http://schemas.openxmlformats.org/officeDocument/2006/relationships/hyperlink" Target="https://telex.hu/belfold/2023/11/23/zavecz-kozvelemeny-kutatas-zuglo-belvaros-inkumbens-jelolt-onkormanyzati-valasztas" TargetMode="External"/><Relationship Id="rId1042" Type="http://schemas.openxmlformats.org/officeDocument/2006/relationships/hyperlink" Target="https://alapjogokert.hu/anyagok/kutatasaink/orzi-vezeto-poziciojat-a-fidesz-kdnp-a-tortenelmi-jelentosegu-washingtoni-csucs-utan?fbclid=IwY2xjawOK3yBleHRuA2FlbQIxMABicmlkETFvbmdyZ1FkY3ZseHpkaGVyc3J0YwZhcHBfaWQQMjIyMDM5MTc4ODIwMDg5MgABHi7QnNRkFKedo4o_XPqnPI2BIONdxsCLVNcIDS161yOGPeR-835kXtLBglZm_aem_phkZDGTrQyRoZzEC0C-VAA" TargetMode="External"/><Relationship Id="rId289" Type="http://schemas.openxmlformats.org/officeDocument/2006/relationships/hyperlink" Target="https://magyarnemzet.hu/belfold/nezopont-tovabb-nott-a-fidesz-kdnp-nepszerusege-6889859/" TargetMode="External"/><Relationship Id="rId496" Type="http://schemas.openxmlformats.org/officeDocument/2006/relationships/hyperlink" Target="https://magyarnemzet.hu/belfold/magabiztosan-vezet-a-fidesz-a-nezopontnal-7484480/" TargetMode="External"/><Relationship Id="rId717" Type="http://schemas.openxmlformats.org/officeDocument/2006/relationships/hyperlink" Target="https://pestitv.pestisracok.hu/2021/11/13/furesz-gabor-a-szazadveg-vezerigazgatoja-a-marki-zay-jelensegrol-az-ordito-ellentmondas-elobb-utobb-leleplezodik/" TargetMode="External"/><Relationship Id="rId924" Type="http://schemas.openxmlformats.org/officeDocument/2006/relationships/hyperlink" Target="https://web.archive.org/web/20180406200502/https:/index.hu/belfold/2018/valasztas/2018/04/06/65_koruli_reszvetelt_40_feletti_fideszt_mer_a_zri/" TargetMode="External"/><Relationship Id="rId53" Type="http://schemas.openxmlformats.org/officeDocument/2006/relationships/hyperlink" Target="https://www.origo.hu/itthon/2019/09/szazadveg-elemzes-4" TargetMode="External"/><Relationship Id="rId149" Type="http://schemas.openxmlformats.org/officeDocument/2006/relationships/hyperlink" Target="http://iranytuintezet.hu/elemzesek-kutatasok/mind/231-az-iranytu-intezet-2018.-februari-orszagos-kozvelemeny-kutatasa/" TargetMode="External"/><Relationship Id="rId356" Type="http://schemas.openxmlformats.org/officeDocument/2006/relationships/hyperlink" Target="https://nezopontintezet.hu/2019/03/01/5427/" TargetMode="External"/><Relationship Id="rId563" Type="http://schemas.openxmlformats.org/officeDocument/2006/relationships/hyperlink" Target="https://nezopontintezet.hu/2020/06/12/a-jobbik-2022-re-folosleges-lehet/" TargetMode="External"/><Relationship Id="rId770" Type="http://schemas.openxmlformats.org/officeDocument/2006/relationships/hyperlink" Target="https://nezopont.hu/valsagallo-fidesz-elony/" TargetMode="External"/><Relationship Id="rId216" Type="http://schemas.openxmlformats.org/officeDocument/2006/relationships/hyperlink" Target="https://publicus.hu/blog/partok_tamogatottsaga_es_az_ellenzeki_politizalas-2018_majus/" TargetMode="External"/><Relationship Id="rId423" Type="http://schemas.openxmlformats.org/officeDocument/2006/relationships/hyperlink" Target="https://hvg.hu/itthon/201921_mozdulnake" TargetMode="External"/><Relationship Id="rId868" Type="http://schemas.openxmlformats.org/officeDocument/2006/relationships/hyperlink" Target="https://telex.hu/belfold/2024/01/26/republikon-intezet-partpreferencia-valasztas-fidesz-ellenzek" TargetMode="External"/><Relationship Id="rId1053" Type="http://schemas.openxmlformats.org/officeDocument/2006/relationships/hyperlink" Target="https://republikon.hu/elemzesek,-kutatasok/251203-havi.aspx" TargetMode="External"/><Relationship Id="rId630" Type="http://schemas.openxmlformats.org/officeDocument/2006/relationships/hyperlink" Target="https://magyarnemzet.hu/belfold/nepszerubb-a-fidesz-kdnp-mint-a-baloldali-kozos-lista-9122300/" TargetMode="External"/><Relationship Id="rId728" Type="http://schemas.openxmlformats.org/officeDocument/2006/relationships/hyperlink" Target="https://www.nyugat.hu/cikk/zavecz_szerint_szombathely_ellenzekinek_szamit" TargetMode="External"/><Relationship Id="rId935" Type="http://schemas.openxmlformats.org/officeDocument/2006/relationships/hyperlink" Target="https://archiv.nezopont.hu/meg-erosebb-fidesz-meg-gyengebb-jobbik/" TargetMode="External"/><Relationship Id="rId64" Type="http://schemas.openxmlformats.org/officeDocument/2006/relationships/hyperlink" Target="https://nezopont.hu/hu/tevekenysegeink/kozvelemeny-kutatasok/a-valasztok-tobb-mint-ketharmada-elutasitja-a-tisza-partiak-tamogatjak-ukrajna-eu-tagsagat" TargetMode="External"/><Relationship Id="rId367" Type="http://schemas.openxmlformats.org/officeDocument/2006/relationships/hyperlink" Target="https://hvg.hu/itthon/20190311_IDEA_a_baloldal_semmit_nem_profitalt_a_tuloratorvenyes_tiltakozasokbol" TargetMode="External"/><Relationship Id="rId574" Type="http://schemas.openxmlformats.org/officeDocument/2006/relationships/hyperlink" Target="http://www.atv.hu/belfold/20200716-zavecz-jelentos-fidesz-elony-szoros-a-verseny-a-masodik-helyert-a-dk-es-a-momentum-kozott" TargetMode="External"/><Relationship Id="rId1120" Type="http://schemas.openxmlformats.org/officeDocument/2006/relationships/hyperlink" Target="https://hvg.hu/gazdasag/20260130_21-kutatokozpont-szoros-a-verseny-bekes-2-ben-bekes-4-ben-a-tisza-jeloltje-vezet" TargetMode="External"/><Relationship Id="rId227" Type="http://schemas.openxmlformats.org/officeDocument/2006/relationships/hyperlink" Target="https://nezopontintezet.hu/2018/06/02/tovabb-erosodott-a-fidesz-kdnp-kozel-400-000-fovel-bovult-a-kormanypartok-tabora/" TargetMode="External"/><Relationship Id="rId781" Type="http://schemas.openxmlformats.org/officeDocument/2006/relationships/hyperlink" Target="https://publicus.hu/blog/partok-tamogatottsaga-2022-december/" TargetMode="External"/><Relationship Id="rId879" Type="http://schemas.openxmlformats.org/officeDocument/2006/relationships/hyperlink" Target="https://youtu.be/h3JLa2iSxu8?si=Q-FtdF4zNN42ZeFi&amp;t=125" TargetMode="External"/><Relationship Id="rId434" Type="http://schemas.openxmlformats.org/officeDocument/2006/relationships/hyperlink" Target="http://www.zaveczresearch.hu/kutatasi-eredmenyeink/" TargetMode="External"/><Relationship Id="rId641" Type="http://schemas.openxmlformats.org/officeDocument/2006/relationships/hyperlink" Target="https://magyarnemzet.hu/belfold/nezopont-meg-nem-akarnak-nyitast-a-magyarok-9353165/" TargetMode="External"/><Relationship Id="rId739" Type="http://schemas.openxmlformats.org/officeDocument/2006/relationships/hyperlink" Target="https://hatter.hu/hirek/a-szavazoik-szerint-az-ellenzeknek-a-nepszavazason-az-ervenytelen-mellett-kell-kiallnia" TargetMode="External"/><Relationship Id="rId1064" Type="http://schemas.openxmlformats.org/officeDocument/2006/relationships/hyperlink" Target="https://www.facebook.com/ideaintezet/posts/pfbid02zWdY6anq3AErEHZYCTaC4K87zoS7ErDmsnnpAShDaeQaLbPNBYTyWK6C1nns6imgl" TargetMode="External"/><Relationship Id="rId280" Type="http://schemas.openxmlformats.org/officeDocument/2006/relationships/hyperlink" Target="https://www.vasarnapihirek.hu/fokusz/feleves_godorben_az_lmp" TargetMode="External"/><Relationship Id="rId501" Type="http://schemas.openxmlformats.org/officeDocument/2006/relationships/hyperlink" Target="http://www.ideaintezet.hu/hu/hirek-aktualis/27/karacsony-gergely-a-legnepszerubb-politikus-az-ellenzeki-szavazok-koreben" TargetMode="External"/><Relationship Id="rId946" Type="http://schemas.openxmlformats.org/officeDocument/2006/relationships/hyperlink" Target="https://www.magyarhirlap.hu/belfold/Nezopont_Nott_a_Fidesz_es_az_LMP_tamogatottsaga" TargetMode="External"/><Relationship Id="rId1131" Type="http://schemas.openxmlformats.org/officeDocument/2006/relationships/hyperlink" Target="https://realpr93.hu/2026/02/09/kaposvaron-is-fidesz-gyozelem-varhato/" TargetMode="External"/><Relationship Id="rId75" Type="http://schemas.openxmlformats.org/officeDocument/2006/relationships/hyperlink" Target="https://szazadveg.hu/cikkek/elso-helyen-a-fidesz-kdnp-egyre-tobben-fordulnak-el-magyar-petertol/" TargetMode="External"/><Relationship Id="rId140" Type="http://schemas.openxmlformats.org/officeDocument/2006/relationships/hyperlink" Target="http://republikon.hu/media/38494/republikon_kutatas_prez_1802.pdf" TargetMode="External"/><Relationship Id="rId378" Type="http://schemas.openxmlformats.org/officeDocument/2006/relationships/hyperlink" Target="https://publicus.hu/wp-content/uploads/2019/03/2019_03_ppef_detail.png" TargetMode="External"/><Relationship Id="rId585" Type="http://schemas.openxmlformats.org/officeDocument/2006/relationships/hyperlink" Target="https://publicus.hu/blog/egy-lista-elovalasztas-es-kozos-miniszterelnok-jelolt-noveli-inkabb-az-ellenzek-gyozelmi-eselyeit/" TargetMode="External"/><Relationship Id="rId792" Type="http://schemas.openxmlformats.org/officeDocument/2006/relationships/hyperlink" Target="https://szazadveg.hu/hu/2022/12/29/europai-kozvelemeny-a-szankciok-jobban-fajnak-az-eu-nak-mint-oroszorszagnak~n3414" TargetMode="External"/><Relationship Id="rId806" Type="http://schemas.openxmlformats.org/officeDocument/2006/relationships/hyperlink" Target="https://telex.hu/belfold/2023/02/03/21-kutatokozpont-ellenzeki-partvezetok-nepszerusege-donath-anna-karacsony-gergely-dobrev-klara" TargetMode="External"/><Relationship Id="rId6" Type="http://schemas.openxmlformats.org/officeDocument/2006/relationships/hyperlink" Target="https://demokrata.hu/kozvelemeny-kutatas/on-kit-valasztana-30-242516/" TargetMode="External"/><Relationship Id="rId238" Type="http://schemas.openxmlformats.org/officeDocument/2006/relationships/hyperlink" Target="https://docs.google.com/spreadsheets/d/1eitltXmNIU4tHgrYiaQPWPHaG4tN0xVSZO4w_k0mVyA/edit" TargetMode="External"/><Relationship Id="rId445" Type="http://schemas.openxmlformats.org/officeDocument/2006/relationships/hyperlink" Target="https://nepszava.hu/3043823_erdekesen-alakulnak-az-eroviszonyok-az-ellenzeki-oldalon-a-zavecz-merese-szerint" TargetMode="External"/><Relationship Id="rId652" Type="http://schemas.openxmlformats.org/officeDocument/2006/relationships/hyperlink" Target="https://www.facebook.com/szanyi.tibor/posts/3794581893970250" TargetMode="External"/><Relationship Id="rId1075" Type="http://schemas.openxmlformats.org/officeDocument/2006/relationships/hyperlink" Target="https://telex.hu/belfold/2025/12/18/21-kutatokozpont-szeged-csongrad-csanad-2-valasztas-mihalffy-bela-gajda-attila-toroczkai-laszlo" TargetMode="External"/><Relationship Id="rId291" Type="http://schemas.openxmlformats.org/officeDocument/2006/relationships/hyperlink" Target="https://nezopontintezet.hu/2018/11/09/a-valasztok-fele-fidesz-szavazo/" TargetMode="External"/><Relationship Id="rId305" Type="http://schemas.openxmlformats.org/officeDocument/2006/relationships/hyperlink" Target="https://nezopontintezet.hu/2018/12/04/erosodott-a-fidesz-tovabb-gyengult-a-jobbik/" TargetMode="External"/><Relationship Id="rId512" Type="http://schemas.openxmlformats.org/officeDocument/2006/relationships/hyperlink" Target="https://24.hu/kozelet/2019/12/18/idea-intezet-kutatas-dk-momentum/" TargetMode="External"/><Relationship Id="rId957" Type="http://schemas.openxmlformats.org/officeDocument/2006/relationships/hyperlink" Target="https://web.archive.org/web/20171210015603/https:/szazadveg.hu/hu/kutatasok/az-alapitvany-kutatasai/piackutatas-kozvelemeny-kutatas/tovabb-erosodott-a-fidesz-kdnp" TargetMode="External"/><Relationship Id="rId1142" Type="http://schemas.openxmlformats.org/officeDocument/2006/relationships/hyperlink" Target="https://tenyek.hu/politika/2025/12/tobb-kulcsfontossagu-valasztokeruletben-is-jelentosen-vezet-a-fidesz-a-tisza-elott" TargetMode="External"/><Relationship Id="rId86" Type="http://schemas.openxmlformats.org/officeDocument/2006/relationships/hyperlink" Target="https://hvg.hu/360/20240430_hvg-median-ep-onkormanyzati-valasztas-magyar-peter-tisza-part-fidesz-ellenzek" TargetMode="External"/><Relationship Id="rId151" Type="http://schemas.openxmlformats.org/officeDocument/2006/relationships/hyperlink" Target="http://iranytuintezet.hu/elemzesek-kutatasok/mind/231-az-iranytu-intezet-2018.-februari-orszagos-kozvelemeny-kutatasa/" TargetMode="External"/><Relationship Id="rId389" Type="http://schemas.openxmlformats.org/officeDocument/2006/relationships/hyperlink" Target="https://hvg.hu/itthon/20190417_Median_Az_MSZP_beerte_a_Jobbikot_a_Fidesz_ismet_erosodott" TargetMode="External"/><Relationship Id="rId596" Type="http://schemas.openxmlformats.org/officeDocument/2006/relationships/hyperlink" Target="https://magyarnemzet.hu/belfold/gyurcsany-a-felelos-a-rendorattakert-8852627/" TargetMode="External"/><Relationship Id="rId817" Type="http://schemas.openxmlformats.org/officeDocument/2006/relationships/hyperlink" Target="https://444.hu/2023/03/08/dobrev-klara-a-legismertebb-noi-politikus-novak-katalin-a-legnepszerubb-leginkabb-varga-juditot-utaljak-az-ellenzeki-szavazok" TargetMode="External"/><Relationship Id="rId1002" Type="http://schemas.openxmlformats.org/officeDocument/2006/relationships/hyperlink" Target="https://docs.google.com/presentation/d/1AHGXqOcl4M3icT7SAKTTbizC5qOR-5TI/edit" TargetMode="External"/><Relationship Id="rId249" Type="http://schemas.openxmlformats.org/officeDocument/2006/relationships/hyperlink" Target="https://www.vasarnapihirek.hu/fokusz/beeloztek_a_ketfarkuak" TargetMode="External"/><Relationship Id="rId456" Type="http://schemas.openxmlformats.org/officeDocument/2006/relationships/hyperlink" Target="https://nepszava.hu/3045777_az-ellenzeki-partok-fej-fej-mellett-nezik-messzirol-a-fidesz-hatat" TargetMode="External"/><Relationship Id="rId663" Type="http://schemas.openxmlformats.org/officeDocument/2006/relationships/hyperlink" Target="https://magyarnemzet.hu/belfold/fidesz-elony-az-aktivak-koreben-novekszik-a-bizonytalanok-tabora-9502940/" TargetMode="External"/><Relationship Id="rId870" Type="http://schemas.openxmlformats.org/officeDocument/2006/relationships/hyperlink" Target="https://hvg.hu/kkv/20240229_A_budapestiek_60_szazaleka_gondolja_ugy_hogy_Karacsony_Gergely_es_Lazar_Janos_jo_megallapodast_kotott_a_berletekrol" TargetMode="External"/><Relationship Id="rId1086" Type="http://schemas.openxmlformats.org/officeDocument/2006/relationships/hyperlink" Target="https://tenyek.hu/politika/2025/12/tobb-kulcsfontossagu-valasztokeruletben-is-jelentosen-vezet-a-fidesz-a-tisza-elott" TargetMode="External"/><Relationship Id="rId13" Type="http://schemas.openxmlformats.org/officeDocument/2006/relationships/hyperlink" Target="https://demokrata.hu/magyarorszag/felmeres-igy-all-most-az-orban-viktor-marki-zay-csata-507827/" TargetMode="External"/><Relationship Id="rId109" Type="http://schemas.openxmlformats.org/officeDocument/2006/relationships/hyperlink" Target="http://republikon.hu/elemzesek,-kutatasok/180213-kvk.aspx" TargetMode="External"/><Relationship Id="rId316" Type="http://schemas.openxmlformats.org/officeDocument/2006/relationships/hyperlink" Target="https://kozvelemenykutatok.hu/2018-decemberi-kutatasi-eredmenyek-median/" TargetMode="External"/><Relationship Id="rId523" Type="http://schemas.openxmlformats.org/officeDocument/2006/relationships/hyperlink" Target="https://nezopontintezet.hu/2020/01/29/valtozatlanul-vezet-a-fidesz-kdnp-a-teljes-ellenzekkel-szemben/" TargetMode="External"/><Relationship Id="rId968" Type="http://schemas.openxmlformats.org/officeDocument/2006/relationships/hyperlink" Target="http://iranytuintezet.hu/elemzesek-kutatasok/mind/213-az-iranytu-intezet-2017.-decemberi-orszagos-kozvelemeny-kutatasa/" TargetMode="External"/><Relationship Id="rId1153" Type="http://schemas.openxmlformats.org/officeDocument/2006/relationships/hyperlink" Target="https://republikon.hu/elemzesek,-kutatasok/260224_lesz-e-valtozas.aspx" TargetMode="External"/><Relationship Id="rId97" Type="http://schemas.openxmlformats.org/officeDocument/2006/relationships/hyperlink" Target="http://publicus.hu/blog/partok_tamogatottsaga_es_egyes_politikusok_nepszerusege_2018_januar/" TargetMode="External"/><Relationship Id="rId730" Type="http://schemas.openxmlformats.org/officeDocument/2006/relationships/hyperlink" Target="https://www.nyugat.hu/cikk/zavecz_szerint_szombathely_ellenzekinek_szamit" TargetMode="External"/><Relationship Id="rId828" Type="http://schemas.openxmlformats.org/officeDocument/2006/relationships/hyperlink" Target="https://telex.hu/belfold/2023/05/10/zavecz-research-partpreferencia-fidesz-dk-mi-hazank-momentum-jobbik" TargetMode="External"/><Relationship Id="rId1013" Type="http://schemas.openxmlformats.org/officeDocument/2006/relationships/hyperlink" Target="https://www.xxiszazadintezet.hu/hajrara-fordulva-vezet-a-fidesz/" TargetMode="External"/><Relationship Id="rId162" Type="http://schemas.openxmlformats.org/officeDocument/2006/relationships/hyperlink" Target="http://publicus.hu/images/uploads/2018_03_ppref_all.png" TargetMode="External"/><Relationship Id="rId467" Type="http://schemas.openxmlformats.org/officeDocument/2006/relationships/hyperlink" Target="https://nezopontintezet.hu/2019/09/04/stabilan-33-millio-fidesz-szimpatizans-van-magyarorszagon/" TargetMode="External"/><Relationship Id="rId1097" Type="http://schemas.openxmlformats.org/officeDocument/2006/relationships/hyperlink" Target="https://www.facebook.com/photo?fbid=1331732595665251&amp;set=a.479894894182363" TargetMode="External"/><Relationship Id="rId674" Type="http://schemas.openxmlformats.org/officeDocument/2006/relationships/hyperlink" Target="https://hvg.hu/360/20210512_Median_Jarvanyban_eloz_a_Fidesz" TargetMode="External"/><Relationship Id="rId881" Type="http://schemas.openxmlformats.org/officeDocument/2006/relationships/hyperlink" Target="https://mandiner.hu/belfold/2024/05/igy-alakulhatnak-a-mandatumok-az-ep-valasztason" TargetMode="External"/><Relationship Id="rId979" Type="http://schemas.openxmlformats.org/officeDocument/2006/relationships/hyperlink" Target="https://web.archive.org/web/20180412035636/https:/mno.hu/belfold/iranytu-intezet-a-dk-es-az-lmp-is-beerte-az-mszp-t-2433521" TargetMode="External"/><Relationship Id="rId24" Type="http://schemas.openxmlformats.org/officeDocument/2006/relationships/hyperlink" Target="https://web.archive.org/web/20220412161015/https:/szazadveg.hu/hu/kozvelemeny-kutatasok" TargetMode="External"/><Relationship Id="rId327" Type="http://schemas.openxmlformats.org/officeDocument/2006/relationships/hyperlink" Target="https://nepszava.hu/3019793_rabszolgatorveny-egyre-tobben-latjak-ugy-hogy-rossz-iranyba-mennek-a-dolgok" TargetMode="External"/><Relationship Id="rId534" Type="http://schemas.openxmlformats.org/officeDocument/2006/relationships/hyperlink" Target="https://publicus.hu/blog/partok-tamogatottsaga-2020-marcius/" TargetMode="External"/><Relationship Id="rId741" Type="http://schemas.openxmlformats.org/officeDocument/2006/relationships/hyperlink" Target="https://hang.hu/valasztas/szoros-a-meccs-budan-de-hajnal-miklos-vezet-furjes-balazs-elott-138319" TargetMode="External"/><Relationship Id="rId839" Type="http://schemas.openxmlformats.org/officeDocument/2006/relationships/hyperlink" Target="https://publicus.hu/blog/a-tobbseg-nem-tartja-elfogadhatonak-sem-a-konnygaz-beveteset-sem-a-kordonokat-a-varban/" TargetMode="External"/><Relationship Id="rId1164" Type="http://schemas.openxmlformats.org/officeDocument/2006/relationships/hyperlink" Target="https://hvg.hu/itthon/201414_rejt_a_palya" TargetMode="External"/><Relationship Id="rId173" Type="http://schemas.openxmlformats.org/officeDocument/2006/relationships/hyperlink" Target="http://republikon.hu/media/38516/republikon_kutatas_prez_1803.pdf" TargetMode="External"/><Relationship Id="rId380" Type="http://schemas.openxmlformats.org/officeDocument/2006/relationships/hyperlink" Target="https://nepszava.hu/3030602_az-mszp-szavazoi-a-legelkotelezettebbek-egyre-tobben-elegedetlenek-az-orszag-allapotaval" TargetMode="External"/><Relationship Id="rId601" Type="http://schemas.openxmlformats.org/officeDocument/2006/relationships/hyperlink" Target="http://www.atv.hu/belfold/20201120-idea-visszatert-a-fidesz-a-koronavirus-elotti-szintre" TargetMode="External"/><Relationship Id="rId1024" Type="http://schemas.openxmlformats.org/officeDocument/2006/relationships/hyperlink" Target="https://hirado.hu/belfold/cikk/2025/10/17/egy-ujabb-kozvelemeny-kutatas-bizonyitja-hogy-tovabb-nott-a-fidesz-elonye-a-tisza-part-pedig-megtorpant" TargetMode="External"/><Relationship Id="rId240" Type="http://schemas.openxmlformats.org/officeDocument/2006/relationships/hyperlink" Target="https://nezopontintezet.hu/2018/06/30/a-2014-es-valasztasok-ota-nem-volt-ilyen-magas-a-fidesz-kdnp-tamogatottsaga/" TargetMode="External"/><Relationship Id="rId478" Type="http://schemas.openxmlformats.org/officeDocument/2006/relationships/hyperlink" Target="http://www.zaveczresearch.hu/kampanyban-is-valtozatlan-eroviszonyok/" TargetMode="External"/><Relationship Id="rId685" Type="http://schemas.openxmlformats.org/officeDocument/2006/relationships/hyperlink" Target="https://24.hu/belfold/2021/05/27/idea-intezet-valasztasi-eselyek-partpreferencia-elemzes-bocskei-balazs-szabo-andrea/" TargetMode="External"/><Relationship Id="rId892" Type="http://schemas.openxmlformats.org/officeDocument/2006/relationships/hyperlink" Target="https://magyarnemzet.hu/belfold/2024/08/felhaborodtak-a-magyarok-az-ukran-olajszankciok-miatt" TargetMode="External"/><Relationship Id="rId906" Type="http://schemas.openxmlformats.org/officeDocument/2006/relationships/hyperlink" Target="https://hvg.hu/itthon/20250719_Tisza-Magyar-Peter-belso-meres-holtverseny-Tisza-Fidesz-Bekes-partpreferencia-kutatas-ebx" TargetMode="External"/><Relationship Id="rId35" Type="http://schemas.openxmlformats.org/officeDocument/2006/relationships/hyperlink" Target="https://publicus.hu/wp-content/uploads/2019/03/2019_03_ppef_all.png" TargetMode="External"/><Relationship Id="rId100" Type="http://schemas.openxmlformats.org/officeDocument/2006/relationships/hyperlink" Target="http://publicus.hu/images/uploads/2018_01_ppref_idosor.png" TargetMode="External"/><Relationship Id="rId338" Type="http://schemas.openxmlformats.org/officeDocument/2006/relationships/hyperlink" Target="https://publicus.hu/blog/partok-tamogatottsaga-2019-januar/" TargetMode="External"/><Relationship Id="rId545" Type="http://schemas.openxmlformats.org/officeDocument/2006/relationships/hyperlink" Target="http://ideaintezet.hu/hu/hirek-aktualis/35/nem-csokkeno-fidesz---kdnp--stabil-fopolgarmesteri-rokonszenv" TargetMode="External"/><Relationship Id="rId752" Type="http://schemas.openxmlformats.org/officeDocument/2006/relationships/hyperlink" Target="https://hvg.hu/itthon/20220406_Median_MarkiZay_Petert_a_fiatalok_koreben_erhette_a_legnagyobb_veszteseg" TargetMode="External"/><Relationship Id="rId1175" Type="http://schemas.openxmlformats.org/officeDocument/2006/relationships/hyperlink" Target="https://nezopont.hu/hu/tevekenysegeink/kozvelemeny-kutatasok/enyhen-erosodo-fidesz%20azonban%20a%20k&#233;pal&#225;&#237;r&#225;s&#225;ban%20meger&#337;s&#237;tette,%20hogy%200-ra%20m&#233;rt&#233;k%20az%20%22egy&#233;b%20p&#225;rtot%22." TargetMode="External"/><Relationship Id="rId184" Type="http://schemas.openxmlformats.org/officeDocument/2006/relationships/hyperlink" Target="https://m.hvg.hu/360/hetilap360/2018/14/20181405magyar3" TargetMode="External"/><Relationship Id="rId391" Type="http://schemas.openxmlformats.org/officeDocument/2006/relationships/hyperlink" Target="https://publicus.hu/blog/partok-tamogatottsaga-2018-december/" TargetMode="External"/><Relationship Id="rId405" Type="http://schemas.openxmlformats.org/officeDocument/2006/relationships/hyperlink" Target="https://nepszava.hu/3035093_fidesz-szavazok-szerint-fontosabb-az-ep-valasztas-mint-az-onkormanyzati" TargetMode="External"/><Relationship Id="rId612" Type="http://schemas.openxmlformats.org/officeDocument/2006/relationships/hyperlink" Target="http://ideaintezet.hu/hu/hirek-aktualis/46/a-szajer-botrany-a-kirobbanasanak-idejen--meg--nem-befolyasolta-a-partpreferenciakat" TargetMode="External"/><Relationship Id="rId1035" Type="http://schemas.openxmlformats.org/officeDocument/2006/relationships/hyperlink" Target="https://nezopont.hu/hu/tevekenysegeink/kozvelemeny-kutatasok/sokkal-tobben-varjak-orban-gyozelmet" TargetMode="External"/><Relationship Id="rId251" Type="http://schemas.openxmlformats.org/officeDocument/2006/relationships/hyperlink" Target="https://hvg.hu/itthon/20190417_Median_Az_MSZP_beerte_a_Jobbikot_a_Fidesz_ismet_erosodott" TargetMode="External"/><Relationship Id="rId489" Type="http://schemas.openxmlformats.org/officeDocument/2006/relationships/hyperlink" Target="https://publicus.hu/blog/partok-tamogatottsaga-2019-oktober/" TargetMode="External"/><Relationship Id="rId696" Type="http://schemas.openxmlformats.org/officeDocument/2006/relationships/hyperlink" Target="http://republikon.hu/elemzesek,-kutatasok/21-07-02-kvk.aspx" TargetMode="External"/><Relationship Id="rId917" Type="http://schemas.openxmlformats.org/officeDocument/2006/relationships/hyperlink" Target="https://idea.atlatszo.hu/2025/09/16/toresvonalak-a-tarsadalmi-gondolkodasban-a-szuletesrol-noi-es-magzati-jogokrol/?fbclid=IwY2xjawM6cIJleHRuA2FlbQIxMABicmlkETFjMm9OQU5yVjNjSHZWdk1PAR5O1GTakurmQ31Y77Zw5_M7yCbNzukxj6i4dGhlKDbCgU6tw6X24UwCrN-Eyg_aem_6ty3DdnU4TyB4yvAmROruA" TargetMode="External"/><Relationship Id="rId1102" Type="http://schemas.openxmlformats.org/officeDocument/2006/relationships/hyperlink" Target="https://publicus.hu/blog/budapest-12-es-valasztokorzet-mi-a-helyzet-angyalfoldon/" TargetMode="External"/><Relationship Id="rId46" Type="http://schemas.openxmlformats.org/officeDocument/2006/relationships/hyperlink" Target="https://hang.hu/belfold/21-kutatokozpont-zugloban-ketszer-annyian-szavaznanak-a-tiszara-mint-a-fideszre-176967" TargetMode="External"/><Relationship Id="rId349" Type="http://schemas.openxmlformats.org/officeDocument/2006/relationships/hyperlink" Target="https://szazadveg.hu/hu/kutatasok/az-alapitvany-kutatasai/piackutatas-kozvelemeny-kutatas/stabil-a-kormanypartok-tamogatottsaga" TargetMode="External"/><Relationship Id="rId556" Type="http://schemas.openxmlformats.org/officeDocument/2006/relationships/hyperlink" Target="https://nezopontintezet.hu/2020/04/20/a-fidesz-erezhetoen-erosodott/" TargetMode="External"/><Relationship Id="rId763" Type="http://schemas.openxmlformats.org/officeDocument/2006/relationships/hyperlink" Target="http://www.ideaintezet.hu/hu/hirek-aktualis/83/fidesz--dk--mi-hazank-a-sorrend-az-idea-intezet-valasztas-utani-elso-mereseben---2022--majus-eleje" TargetMode="External"/><Relationship Id="rId1186" Type="http://schemas.openxmlformats.org/officeDocument/2006/relationships/hyperlink" Target="https://www.dimenziomedia.hu/cikk/Az-ellenzek-koreben-szinte-hatastalan-a-kormanyzati-propaganda-PPI-26-160" TargetMode="External"/><Relationship Id="rId111" Type="http://schemas.openxmlformats.org/officeDocument/2006/relationships/hyperlink" Target="http://republikon.hu/media/38487/republikon_kutatas_prez_1801.pdf" TargetMode="External"/><Relationship Id="rId195" Type="http://schemas.openxmlformats.org/officeDocument/2006/relationships/hyperlink" Target="https://index.hu/belfold/2018/valasztas/2018/04/05/publicus_annyival_esett_a_fidesz_tamogatottsaga_amennyivel_a_jobbike_nott/" TargetMode="External"/><Relationship Id="rId209" Type="http://schemas.openxmlformats.org/officeDocument/2006/relationships/hyperlink" Target="https://publicus.hu/blog/partok-tamogatottsaga-es-atszavazasok-2018-aprilis/" TargetMode="External"/><Relationship Id="rId416" Type="http://schemas.openxmlformats.org/officeDocument/2006/relationships/hyperlink" Target="http://www.zaveczresearch.hu/szoros-versenyben-a-jobbik-az-mszp-es-a-dk/" TargetMode="External"/><Relationship Id="rId970" Type="http://schemas.openxmlformats.org/officeDocument/2006/relationships/hyperlink" Target="https://magyarnemzet.hu/belfold-archivum/2018/01/egymassal-versenyezik-az-mszp-a-dk-es-az-lmp" TargetMode="External"/><Relationship Id="rId1046" Type="http://schemas.openxmlformats.org/officeDocument/2006/relationships/hyperlink" Target="https://24.hu/belfold/2025/12/02/21-kutatokozpont-tisza-part-fidesz-kulonbseg-2025-november/" TargetMode="External"/><Relationship Id="rId623" Type="http://schemas.openxmlformats.org/officeDocument/2006/relationships/hyperlink" Target="https://tk.hu/uploads/files/2021/ertek_identi.pdf,%2056.%20oldal" TargetMode="External"/><Relationship Id="rId830" Type="http://schemas.openxmlformats.org/officeDocument/2006/relationships/hyperlink" Target="https://telex.hu/belfold/2023/05/17/zavecz-kutatas-europai-parlament-valasztas-partok" TargetMode="External"/><Relationship Id="rId928" Type="http://schemas.openxmlformats.org/officeDocument/2006/relationships/hyperlink" Target="https://web.archive.org/web/20241213205744/https:/index.hu/belfold/2017/10/19/a_fidesz_nepszerusege_majdnem_megduplazodott_a_60_evnel_idosebbek_koreben/" TargetMode="External"/><Relationship Id="rId57" Type="http://schemas.openxmlformats.org/officeDocument/2006/relationships/hyperlink" Target="http://republikon.hu/elemzesek,-kutatasok/24-04-05_kvk.aspx" TargetMode="External"/><Relationship Id="rId262" Type="http://schemas.openxmlformats.org/officeDocument/2006/relationships/hyperlink" Target="https://publicus.hu/blog/partok-orszaggyulesi-es-ep-tamogatottsaga-2019-marcius/" TargetMode="External"/><Relationship Id="rId567" Type="http://schemas.openxmlformats.org/officeDocument/2006/relationships/hyperlink" Target="https://publicus.hu/blog/ellenzeki-varosvezetok-es-az-egyuttmukodes-megitelese/" TargetMode="External"/><Relationship Id="rId1113" Type="http://schemas.openxmlformats.org/officeDocument/2006/relationships/hyperlink" Target="https://www.facebook.com/21kutatokozpont/posts/pfbid0oj74Sv4mrebUWc1sRBnP38Zgvtmzb8DHvzryZZ5DJYtg6XKYW72ZzYdQmqJnCcU2l" TargetMode="External"/><Relationship Id="rId122" Type="http://schemas.openxmlformats.org/officeDocument/2006/relationships/hyperlink" Target="http://www.zaveczresearch.hu/alig-mozdulnak-szavazok/" TargetMode="External"/><Relationship Id="rId774" Type="http://schemas.openxmlformats.org/officeDocument/2006/relationships/hyperlink" Target="https://publicus.hu/blog/partok-tamogatottsaga-2022-december/" TargetMode="External"/><Relationship Id="rId981" Type="http://schemas.openxmlformats.org/officeDocument/2006/relationships/hyperlink" Target="https://magyarnemzet.hu/belfold-archivum/2017/11/novelte-tamogatottsagat-oktoberben-a-fidesz" TargetMode="External"/><Relationship Id="rId1057" Type="http://schemas.openxmlformats.org/officeDocument/2006/relationships/hyperlink" Target="https://hvg.hu/itthon/20251206_magyar-peter-gajdos-laszlo-fidesz-nyiregyhaza-szabolcs-valasztokerulet-tisza" TargetMode="External"/><Relationship Id="rId427" Type="http://schemas.openxmlformats.org/officeDocument/2006/relationships/hyperlink" Target="https://www.facebook.com/median.hu/photos/a.1378324522412809/2415156932062891" TargetMode="External"/><Relationship Id="rId634" Type="http://schemas.openxmlformats.org/officeDocument/2006/relationships/hyperlink" Target="https://szazadveg.hu/hu/kutatasok/az-alapitvany-kutatasai/piackutatas-kozvelemeny-kutatas/az-ellenzeki-szavazok-dobrev-klarat-latnak-legszivesebben-miniszterelnok-jeloltkent" TargetMode="External"/><Relationship Id="rId841" Type="http://schemas.openxmlformats.org/officeDocument/2006/relationships/hyperlink" Target="http://www.ideaintezet.hu/hu/hirek-aktualis/101/partpreferenciak--rendkivul-tartos-es-stabil-tamogatottsaggal-kezdi-a-fidesz-a-nyarat-----2023--junius" TargetMode="External"/><Relationship Id="rId273" Type="http://schemas.openxmlformats.org/officeDocument/2006/relationships/hyperlink" Target="https://hvg.hu/itthon/201845__partok_es_politikusok_nepszerusege__erosodo_fidesz__ingatagok" TargetMode="External"/><Relationship Id="rId480" Type="http://schemas.openxmlformats.org/officeDocument/2006/relationships/hyperlink" Target="http://www.ideaintezet.hu/hu/hirek-aktualis/26/a-durvabb-kampany-se-valtoztatott-a-szavazok-partszimpatiajan" TargetMode="External"/><Relationship Id="rId701" Type="http://schemas.openxmlformats.org/officeDocument/2006/relationships/hyperlink" Target="https://24.hu/kozelet/2021/07/12/idea-intezet-partok-kozvelemeny-kutatas-julius/" TargetMode="External"/><Relationship Id="rId939" Type="http://schemas.openxmlformats.org/officeDocument/2006/relationships/hyperlink" Target="http://nezopontintezet.hu/analysis/csucsponton-fidesz/" TargetMode="External"/><Relationship Id="rId1124" Type="http://schemas.openxmlformats.org/officeDocument/2006/relationships/hyperlink" Target="https://nezopont.hu/hu/tevekenysegeink/kozvelemeny-kutatasok/a-valasztok-ketharmada-helyesli-a-rend-es-honvedelmi-allomany-megbecsuleset" TargetMode="External"/><Relationship Id="rId68" Type="http://schemas.openxmlformats.org/officeDocument/2006/relationships/hyperlink" Target="https://szazadveg.hu/cikkek/a-tarsadalmi-csoportok-helyzete-magyarorszagon-2019-2024/" TargetMode="External"/><Relationship Id="rId133" Type="http://schemas.openxmlformats.org/officeDocument/2006/relationships/hyperlink" Target="http://iranytuintezet.hu/elemzesek-kutatasok/mind/229-hogy-szavaznanak-az-aktiv-facebook-felhasznalok/" TargetMode="External"/><Relationship Id="rId340" Type="http://schemas.openxmlformats.org/officeDocument/2006/relationships/hyperlink" Target="https://publicus.hu/wp-content/uploads/2019/01/2019_01_ppef_all-1024x773.png" TargetMode="External"/><Relationship Id="rId578" Type="http://schemas.openxmlformats.org/officeDocument/2006/relationships/hyperlink" Target="http://ideaintezet.hu/hu/hirek-aktualis/41/vihar-elotti-csend------koronavirus-jarvany-elso-hullama-utan-is-befagyott-partpreferenciak" TargetMode="External"/><Relationship Id="rId785" Type="http://schemas.openxmlformats.org/officeDocument/2006/relationships/hyperlink" Target="https://www.facebook.com/valasztasi.kalauz/posts/pfbid0HFmAqYSREYYaxQg2ri2qyouAFHuarw5xUGq4ECfsF1cnQh88eJyV9ixyDkd5Gn7Nl" TargetMode="External"/><Relationship Id="rId992" Type="http://schemas.openxmlformats.org/officeDocument/2006/relationships/hyperlink" Target="https://hvg.hu/itthon/201750_medianfelmeres_befagyva" TargetMode="External"/><Relationship Id="rId200" Type="http://schemas.openxmlformats.org/officeDocument/2006/relationships/hyperlink" Target="http://iranytuintezet.hu/elemzesek-kutatasok/mind/235-a-valasztas-elotti-utolso-meresunk/" TargetMode="External"/><Relationship Id="rId438" Type="http://schemas.openxmlformats.org/officeDocument/2006/relationships/hyperlink" Target="https://nezopontintezet.hu/2019/07/02/utcahosszal-vezet-a-fidesz-kdnp-az-ep-valasztas-utan/" TargetMode="External"/><Relationship Id="rId645" Type="http://schemas.openxmlformats.org/officeDocument/2006/relationships/hyperlink" Target="https://24.hu/kozelet/2021/02/19/zavecz-research-feljott-a-partrangsor-3-helyere-a-jobbik/" TargetMode="External"/><Relationship Id="rId852" Type="http://schemas.openxmlformats.org/officeDocument/2006/relationships/hyperlink" Target="https://24.hu/belfold/2023/09/22/zavecz-fidesz-mi-hazank-ketfarku-kutyapart-partpreferenciak-szeptember/" TargetMode="External"/><Relationship Id="rId1068" Type="http://schemas.openxmlformats.org/officeDocument/2006/relationships/hyperlink" Target="https://www.facebook.com/21kutatokozpont/posts/pfbid02DoYiXNvVBrmFkmUKeLa9Pfm6zfqZiDwfaKXzxR8fFnbzH5WyL87CsgmujErzwF6kl" TargetMode="External"/><Relationship Id="rId284" Type="http://schemas.openxmlformats.org/officeDocument/2006/relationships/hyperlink" Target="https://publicus.hu/blog/partok-tamogatottsaga-2018-oktober/" TargetMode="External"/><Relationship Id="rId491" Type="http://schemas.openxmlformats.org/officeDocument/2006/relationships/hyperlink" Target="https://publicus.hu/blog/partok-tamogatottsaga-2019-oktober/" TargetMode="External"/><Relationship Id="rId505" Type="http://schemas.openxmlformats.org/officeDocument/2006/relationships/hyperlink" Target="http://www.zaveczresearch.hu/a-fidesz-gyengult-a-momentum-erosodott/" TargetMode="External"/><Relationship Id="rId712" Type="http://schemas.openxmlformats.org/officeDocument/2006/relationships/hyperlink" Target="https://designrr.page/?id=119445&amp;token=1015409182&amp;type=FP&amp;h=8556" TargetMode="External"/><Relationship Id="rId1135" Type="http://schemas.openxmlformats.org/officeDocument/2006/relationships/hyperlink" Target="https://index.hu/belfold/2026/02/06/valasztas-kozvelemeny-kutatas-amerika-felmeres-fidesz-tisza-part-orban-viktor-magyar-peter/" TargetMode="External"/><Relationship Id="rId79" Type="http://schemas.openxmlformats.org/officeDocument/2006/relationships/hyperlink" Target="https://hvg.hu/360/20241128_Median-kozvelemenykutatas-november-Tisza-Magyar-Peter-Fidesz" TargetMode="External"/><Relationship Id="rId144" Type="http://schemas.openxmlformats.org/officeDocument/2006/relationships/hyperlink" Target="https://szazadveg.hu/hu/kutatasok/az-alapitvany-kutatasai/piackutatas-kozvelemeny-kutatas/aktivizalodott-a-fidesz-kdnp-tabor-hodmezovasarhely-utan" TargetMode="External"/><Relationship Id="rId589" Type="http://schemas.openxmlformats.org/officeDocument/2006/relationships/hyperlink" Target="https://publicus.hu/blog/partok-tamogatottsaga-az-osszefogas-szavazo-szuletese-2020-szeptember/" TargetMode="External"/><Relationship Id="rId796" Type="http://schemas.openxmlformats.org/officeDocument/2006/relationships/hyperlink" Target="https://nezopont.hu/a-magyarok-78-szazaleka-nem-erez-jelentos-emelkedest-a-rezsikoltsegekben/" TargetMode="External"/><Relationship Id="rId351" Type="http://schemas.openxmlformats.org/officeDocument/2006/relationships/hyperlink" Target="https://nezopontintezet.hu/2019/02/11/valtozatlan-a-fidesz-kdnp-tamogatottsaga/" TargetMode="External"/><Relationship Id="rId449" Type="http://schemas.openxmlformats.org/officeDocument/2006/relationships/hyperlink" Target="https://24.hu/belfold/2019/07/19/zavecz-300-ezerrel-nott-a-partnelkuliek-szama/" TargetMode="External"/><Relationship Id="rId656" Type="http://schemas.openxmlformats.org/officeDocument/2006/relationships/hyperlink" Target="http://www.zaveczresearch.hu/bovult-a-fidesz-es-a-jobbik-tabora-kielezett-maradt-a-verseny-a-kormanypartok-es-a-hatparti-ellenzek-kozott/" TargetMode="External"/><Relationship Id="rId863" Type="http://schemas.openxmlformats.org/officeDocument/2006/relationships/hyperlink" Target="https://www.zaveczresearch.hu/wp-content/uploads/2024/02/ZRI_Kispest_2023december_vegleges_bp.pptx" TargetMode="External"/><Relationship Id="rId1079" Type="http://schemas.openxmlformats.org/officeDocument/2006/relationships/hyperlink" Target="https://publicus.hu/blog/budapest-13-as-valasztokorzet-mi-a-helyzet-a-xv-keruletben/" TargetMode="External"/><Relationship Id="rId211" Type="http://schemas.openxmlformats.org/officeDocument/2006/relationships/hyperlink" Target="https://kozvelemenykutatok.hu/partpreferenciatrend/" TargetMode="External"/><Relationship Id="rId295" Type="http://schemas.openxmlformats.org/officeDocument/2006/relationships/hyperlink" Target="http://www.ideaintezet.hu/hirek-aktualis/11/veszely-nelkuli-zonaban-a-fidesz-kdnp--kuszob-alatti-lmp" TargetMode="External"/><Relationship Id="rId309" Type="http://schemas.openxmlformats.org/officeDocument/2006/relationships/hyperlink" Target="http://www.ideaintezet.hu/hirek-aktualis/12/fidesz-kdnp-es-jobbik--egyutt-vesztettek-tamogatokat-----erosodo-momentum" TargetMode="External"/><Relationship Id="rId516" Type="http://schemas.openxmlformats.org/officeDocument/2006/relationships/hyperlink" Target="https://publicus.hu/blog/partok-tamogatottsaga-2019-december/" TargetMode="External"/><Relationship Id="rId1146" Type="http://schemas.openxmlformats.org/officeDocument/2006/relationships/hyperlink" Target="https://nepszava.hu/3312324_fidesz-tisza-part-valasztas-2026-iranytu-gyozelem-intezet-felmeres" TargetMode="External"/><Relationship Id="rId723" Type="http://schemas.openxmlformats.org/officeDocument/2006/relationships/hyperlink" Target="https://hvg.hu/itthon/20211117_zavecz_kutatas_fidesz_ellenzek_lmp" TargetMode="External"/><Relationship Id="rId930" Type="http://schemas.openxmlformats.org/officeDocument/2006/relationships/hyperlink" Target="https://archiv.nezopont.hu/a-nezopont-intezet-valasztasok-elotti-utolso-nyilvanos-meresi-eredmenye/" TargetMode="External"/><Relationship Id="rId1006" Type="http://schemas.openxmlformats.org/officeDocument/2006/relationships/hyperlink" Target="https://www.mindenkipecsert.hu/2025/09/28/kozhangulat-pecsen/" TargetMode="External"/><Relationship Id="rId155" Type="http://schemas.openxmlformats.org/officeDocument/2006/relationships/hyperlink" Target="https://hvg.hu/itthon/20180314_median_kozvelemeny_kutatas_marcius" TargetMode="External"/><Relationship Id="rId362" Type="http://schemas.openxmlformats.org/officeDocument/2006/relationships/hyperlink" Target="https://publicus.hu/blog/partok-tamogatottsaga-es-potencialis-ep-egyuttmukodesek-2019-februar/" TargetMode="External"/><Relationship Id="rId222" Type="http://schemas.openxmlformats.org/officeDocument/2006/relationships/hyperlink" Target="https://docs.google.com/spreadsheets/d/1eitltXmNIU4tHgrYiaQPWPHaG4tN0xVSZO4w_k0mVyA/edit" TargetMode="External"/><Relationship Id="rId667" Type="http://schemas.openxmlformats.org/officeDocument/2006/relationships/hyperlink" Target="http://www.atv.hu/belfold/20210413-idea-tovabbra-is-vezet-az-ellenzek-a-kormanypartokkal-szemben" TargetMode="External"/><Relationship Id="rId874" Type="http://schemas.openxmlformats.org/officeDocument/2006/relationships/hyperlink" Target="https://magyarnemzet.hu/belfold/2024/05/igy-nyerhet-szentkiralyi-alexandra-budapesten" TargetMode="External"/><Relationship Id="rId17" Type="http://schemas.openxmlformats.org/officeDocument/2006/relationships/hyperlink" Target="https://index.hu/belfold/2025/08/08/kozvelemeny-kutatas-felmeres-fidesz-kdnp-tisza-part-orszaggyulesi-valasztasok-szabolcs-szatmar-bereg-varmegye-zuglo" TargetMode="External"/><Relationship Id="rId527" Type="http://schemas.openxmlformats.org/officeDocument/2006/relationships/hyperlink" Target="https://nepszava.hu/3065640_egeszsegugybol-egyest-adtak-a-kormanynak" TargetMode="External"/><Relationship Id="rId734" Type="http://schemas.openxmlformats.org/officeDocument/2006/relationships/hyperlink" Target="https://mandiner.hu/cikk/20220213_vezet_a_fidesz_a_kampany_kezdeten_realpr93_telefonos_felmeres_kozvelemenykutatas_belfold" TargetMode="External"/><Relationship Id="rId941" Type="http://schemas.openxmlformats.org/officeDocument/2006/relationships/hyperlink" Target="https://archiv.nezopont.hu/2014-ota-eloszor-egyszamjegyu-a-jobbik-az-lmp-es-a-fidesz-tovabb-erosodott/" TargetMode="External"/><Relationship Id="rId1157" Type="http://schemas.openxmlformats.org/officeDocument/2006/relationships/hyperlink" Target="https://web.archive.org/web/20140405143530/http:/kozvelemenykutatok.hu/stabil-fidesz-kdnp-elony-a-kampany-hajrajaban-szazadveg/" TargetMode="External"/><Relationship Id="rId70" Type="http://schemas.openxmlformats.org/officeDocument/2006/relationships/hyperlink" Target="https://21kutatokozpont.hu/wp-content/uploads/2021/11/21KK_repro_final.pdf" TargetMode="External"/><Relationship Id="rId166" Type="http://schemas.openxmlformats.org/officeDocument/2006/relationships/hyperlink" Target="http://publicus.hu/images/uploads/2018_03_ppref_all.png" TargetMode="External"/><Relationship Id="rId373" Type="http://schemas.openxmlformats.org/officeDocument/2006/relationships/hyperlink" Target="https://magyarnemzet.hu/belfold/nezopont-tovabb-nott-a-fidesz-kdnp-nepszerusege-6889859/" TargetMode="External"/><Relationship Id="rId580" Type="http://schemas.openxmlformats.org/officeDocument/2006/relationships/hyperlink" Target="http://www.zaveczresearch.hu/tetemes-a-fidesz-elonye-de-egy-ellenzeki-kozos-lista-megkozelitene/" TargetMode="External"/><Relationship Id="rId801" Type="http://schemas.openxmlformats.org/officeDocument/2006/relationships/hyperlink" Target="https://publicus.hu/blog/partok-tamogatottsaga-2022-december/" TargetMode="External"/><Relationship Id="rId1017" Type="http://schemas.openxmlformats.org/officeDocument/2006/relationships/hyperlink" Target="https://24.hu/belfold/2025/10/13/21-kutatokozpont-2025-oktober-partpreferencia-tisza-fidesz/" TargetMode="External"/><Relationship Id="rId1" Type="http://schemas.openxmlformats.org/officeDocument/2006/relationships/hyperlink" Target="https://www.facebook.com/ebenchmark.piacesvelemenykutato/posts/pfbid0YhWtFGce5bqgFMEMceEt4gyzFCwXFHose1JjyCs3exbkvv9oSiDv42dL7xHPfgf9l" TargetMode="External"/><Relationship Id="rId233" Type="http://schemas.openxmlformats.org/officeDocument/2006/relationships/hyperlink" Target="https://www.vasarnapihirek.hu/szerintem/beerte_a_jobbikot_az_mszp" TargetMode="External"/><Relationship Id="rId440" Type="http://schemas.openxmlformats.org/officeDocument/2006/relationships/hyperlink" Target="https://nezopontintezet.hu/2019/07/02/utcahosszal-vezet-a-fidesz-kdnp-az-ep-valasztas-utan/" TargetMode="External"/><Relationship Id="rId678" Type="http://schemas.openxmlformats.org/officeDocument/2006/relationships/hyperlink" Target="https://telex.hu/belfold/2021/04/30/aprilis-marcius-republikon-partpreferencia-valtozas-fidesz-erositett-a-bizonytalanoknal" TargetMode="External"/><Relationship Id="rId885" Type="http://schemas.openxmlformats.org/officeDocument/2006/relationships/hyperlink" Target="https://www.facebook.com/photo/?fbid=777897661091549&amp;set=a.508321001382551" TargetMode="External"/><Relationship Id="rId1070" Type="http://schemas.openxmlformats.org/officeDocument/2006/relationships/hyperlink" Target="https://www.facebook.com/21kutatokozpont/posts/pfbid02DoYiXNvVBrmFkmUKeLa9Pfm6zfqZiDwfaKXzxR8fFnbzH5WyL87CsgmujErzwF6kl" TargetMode="External"/><Relationship Id="rId28" Type="http://schemas.openxmlformats.org/officeDocument/2006/relationships/hyperlink" Target="https://24.hu/belfold/2025/06/30/21-kutatokozpont-tisza-part-fidesz-kozvelemeny-kutatas-2025-junius/" TargetMode="External"/><Relationship Id="rId300" Type="http://schemas.openxmlformats.org/officeDocument/2006/relationships/hyperlink" Target="https://publicus.hu/blog/partok-tamogatottsaga-2018-november/" TargetMode="External"/><Relationship Id="rId538" Type="http://schemas.openxmlformats.org/officeDocument/2006/relationships/hyperlink" Target="https://publicus.hu/blog/partok-tamogatottsaga-2020-marcius/" TargetMode="External"/><Relationship Id="rId745" Type="http://schemas.openxmlformats.org/officeDocument/2006/relationships/hyperlink" Target="https://azonnali.hu/cikk/20220329_publicus-szorosnak-igerkezik-a-vasarnapi-valasztas" TargetMode="External"/><Relationship Id="rId952" Type="http://schemas.openxmlformats.org/officeDocument/2006/relationships/hyperlink" Target="https://hirado.hu/2017/10/17/szazadveg-bukas-lenne-a-kozos-ellenzeki-jeloltallitas/" TargetMode="External"/><Relationship Id="rId1168" Type="http://schemas.openxmlformats.org/officeDocument/2006/relationships/hyperlink" Target="https://index.hu/belfold/2014/04/05/ipsos_erosdott_a_fidesz_a_jobbik_es_az_lmp/" TargetMode="External"/><Relationship Id="rId81" Type="http://schemas.openxmlformats.org/officeDocument/2006/relationships/hyperlink" Target="https://www.facebook.com/hvghu/posts/pfbid0kzHhAiE14yTkCLhHAUjJkv56VwK1GrGZ1oCNoaJR2wgKifXBr14pQAtaZHKjPTpul" TargetMode="External"/><Relationship Id="rId177" Type="http://schemas.openxmlformats.org/officeDocument/2006/relationships/hyperlink" Target="https://index.hu/belfold/2018/valasztas/2018/03/28/valasztasi_kampany_marcius_28-an/az_iranytu_intezet_szerint_gyengul_a_fidesz/" TargetMode="External"/><Relationship Id="rId384" Type="http://schemas.openxmlformats.org/officeDocument/2006/relationships/hyperlink" Target="https://publicus.hu/blog/partok-orszaggyulesi-es-ep-tamogatottsaga-2019-marcius/" TargetMode="External"/><Relationship Id="rId591" Type="http://schemas.openxmlformats.org/officeDocument/2006/relationships/hyperlink" Target="https://hvg.hu/360/20201021_Median_ellenzeki_politikusok_nepszerusege" TargetMode="External"/><Relationship Id="rId605" Type="http://schemas.openxmlformats.org/officeDocument/2006/relationships/hyperlink" Target="https://24.hu/belfold/2020/11/20/idea-intezet-mar-fidesz-feletti-az-ellenzek-ossztamogatottsaga-a-teljes-nepessegen-belul/" TargetMode="External"/><Relationship Id="rId812" Type="http://schemas.openxmlformats.org/officeDocument/2006/relationships/hyperlink" Target="http://iranytuintezet.hu/elemzesek-kutatasok/mind/253-az-egyes-partok-szavazotaboranak-szociodemografiai-osszetetele-es-a-partpreferenciak-alakulasa-2023.-i.-negyedeveben/" TargetMode="External"/><Relationship Id="rId1028" Type="http://schemas.openxmlformats.org/officeDocument/2006/relationships/hyperlink" Target="https://www.mindenkipecsert.hu/2025/09/28/kozhangulat-pecsen/" TargetMode="External"/><Relationship Id="rId244" Type="http://schemas.openxmlformats.org/officeDocument/2006/relationships/hyperlink" Target="https://nezopontintezet.hu/2018/07/25/lejtmenetben-a-jobbik/" TargetMode="External"/><Relationship Id="rId689" Type="http://schemas.openxmlformats.org/officeDocument/2006/relationships/hyperlink" Target="https://szazadveg.hu/hu/2021/05/28/a-budapestiek-kozepes-gyengere-ertekelik-karacsony-gergely-fopolgarmesteri-teljesitmenyet~n1865" TargetMode="External"/><Relationship Id="rId896" Type="http://schemas.openxmlformats.org/officeDocument/2006/relationships/hyperlink" Target="https://hvg.hu/360/20240911_Median-meres-Gyorsabban-fogy-a-Fidesz-elonye-mint-Orban-Viktor-Tisza-Magyar-Peter-DK" TargetMode="External"/><Relationship Id="rId1081" Type="http://schemas.openxmlformats.org/officeDocument/2006/relationships/hyperlink" Target="https://iranytuintezet.hu/kutatas/az-egyes-partok-szavazotaboranak-szociodemografiai-osszetetele-2" TargetMode="External"/><Relationship Id="rId39" Type="http://schemas.openxmlformats.org/officeDocument/2006/relationships/hyperlink" Target="https://publicus.hu/wp-content/uploads/2019/03/2019_03_ppef_detail.png" TargetMode="External"/><Relationship Id="rId451" Type="http://schemas.openxmlformats.org/officeDocument/2006/relationships/hyperlink" Target="https://nezopontintezet.hu/en/2019/08/05/fidesz-kdnp-leads-by-40-percentage-point-advantage/" TargetMode="External"/><Relationship Id="rId549" Type="http://schemas.openxmlformats.org/officeDocument/2006/relationships/hyperlink" Target="https://publicus.hu/blog/partok-tamogatottsaga-2020-marcius-vege/" TargetMode="External"/><Relationship Id="rId756" Type="http://schemas.openxmlformats.org/officeDocument/2006/relationships/hyperlink" Target="https://telex.hu/valasztas-2022/2022/03/30/republikon-a-dolgozo-magyarok-28-szazaleka-inkabb-elhagyna-az-orszagot-ha-orban-hatalmon-marad" TargetMode="External"/><Relationship Id="rId1179" Type="http://schemas.openxmlformats.org/officeDocument/2006/relationships/hyperlink" Target="https://web.archive.org/web/20220124070827/https:/nezopont.hu/a-fidesz-az-eselyes-a-kampanystart-elott/" TargetMode="External"/><Relationship Id="rId104" Type="http://schemas.openxmlformats.org/officeDocument/2006/relationships/hyperlink" Target="http://old.tarki.hu/hu/news/2018/kitekint/20180129_valasztas.html" TargetMode="External"/><Relationship Id="rId188" Type="http://schemas.openxmlformats.org/officeDocument/2006/relationships/hyperlink" Target="https://www.origo.hu/itthon/valasztas2018/20180403-fidesz-kdnp-felmeres-szazadveg.html" TargetMode="External"/><Relationship Id="rId311" Type="http://schemas.openxmlformats.org/officeDocument/2006/relationships/hyperlink" Target="https://hvg.hu/itthon/201845__partok_es_politikusok_nepszerusege__erosodo_fidesz__ingatagok" TargetMode="External"/><Relationship Id="rId395" Type="http://schemas.openxmlformats.org/officeDocument/2006/relationships/hyperlink" Target="https://nezopontintezet.hu/2019/05/03/a-fidesz-nyerte-a-kampanykezdest/" TargetMode="External"/><Relationship Id="rId409" Type="http://schemas.openxmlformats.org/officeDocument/2006/relationships/hyperlink" Target="https://magyarhang.org/belfold/2019/05/04/oriasi-kulonbsegek-ket-egyideju-zavecz-meresben/" TargetMode="External"/><Relationship Id="rId963" Type="http://schemas.openxmlformats.org/officeDocument/2006/relationships/hyperlink" Target="https://balrad.hu/tag/valasztas/page/3/" TargetMode="External"/><Relationship Id="rId1039" Type="http://schemas.openxmlformats.org/officeDocument/2006/relationships/hyperlink" Target="https://republikon.hu/elemzesek,-kutatasok/251107_politikusok-nepszerusege.aspx" TargetMode="External"/><Relationship Id="rId92" Type="http://schemas.openxmlformats.org/officeDocument/2006/relationships/hyperlink" Target="http://www.zaveczresearch.hu/alacsony-aktivitas-valtozatlan-eroviszonyok/" TargetMode="External"/><Relationship Id="rId616" Type="http://schemas.openxmlformats.org/officeDocument/2006/relationships/hyperlink" Target="http://www.zaveczresearch.hu/elonyben-a-hatparti-ellenzek/" TargetMode="External"/><Relationship Id="rId823" Type="http://schemas.openxmlformats.org/officeDocument/2006/relationships/hyperlink" Target="https://hvg.hu/360/20230427_hvg_Median_kozvelemeny_kutatas_felmeres_Budapest_Karacsony_Gergely_fopolgarmester_fovaros_penzugyi_helyzet" TargetMode="External"/><Relationship Id="rId255" Type="http://schemas.openxmlformats.org/officeDocument/2006/relationships/hyperlink" Target="https://docs.google.com/spreadsheets/d/1eitltXmNIU4tHgrYiaQPWPHaG4tN0xVSZO4w_k0mVyA/edit" TargetMode="External"/><Relationship Id="rId462" Type="http://schemas.openxmlformats.org/officeDocument/2006/relationships/hyperlink" Target="https://nepszava.hu/3046701_zavecz-megelozi-az-ellenzek-a-fideszt-budapesten" TargetMode="External"/><Relationship Id="rId1092" Type="http://schemas.openxmlformats.org/officeDocument/2006/relationships/hyperlink" Target="https://publicus.hu/blog/a-2025-os-esztendo-legjei/" TargetMode="External"/><Relationship Id="rId1106" Type="http://schemas.openxmlformats.org/officeDocument/2006/relationships/hyperlink" Target="https://www.atv.hu/belfold/20260123/budapest-kutatas-eredmeny-dk-varju/" TargetMode="External"/><Relationship Id="rId115" Type="http://schemas.openxmlformats.org/officeDocument/2006/relationships/hyperlink" Target="https://regi.szazadveg.hu/hu/kutatasok/az-alapitvany-kutatasai/piackutatas-kozvelemeny-kutatas/stabil-fidesz-kdnp-elony-erosodo-lmp" TargetMode="External"/><Relationship Id="rId322" Type="http://schemas.openxmlformats.org/officeDocument/2006/relationships/hyperlink" Target="https://magyarnemzet.hu/belfold/nezopont-tovabb-nott-a-fidesz-kdnp-nepszerusege-6889859/" TargetMode="External"/><Relationship Id="rId767" Type="http://schemas.openxmlformats.org/officeDocument/2006/relationships/hyperlink" Target="https://nezopont.hu/mindenki-tamogatja-a-magyar-rendszamuak-benzinarat/" TargetMode="External"/><Relationship Id="rId974" Type="http://schemas.openxmlformats.org/officeDocument/2006/relationships/hyperlink" Target="https://web.archive.org/web/20180412035636/https:/mno.hu/belfold/iranytu-intezet-a-dk-es-az-lmp-is-beerte-az-mszp-t-2433521" TargetMode="External"/><Relationship Id="rId199" Type="http://schemas.openxmlformats.org/officeDocument/2006/relationships/hyperlink" Target="https://index.hu/belfold/2018/valasztas/2018/04/05/fidesz_gyozelmet_josol_a_nezopont/" TargetMode="External"/><Relationship Id="rId627" Type="http://schemas.openxmlformats.org/officeDocument/2006/relationships/hyperlink" Target="http://ideaintezet.hu/hu/hirek-aktualis/49/lassan--de-morzsolodik-a-fidesz-tabor" TargetMode="External"/><Relationship Id="rId834" Type="http://schemas.openxmlformats.org/officeDocument/2006/relationships/hyperlink" Target="https://drive.google.com/file/d/1cyI7LbLhqAf-Pw_sT12P6MoLGYYB47jT/view?fbclid=IwAR2Ol7Brr8T7Lv15LFw64GLp0lgOE_iruRvZEbz0IrND9Oepgu5fbe1Z2iw" TargetMode="External"/><Relationship Id="rId266" Type="http://schemas.openxmlformats.org/officeDocument/2006/relationships/hyperlink" Target="https://kozvelemenykutatok.hu/partpreferenciatrend/" TargetMode="External"/><Relationship Id="rId473" Type="http://schemas.openxmlformats.org/officeDocument/2006/relationships/hyperlink" Target="https://hvg.hu/itthon/20190920_Zavecz_Egyedul_a_Fidesz_tamogatottsaga_nott_szeptemberben" TargetMode="External"/><Relationship Id="rId680" Type="http://schemas.openxmlformats.org/officeDocument/2006/relationships/hyperlink" Target="https://444.hu/2021/05/06/publicus-kicsit-nepszerubb-az-ellenzeki-osszefogas-a-fidesz-kdnp-szovetsegenel" TargetMode="External"/><Relationship Id="rId901" Type="http://schemas.openxmlformats.org/officeDocument/2006/relationships/hyperlink" Target="https://demokrata.hu/magyarorszag/felmeres-a-fidesz-erosodott-a-baloldal-es-marki-zay-csak-lefele-megy-488482/" TargetMode="External"/><Relationship Id="rId1117" Type="http://schemas.openxmlformats.org/officeDocument/2006/relationships/hyperlink" Target="https://hvg.hu/gazdasag/20260130_21-kutatokozpont-szoros-a-verseny-bekes-2-ben-bekes-4-ben-a-tisza-jeloltje-vezet" TargetMode="External"/><Relationship Id="rId30" Type="http://schemas.openxmlformats.org/officeDocument/2006/relationships/hyperlink" Target="https://24.hu/belfold/2025/06/30/21-kutatokozpont-tisza-part-fidesz-kozvelemeny-kutatas-2025-junius/" TargetMode="External"/><Relationship Id="rId126" Type="http://schemas.openxmlformats.org/officeDocument/2006/relationships/hyperlink" Target="http://publicus.hu/blog/partok_tamogatottsaga_es_egyes_politikusok_nepszersege_2018_februar/" TargetMode="External"/><Relationship Id="rId333" Type="http://schemas.openxmlformats.org/officeDocument/2006/relationships/hyperlink" Target="https://index.hu/belfold/2019/04/17/partok_tamogatottsaga_partpreferencia_kozvelemeny-kutatas_fidesz_jobbik_mszp_zavecz_research/" TargetMode="External"/><Relationship Id="rId540" Type="http://schemas.openxmlformats.org/officeDocument/2006/relationships/hyperlink" Target="http://www.zaveczresearch.hu/tartos-parteroviszonyok-zri-kozvelemenykutatas/" TargetMode="External"/><Relationship Id="rId778" Type="http://schemas.openxmlformats.org/officeDocument/2006/relationships/hyperlink" Target="http://www.ideaintezet.hu/hu/hirek-aktualis/87/ujra-van-olyan-ellenzeki-part--melynek-tamogatottsaga-kettessel-kezdodik-es-ketszamjegyu" TargetMode="External"/><Relationship Id="rId985" Type="http://schemas.openxmlformats.org/officeDocument/2006/relationships/hyperlink" Target="http://hvg.hu/itthon/201744_medianfelmeres_elony_afidesznel" TargetMode="External"/><Relationship Id="rId1170" Type="http://schemas.openxmlformats.org/officeDocument/2006/relationships/hyperlink" Target="https://hvg.hu/itthon/201414_rejt_a_palya" TargetMode="External"/><Relationship Id="rId638" Type="http://schemas.openxmlformats.org/officeDocument/2006/relationships/hyperlink" Target="https://24.hu/belfold/2021/02/04/orban-tamogatottsaga-nott-gyozhet-az-ellenzeki-lista/" TargetMode="External"/><Relationship Id="rId845" Type="http://schemas.openxmlformats.org/officeDocument/2006/relationships/hyperlink" Target="https://publicus.hu/blog/tizbol-heten-elegedettek-veres-pal-miskolci-polgarmester-eddigi-munkajaval/" TargetMode="External"/><Relationship Id="rId1030" Type="http://schemas.openxmlformats.org/officeDocument/2006/relationships/hyperlink" Target="https://www.mecsekimuzli.com/median-felmeres-kozhangulat-mpe-magyar-peter-peterffy-mellar/" TargetMode="External"/><Relationship Id="rId277" Type="http://schemas.openxmlformats.org/officeDocument/2006/relationships/hyperlink" Target="https://nepszava.hu/3019793_rabszolgatorveny-egyre-tobben-latjak-ugy-hogy-rossz-iranyba-mennek-a-dolgok" TargetMode="External"/><Relationship Id="rId400" Type="http://schemas.openxmlformats.org/officeDocument/2006/relationships/hyperlink" Target="https://szazadveg.hu/hu/kutatasok/az-alapitvany-kutatasai/piackutatas-kozvelemeny-kutatas/eros-kormanyparti-gyozelem-varhato-az-ep-valasztasokon" TargetMode="External"/><Relationship Id="rId484" Type="http://schemas.openxmlformats.org/officeDocument/2006/relationships/hyperlink" Target="http://publicus.hu/blog/partok_tamogatottsaga_szakertoi_becsles_2018_aprilis/" TargetMode="External"/><Relationship Id="rId705" Type="http://schemas.openxmlformats.org/officeDocument/2006/relationships/hyperlink" Target="http://republikon.hu/3509.aspx" TargetMode="External"/><Relationship Id="rId1128" Type="http://schemas.openxmlformats.org/officeDocument/2006/relationships/hyperlink" Target="https://ahang.hu/a-valasztok-tobbsege-szerint-magyar-peter-gyozne-egy-miniszterelnok-jelolti-vitan/" TargetMode="External"/><Relationship Id="rId137" Type="http://schemas.openxmlformats.org/officeDocument/2006/relationships/hyperlink" Target="http://republikon.hu/media/38494/republikon_kutatas_prez_1802.pdf" TargetMode="External"/><Relationship Id="rId344" Type="http://schemas.openxmlformats.org/officeDocument/2006/relationships/hyperlink" Target="https://publicus.hu/blog/partok-tamogatottsaga-2019-januar/" TargetMode="External"/><Relationship Id="rId691" Type="http://schemas.openxmlformats.org/officeDocument/2006/relationships/hyperlink" Target="https://hvg.hu/360/20210616_Miniszterelnokjelolti_verseny_tisztulo_kep" TargetMode="External"/><Relationship Id="rId789" Type="http://schemas.openxmlformats.org/officeDocument/2006/relationships/hyperlink" Target="https://www.facebook.com/valasztasi.kalauz/posts/pfbid028udR3YQKwkFLJKytTNKzJC88KwBViuWZGN3b2U8LA4o22vKUZrLaYWnaQ9p7qvhwl" TargetMode="External"/><Relationship Id="rId912" Type="http://schemas.openxmlformats.org/officeDocument/2006/relationships/hyperlink" Target="https://publicus.hu/blog/partok-tamogatottsaga-2019-december/" TargetMode="External"/><Relationship Id="rId996" Type="http://schemas.openxmlformats.org/officeDocument/2006/relationships/hyperlink" Target="https://hvg.hu/itthon/201750_medianfelmeres_befagyva" TargetMode="External"/><Relationship Id="rId41" Type="http://schemas.openxmlformats.org/officeDocument/2006/relationships/hyperlink" Target="https://szazadveg.hu/hu/2021/10/26/a-demokratikus-koalicio-eloretort-karacsony-gergely-tamogatottsaga-osszeomlott-budapesten~n2093" TargetMode="External"/><Relationship Id="rId551" Type="http://schemas.openxmlformats.org/officeDocument/2006/relationships/hyperlink" Target="https://nepszava.hu/3077160_visszalengett-az-inga--a-publicus-szerint-erosodott-az-ellenzek" TargetMode="External"/><Relationship Id="rId649" Type="http://schemas.openxmlformats.org/officeDocument/2006/relationships/hyperlink" Target="https://hvg.hu/360/20210512_Median_Jarvanyban_eloz_a_Fidesz" TargetMode="External"/><Relationship Id="rId856" Type="http://schemas.openxmlformats.org/officeDocument/2006/relationships/hyperlink" Target="https://www.facebook.com/ideaintezet/posts/pfbid0ZC6cKzSracDeE8wESq7G1UzEaFco2N74kyVX3pthRhG7JnASBoVunw1mgKKLMJGSl" TargetMode="External"/><Relationship Id="rId1181" Type="http://schemas.openxmlformats.org/officeDocument/2006/relationships/hyperlink" Target="https://www.facebook.com/TordaiBence/posts/pfbid0rqzJZwF1N6kex12SMc2miK7rUMDH7HnHmdoNrbYcrgFECx4eWS3GHCiiURnDvao7l" TargetMode="External"/><Relationship Id="rId190" Type="http://schemas.openxmlformats.org/officeDocument/2006/relationships/hyperlink" Target="https://www.ideaintezet.hu/hirek-aktualis/7/nem-eleg-hallani-az-eselyes-jeloltrol--tudni-is-kell--ki-az" TargetMode="External"/><Relationship Id="rId204" Type="http://schemas.openxmlformats.org/officeDocument/2006/relationships/hyperlink" Target="https://m.hvg.hu/360/hetilap360/2018/14/20181405magyar3" TargetMode="External"/><Relationship Id="rId288" Type="http://schemas.openxmlformats.org/officeDocument/2006/relationships/hyperlink" Target="https://hvg.hu/itthon/201845__partok_es_politikusok_nepszerusege__erosodo_fidesz__ingatagok" TargetMode="External"/><Relationship Id="rId411" Type="http://schemas.openxmlformats.org/officeDocument/2006/relationships/hyperlink" Target="https://alfahir.hu/2019/05/14/jobbik_ep_valasztas_2019_iranytu_intezet" TargetMode="External"/><Relationship Id="rId509" Type="http://schemas.openxmlformats.org/officeDocument/2006/relationships/hyperlink" Target="https://publicus.hu/blog/partok-tamogatottsaga-2019-december/" TargetMode="External"/><Relationship Id="rId1041" Type="http://schemas.openxmlformats.org/officeDocument/2006/relationships/hyperlink" Target="https://index.hu/kulfold/2025/09/18/magyarorszag-john-mclaughlin-donald-trump-orban-viktor-magyar-peter-kozvelemeny-kutatas-fidesz-kdnp-tisza-part-interju/" TargetMode="External"/><Relationship Id="rId1139" Type="http://schemas.openxmlformats.org/officeDocument/2006/relationships/hyperlink" Target="https://hvg.hu/360/20260128_median-tisza-fidesz-partpreferenciak-biztos-szavazok-partpreferenciak-demografiai-jellemzok" TargetMode="External"/><Relationship Id="rId495" Type="http://schemas.openxmlformats.org/officeDocument/2006/relationships/hyperlink" Target="https://www.magyarhirlap.hu/belfold/20191112-nezopont-tovabbra-is-orzi-elonyet-a-fidesz" TargetMode="External"/><Relationship Id="rId716" Type="http://schemas.openxmlformats.org/officeDocument/2006/relationships/hyperlink" Target="https://hvg.hu/360/20211013_Partos_partatlan_Valasztasi_szonda" TargetMode="External"/><Relationship Id="rId923" Type="http://schemas.openxmlformats.org/officeDocument/2006/relationships/hyperlink" Target="https://web.archive.org/web/20171222222010/http:/www.publicus.hu/blog/partok_tamogatottsaga_es_egyes_politikusok_nepszerusege_2017_december/" TargetMode="External"/><Relationship Id="rId52" Type="http://schemas.openxmlformats.org/officeDocument/2006/relationships/hyperlink" Target="https://archiv.nezopont.hu/tarlos-istvan-elonyet-merik-a-kutatointezetek/" TargetMode="External"/><Relationship Id="rId148" Type="http://schemas.openxmlformats.org/officeDocument/2006/relationships/hyperlink" Target="https://mno.hu/belfold/amortizaljak-a-botranyok-a-kormanyparti-elonyt-2451954" TargetMode="External"/><Relationship Id="rId355" Type="http://schemas.openxmlformats.org/officeDocument/2006/relationships/hyperlink" Target="https://nezopontintezet.hu/2019/03/01/5427/" TargetMode="External"/><Relationship Id="rId562" Type="http://schemas.openxmlformats.org/officeDocument/2006/relationships/hyperlink" Target="https://nezopont.hu/a-jobbik-2022-re-folosleges-lehet/" TargetMode="External"/><Relationship Id="rId215" Type="http://schemas.openxmlformats.org/officeDocument/2006/relationships/hyperlink" Target="https://nezopontintezet.hu/2018/05/08/a-fidesz-kdnp-vel-szimpatizal-a-tobbseg/" TargetMode="External"/><Relationship Id="rId422" Type="http://schemas.openxmlformats.org/officeDocument/2006/relationships/hyperlink" Target="https://hvg.hu/itthon/201921_mozdulnake" TargetMode="External"/><Relationship Id="rId867" Type="http://schemas.openxmlformats.org/officeDocument/2006/relationships/hyperlink" Target="https://nepszava.hu/3219346_lazar-janos-kozossegi-kozlekedes-tarifakedvezmeny-valasztasok-budapest" TargetMode="External"/><Relationship Id="rId1052" Type="http://schemas.openxmlformats.org/officeDocument/2006/relationships/hyperlink" Target="https://republikon.hu/elemzesek,-kutatasok/251203-havi.aspx" TargetMode="External"/><Relationship Id="rId299" Type="http://schemas.openxmlformats.org/officeDocument/2006/relationships/hyperlink" Target="https://www.vasarnapihirek.hu/friss/harmadot_bukott_a_jobbik" TargetMode="External"/><Relationship Id="rId727" Type="http://schemas.openxmlformats.org/officeDocument/2006/relationships/hyperlink" Target="https://www.nyugat.hu/cikk/zavecz_szerint_szombathely_ellenzekinek_szamit" TargetMode="External"/><Relationship Id="rId934" Type="http://schemas.openxmlformats.org/officeDocument/2006/relationships/hyperlink" Target="https://nezopontintezet.hu/wp-content/uploads/2018/01/P%C3%A1rtpref-janu%C3%A1r.png" TargetMode="External"/><Relationship Id="rId63" Type="http://schemas.openxmlformats.org/officeDocument/2006/relationships/hyperlink" Target="https://www.portfolio.hu/gazdasag/20250415/nagy-a-baj-az-arcsokkenessel-nem-erzik-a-magyarok-755181" TargetMode="External"/><Relationship Id="rId159" Type="http://schemas.openxmlformats.org/officeDocument/2006/relationships/hyperlink" Target="https://nezopontintezet.hu/wp-content/uploads/2018/03/Nezopont_Intezet_kutatas20180328.png" TargetMode="External"/><Relationship Id="rId366" Type="http://schemas.openxmlformats.org/officeDocument/2006/relationships/hyperlink" Target="http://www.ideaintezet.hu/hirek-aktualis/15/hvg-hu---idea--a-baloldal-semmit-nem-profitalt-a-tuloratorvenyes-tiltakozasokbol" TargetMode="External"/><Relationship Id="rId573" Type="http://schemas.openxmlformats.org/officeDocument/2006/relationships/hyperlink" Target="https://nezopontintezet.hu/2020/07/09/kockazatos-a-kozos-lista/" TargetMode="External"/><Relationship Id="rId780" Type="http://schemas.openxmlformats.org/officeDocument/2006/relationships/hyperlink" Target="https://publicus.hu/blog/tizbol-heten-a-sztrajkolo-tanarok-mellett-vannak/" TargetMode="External"/><Relationship Id="rId226" Type="http://schemas.openxmlformats.org/officeDocument/2006/relationships/hyperlink" Target="https://kozvelemenykutatok.hu/partpreferenciatrend/" TargetMode="External"/><Relationship Id="rId433" Type="http://schemas.openxmlformats.org/officeDocument/2006/relationships/hyperlink" Target="https://24.hu/belfold/2019/06/17/zavecz-tovabb-tart-a-fidesz-a-dk-es-a-momentum-lendulete/" TargetMode="External"/><Relationship Id="rId878" Type="http://schemas.openxmlformats.org/officeDocument/2006/relationships/hyperlink" Target="https://magyarnemzet.hu/belfold/2024/05/erdekes-helyzetet-teremthetnek-a-partlistak-a-fovarosi-kozgyules-osszeteteleben" TargetMode="External"/><Relationship Id="rId1063" Type="http://schemas.openxmlformats.org/officeDocument/2006/relationships/hyperlink" Target="https://telex.hu/belfold/2025/12/10/political-capital-kutatas-megosztottag" TargetMode="External"/><Relationship Id="rId640" Type="http://schemas.openxmlformats.org/officeDocument/2006/relationships/hyperlink" Target="https://publicus.hu/blog/tobbseg-szerint-karacsony-alkalmas-lenne-miniszterelnok-jeloltnek/" TargetMode="External"/><Relationship Id="rId738" Type="http://schemas.openxmlformats.org/officeDocument/2006/relationships/hyperlink" Target="https://www.amnesty.hu/ervenytelennek-igerkezik-a-kormany-propaganda-nepszavazasa/" TargetMode="External"/><Relationship Id="rId945" Type="http://schemas.openxmlformats.org/officeDocument/2006/relationships/hyperlink" Target="https://mandiner.hu/belfold/2017/10/nezopont-nott-a-fidesz-es-az-lmp-csokkent-a-jobbik-es-az-mszp" TargetMode="External"/><Relationship Id="rId74" Type="http://schemas.openxmlformats.org/officeDocument/2006/relationships/hyperlink" Target="http://republikon.hu/elemzesek,-kutatasok/24-05-03_kvk-aprilis.aspx" TargetMode="External"/><Relationship Id="rId377" Type="http://schemas.openxmlformats.org/officeDocument/2006/relationships/hyperlink" Target="https://nepszava.hu/3030602_az-mszp-szavazoi-a-legelkotelezettebbek-egyre-tobben-elegedetlenek-az-orszag-allapotaval" TargetMode="External"/><Relationship Id="rId500" Type="http://schemas.openxmlformats.org/officeDocument/2006/relationships/hyperlink" Target="http://www.ideaintezet.hu/hu/hirek-aktualis/27/karacsony-gergely-a-legnepszerubb-politikus-az-ellenzeki-szavazok-koreben" TargetMode="External"/><Relationship Id="rId584" Type="http://schemas.openxmlformats.org/officeDocument/2006/relationships/hyperlink" Target="https://publicus.hu/blog/egy-lista-elovalasztas-es-kozos-miniszterelnok-jelolt-noveli-inkabb-az-ellenzek-gyozelmi-eselyeit/" TargetMode="External"/><Relationship Id="rId805" Type="http://schemas.openxmlformats.org/officeDocument/2006/relationships/hyperlink" Target="https://21kutatokozpont.hu/wp-content/uploads/2021/11/politikus_gyors.pdf" TargetMode="External"/><Relationship Id="rId1130" Type="http://schemas.openxmlformats.org/officeDocument/2006/relationships/hyperlink" Target="https://www.instagram.com/p/DUJCXFojc2p/" TargetMode="External"/><Relationship Id="rId5" Type="http://schemas.openxmlformats.org/officeDocument/2006/relationships/hyperlink" Target="https://demokrata.hu/kozvelemeny-kutatas/on-kit-valasztana-30-242516/" TargetMode="External"/><Relationship Id="rId237" Type="http://schemas.openxmlformats.org/officeDocument/2006/relationships/hyperlink" Target="https://nezopontintezet.hu/2018/06/30/a-2014-es-valasztasok-ota-nem-volt-ilyen-magas-a-fidesz-kdnp-tamogatottsaga/" TargetMode="External"/><Relationship Id="rId791" Type="http://schemas.openxmlformats.org/officeDocument/2006/relationships/hyperlink" Target="http://www.ideaintezet.hu/hu/hirek-aktualis/88/megallt-a-partpreferenciak-jelentosebb-mozgasa------2022--november-" TargetMode="External"/><Relationship Id="rId889" Type="http://schemas.openxmlformats.org/officeDocument/2006/relationships/hyperlink" Target="https://nepszava.hu/3243147_haborus-propaganda-orban-kormany-felmeres-publicus" TargetMode="External"/><Relationship Id="rId1074" Type="http://schemas.openxmlformats.org/officeDocument/2006/relationships/hyperlink" Target="https://hvg.hu/360/20251217_Median-kicsit-meg-a-gyerekvallalasi-kedvet-is-novelne-ha-a-Tisza-nyerne-a-valasztast" TargetMode="External"/><Relationship Id="rId444" Type="http://schemas.openxmlformats.org/officeDocument/2006/relationships/hyperlink" Target="https://index.hu/belfold/2019/07/10/median_kozvelemeny-kutatas_momentum_dk/" TargetMode="External"/><Relationship Id="rId651" Type="http://schemas.openxmlformats.org/officeDocument/2006/relationships/hyperlink" Target="https://publicus.hu/blog/partok-tamogatottsaga-2021-februar/" TargetMode="External"/><Relationship Id="rId749" Type="http://schemas.openxmlformats.org/officeDocument/2006/relationships/hyperlink" Target="https://magyarnemzet.hu/belfold/2022/03/nezopont-a-fideszkdnp-47-az-egyesult-baloldal-42-szazalekon-all-a-valasztasok-elott-egy-hettel" TargetMode="External"/><Relationship Id="rId290" Type="http://schemas.openxmlformats.org/officeDocument/2006/relationships/hyperlink" Target="https://szazadveg.hu/hu/kutatasok/az-alapitvany-kutatasai/piackutatas-kozvelemeny-kutatas/eros-kormanyparti-gyozelem-varhato-az-ep-valasztasokon" TargetMode="External"/><Relationship Id="rId304" Type="http://schemas.openxmlformats.org/officeDocument/2006/relationships/hyperlink" Target="https://publicus.hu/blog/partok-tamogatottsaga-2018-november/" TargetMode="External"/><Relationship Id="rId388" Type="http://schemas.openxmlformats.org/officeDocument/2006/relationships/hyperlink" Target="https://hvg.hu/itthon/20190417_Median_Az_MSZP_beerte_a_Jobbikot_a_Fidesz_ismet_erosodott" TargetMode="External"/><Relationship Id="rId511" Type="http://schemas.openxmlformats.org/officeDocument/2006/relationships/hyperlink" Target="https://24.hu/kozelet/2019/12/16/karacsony-gergely-ellenzeki-szimpatia-ismertseg/" TargetMode="External"/><Relationship Id="rId609" Type="http://schemas.openxmlformats.org/officeDocument/2006/relationships/hyperlink" Target="https://publicus.hu/blog/fele-annyian-oltatnak-magukat-keleti-mint-nyugati-vakcinaval/" TargetMode="External"/><Relationship Id="rId956" Type="http://schemas.openxmlformats.org/officeDocument/2006/relationships/hyperlink" Target="https://szazadveg.hu/hu/kutatasok/az-alapitvany-kutatasai/piackutatas-kozvelemeny-kutatas/tovabb-erosodott-a-fidesz-kdnp" TargetMode="External"/><Relationship Id="rId1141" Type="http://schemas.openxmlformats.org/officeDocument/2006/relationships/hyperlink" Target="https://tenyek.hu/politika/2025/12/tobb-kulcsfontossagu-valasztokeruletben-is-jelentosen-vezet-a-fidesz-a-tisza-elott" TargetMode="External"/><Relationship Id="rId85" Type="http://schemas.openxmlformats.org/officeDocument/2006/relationships/hyperlink" Target="https://nepszava.hu/3259022_tisza-part-fidesz-publicus-intezet-felmeres-elony-hangfelvetel" TargetMode="External"/><Relationship Id="rId150" Type="http://schemas.openxmlformats.org/officeDocument/2006/relationships/hyperlink" Target="https://mno.hu/belfold/amortizaljak-a-botranyok-a-kormanyparti-elonyt-2451954" TargetMode="External"/><Relationship Id="rId595" Type="http://schemas.openxmlformats.org/officeDocument/2006/relationships/hyperlink" Target="http://iranytuintezet.hu/letoltes/?file=/shared/elemzesek/kutat%C3%A1s_2020%20okt%C3%B3ber.pdf" TargetMode="External"/><Relationship Id="rId816" Type="http://schemas.openxmlformats.org/officeDocument/2006/relationships/hyperlink" Target="https://hvg.hu/360/20230308_Median_Kutyafuttatas" TargetMode="External"/><Relationship Id="rId1001" Type="http://schemas.openxmlformats.org/officeDocument/2006/relationships/hyperlink" Target="https://www.mindenkipecsert.hu/2025/09/28/kozhangulat-pecsen/" TargetMode="External"/><Relationship Id="rId248" Type="http://schemas.openxmlformats.org/officeDocument/2006/relationships/hyperlink" Target="https://publicus.hu/blog/partok-tamogatottsaga-2018-oktober/" TargetMode="External"/><Relationship Id="rId455" Type="http://schemas.openxmlformats.org/officeDocument/2006/relationships/hyperlink" Target="https://nepszava.hu/3045777_az-ellenzeki-partok-fej-fej-mellett-nezik-messzirol-a-fidesz-hatat" TargetMode="External"/><Relationship Id="rId662" Type="http://schemas.openxmlformats.org/officeDocument/2006/relationships/hyperlink" Target="https://designrr.page/?id=71673&amp;token=2044092031&amp;type=FP" TargetMode="External"/><Relationship Id="rId1085" Type="http://schemas.openxmlformats.org/officeDocument/2006/relationships/hyperlink" Target="https://21kutatokozpont.hu/ado_kampany.html" TargetMode="External"/><Relationship Id="rId12" Type="http://schemas.openxmlformats.org/officeDocument/2006/relationships/hyperlink" Target="https://demokrata.hu/magyarorszag/felmeres-a-fidesz-erosodott-a-baloldal-es-marki-zay-csak-lefele-megy-488482/" TargetMode="External"/><Relationship Id="rId108" Type="http://schemas.openxmlformats.org/officeDocument/2006/relationships/hyperlink" Target="https://szazadveg.hu/hu/kutatasok/az-alapitvany-kutatasai/piackutatas-kozvelemeny-kutatas/valtozatlan-fidesz-kdnp-foleny" TargetMode="External"/><Relationship Id="rId315" Type="http://schemas.openxmlformats.org/officeDocument/2006/relationships/hyperlink" Target="https://hvg.hu/itthon/201845__partok_es_politikusok_nepszerusege__erosodo_fidesz__ingatagok" TargetMode="External"/><Relationship Id="rId522" Type="http://schemas.openxmlformats.org/officeDocument/2006/relationships/hyperlink" Target="https://nezopontintezet.hu/2020/01/29/valtozatlanul-vezet-a-fidesz-kdnp-a-teljes-ellenzekkel-szemben/" TargetMode="External"/><Relationship Id="rId967" Type="http://schemas.openxmlformats.org/officeDocument/2006/relationships/hyperlink" Target="http://iranytuintezet.hu/elemzesek-kutatasok/mind/213-az-iranytu-intezet-2017.-decemberi-orszagos-kozvelemeny-kutatasa/" TargetMode="External"/><Relationship Id="rId1152" Type="http://schemas.openxmlformats.org/officeDocument/2006/relationships/hyperlink" Target="https://www.facebook.com/nezopontintezet/posts/pfbid02gt2YQuagheNEVnrzr6aVj8mCoXkbCY7bwVfNUqT2F1xBn8UfR9xaFYCbj5Z2ssaal" TargetMode="External"/><Relationship Id="rId96" Type="http://schemas.openxmlformats.org/officeDocument/2006/relationships/hyperlink" Target="http://publicus.hu/images/uploads/2018_01_ppref_all.png" TargetMode="External"/><Relationship Id="rId161" Type="http://schemas.openxmlformats.org/officeDocument/2006/relationships/hyperlink" Target="https://nezopont.hu/valtozatlanul-vezet-a-fidesz-a-kampany-veghajrajaban/" TargetMode="External"/><Relationship Id="rId399" Type="http://schemas.openxmlformats.org/officeDocument/2006/relationships/hyperlink" Target="https://regi.szazadveg.hu/hu/kutatasok/az-alapitvany-kutatasai/piackutatas-kozvelemeny-kutatas/eros-kormanyparti-gyozelem-varhato-az-ep-valasztasokon" TargetMode="External"/><Relationship Id="rId827" Type="http://schemas.openxmlformats.org/officeDocument/2006/relationships/hyperlink" Target="https://telex.hu/belfold/2023/05/15/republikon-intezet-partpreferencia-kozvelemeny-kutatas-fidesz" TargetMode="External"/><Relationship Id="rId1012" Type="http://schemas.openxmlformats.org/officeDocument/2006/relationships/hyperlink" Target="https://tarsadalomkutato.hu/a-fidesz-8-szazalekponttal-elozi-a-tiszat/" TargetMode="External"/><Relationship Id="rId259" Type="http://schemas.openxmlformats.org/officeDocument/2006/relationships/hyperlink" Target="https://www.vasarnapihirek.hu/fokusz/kuszob_alatt_az_lmp_es_a_dk" TargetMode="External"/><Relationship Id="rId466" Type="http://schemas.openxmlformats.org/officeDocument/2006/relationships/hyperlink" Target="https://magyarnemzet.hu/belfold/tobb-mint-harommillioan-tamogatjak-a-fidesz-kdnp-t-7268714/" TargetMode="External"/><Relationship Id="rId673" Type="http://schemas.openxmlformats.org/officeDocument/2006/relationships/hyperlink" Target="https://hvg.hu/360/20210512_Median_Jarvanyban_eloz_a_Fidesz" TargetMode="External"/><Relationship Id="rId880" Type="http://schemas.openxmlformats.org/officeDocument/2006/relationships/hyperlink" Target="https://hvg.hu/itthon/20240527_median-budapest-fopolgarmester-valasztas-karacsony-szentkiralyi-vitezy-magyar-peter-tisza-part" TargetMode="External"/><Relationship Id="rId1096" Type="http://schemas.openxmlformats.org/officeDocument/2006/relationships/hyperlink" Target="https://www.facebook.com/ideaintezet/posts/1189405793274065" TargetMode="External"/><Relationship Id="rId23" Type="http://schemas.openxmlformats.org/officeDocument/2006/relationships/hyperlink" Target="https://archiv.nezopont.hu/a-fidesz-erezhetoen-erosodott/" TargetMode="External"/><Relationship Id="rId119" Type="http://schemas.openxmlformats.org/officeDocument/2006/relationships/hyperlink" Target="https://www.origo.hu/itthon/20180215-itt-a-szazadveg-alapitvany-friss-februari-merese.html" TargetMode="External"/><Relationship Id="rId326" Type="http://schemas.openxmlformats.org/officeDocument/2006/relationships/hyperlink" Target="https://publicus.hu/blog/partok-tamogatottsaga-2018-december/" TargetMode="External"/><Relationship Id="rId533" Type="http://schemas.openxmlformats.org/officeDocument/2006/relationships/hyperlink" Target="https://nepszava.hu/3065640_egeszsegugybol-egyest-adtak-a-kormanynak" TargetMode="External"/><Relationship Id="rId978" Type="http://schemas.openxmlformats.org/officeDocument/2006/relationships/hyperlink" Target="https://web.archive.org/web/20231129120053/https:/iranytuintezet.hu/elemzesek-kutatasok/mind/209-az-iranytu-intezet-2017.-oktoberi-orszagos-kozvelemeny-kutatasa/" TargetMode="External"/><Relationship Id="rId1163" Type="http://schemas.openxmlformats.org/officeDocument/2006/relationships/hyperlink" Target="https://web.archive.org/web/20140409095352/http:/kozvelemenykutatok.hu/csak-a-fidesz-ketharmada-a-kerdes-median/" TargetMode="External"/><Relationship Id="rId740" Type="http://schemas.openxmlformats.org/officeDocument/2006/relationships/hyperlink" Target="https://telex.hu/valasztas-2022/2022/03/17/hajnal-miklos-furjes-balazs-iranytu-intezet-kozvelemeny-kutatas" TargetMode="External"/><Relationship Id="rId838" Type="http://schemas.openxmlformats.org/officeDocument/2006/relationships/hyperlink" Target="https://hvg.hu/360/20230615_hvg_median_kozvelemeny_kutatas_fidesz_ellenzek_gazdasagi_valsag_EU" TargetMode="External"/><Relationship Id="rId1023" Type="http://schemas.openxmlformats.org/officeDocument/2006/relationships/hyperlink" Target="https://magyarnemzet.hu/belfold/2025/10/legujabb-adatok-kozvelemeny-kutatas-alapjogokert-kozpont-fidesz-tisza" TargetMode="External"/><Relationship Id="rId172" Type="http://schemas.openxmlformats.org/officeDocument/2006/relationships/hyperlink" Target="https://24.hu/belfold/2018/04/03/valasztasi-becsles-fidesz-jobbik-mszp/" TargetMode="External"/><Relationship Id="rId477" Type="http://schemas.openxmlformats.org/officeDocument/2006/relationships/hyperlink" Target="https://publicus.hu/blog/partok-tamogatottsaga-2019-augusztus/" TargetMode="External"/><Relationship Id="rId600" Type="http://schemas.openxmlformats.org/officeDocument/2006/relationships/hyperlink" Target="https://publicus.hu/blog/partok-tamogatottsaga-2021-februar/" TargetMode="External"/><Relationship Id="rId684" Type="http://schemas.openxmlformats.org/officeDocument/2006/relationships/hyperlink" Target="https://nezopont.hu/nott-a-fidesz-elonye/" TargetMode="External"/><Relationship Id="rId337" Type="http://schemas.openxmlformats.org/officeDocument/2006/relationships/hyperlink" Target="https://publicus.hu/wp-content/uploads/2019/01/2019_01_ppef_all-1024x773.png" TargetMode="External"/><Relationship Id="rId891" Type="http://schemas.openxmlformats.org/officeDocument/2006/relationships/hyperlink" Target="https://telex.hu/belfold/2024/07/15/republikon-intezet-valasztas-utani-partpreferenciak-fidesz-tisza-part" TargetMode="External"/><Relationship Id="rId905" Type="http://schemas.openxmlformats.org/officeDocument/2006/relationships/hyperlink" Target="https://demokrata.hu/magyarorszag/felmeres-a-fidesz-erosodott-a-baloldal-es-marki-zay-csak-lefele-megy-488482/" TargetMode="External"/><Relationship Id="rId989" Type="http://schemas.openxmlformats.org/officeDocument/2006/relationships/hyperlink" Target="http://www.tarki.hu/hu/news/2017/kitekint/20171026_valasztas.html" TargetMode="External"/><Relationship Id="rId34" Type="http://schemas.openxmlformats.org/officeDocument/2006/relationships/hyperlink" Target="https://24.hu/belfold/2025/06/30/21-kutatokozpont-tisza-part-fidesz-kozvelemeny-kutatas-2025-junius/" TargetMode="External"/><Relationship Id="rId544" Type="http://schemas.openxmlformats.org/officeDocument/2006/relationships/hyperlink" Target="https://nezopontintezet.hu/en/2020/03/18/government-measures-find-support-among-opposition/" TargetMode="External"/><Relationship Id="rId751" Type="http://schemas.openxmlformats.org/officeDocument/2006/relationships/hyperlink" Target="https://hvg.hu/itthon/20220406_Median_MarkiZay_Petert_a_fiatalok_koreben_erhette_a_legnagyobb_veszteseg" TargetMode="External"/><Relationship Id="rId849" Type="http://schemas.openxmlformats.org/officeDocument/2006/relationships/hyperlink" Target="https://nezopont.hu/a-magyarok-77-szazaleka-ellenzi-ukrajna-eu-penzekbol-valo-finanszirozasat/" TargetMode="External"/><Relationship Id="rId1174" Type="http://schemas.openxmlformats.org/officeDocument/2006/relationships/hyperlink" Target="https://nezopont.hu/hu/tevekenysegeink/kozvelemeny-kutatasok/a-magyarok-tobbsege-elutasitja-ukrajna-finanszirozasanak-mindharom-eb-tervet" TargetMode="External"/><Relationship Id="rId183" Type="http://schemas.openxmlformats.org/officeDocument/2006/relationships/hyperlink" Target="https://web.archive.org/web/20180406141749/https:/hvg.hu/itthon/201814__medianfelmeres__erosodo_fidesz__nepszeru_kormany__rejtozo_ketharmad" TargetMode="External"/><Relationship Id="rId390" Type="http://schemas.openxmlformats.org/officeDocument/2006/relationships/hyperlink" Target="https://hvg.hu/itthon/20190417_Median_Az_MSZP_beerte_a_Jobbikot_a_Fidesz_ismet_erosodott" TargetMode="External"/><Relationship Id="rId404" Type="http://schemas.openxmlformats.org/officeDocument/2006/relationships/hyperlink" Target="https://nepszava.hu/3035093_fidesz-szavazok-szerint-fontosabb-az-ep-valasztas-mint-az-onkormanyzati" TargetMode="External"/><Relationship Id="rId611" Type="http://schemas.openxmlformats.org/officeDocument/2006/relationships/hyperlink" Target="https://publicus.hu/blog/partok-tamogatottsaga-2020-november/" TargetMode="External"/><Relationship Id="rId1034" Type="http://schemas.openxmlformats.org/officeDocument/2006/relationships/hyperlink" Target="https://hvg.hu/itthon/20251112_tordai-bence-csaladi-haz-fidesz-kozvelemeny-kutatas" TargetMode="External"/><Relationship Id="rId250" Type="http://schemas.openxmlformats.org/officeDocument/2006/relationships/hyperlink" Target="https://publicus.hu/blog/partok-tamogatottsaga-2018-oktober/" TargetMode="External"/><Relationship Id="rId488" Type="http://schemas.openxmlformats.org/officeDocument/2006/relationships/hyperlink" Target="https://nepszava.hu/3055097_egyutt-megelozik-a-fideszt" TargetMode="External"/><Relationship Id="rId695" Type="http://schemas.openxmlformats.org/officeDocument/2006/relationships/hyperlink" Target="https://telex.hu/belfold/2021/07/02/republikon-partpreferencia-2021-junius" TargetMode="External"/><Relationship Id="rId709" Type="http://schemas.openxmlformats.org/officeDocument/2006/relationships/hyperlink" Target="https://444.hu/2021/08/20/civitas-dobrev-klara-a-legnepszerubb-ellenzeki-jelolt" TargetMode="External"/><Relationship Id="rId916" Type="http://schemas.openxmlformats.org/officeDocument/2006/relationships/hyperlink" Target="https://24.hu/belfold/2025/09/19/idea-dk-tisza-part-kutatas" TargetMode="External"/><Relationship Id="rId1101" Type="http://schemas.openxmlformats.org/officeDocument/2006/relationships/hyperlink" Target="https://hvg.hu/360/20260121_hvg-median-fidesz-orban-felelem-dpk-fiatalok" TargetMode="External"/><Relationship Id="rId45" Type="http://schemas.openxmlformats.org/officeDocument/2006/relationships/hyperlink" Target="https://www.facebook.com/iranytuintezet/posts/pfbid0D1846aiZk4px5EdkcbGRjxvoKQXXoJm8xQ3YjaeA8bJjSMZgkrR8Q8u5pAv6Ka2Tl" TargetMode="External"/><Relationship Id="rId110" Type="http://schemas.openxmlformats.org/officeDocument/2006/relationships/hyperlink" Target="https://24.hu/belfold/2018/02/09/lejott-a-tortenelmi-magassagbol-a-fidesz/" TargetMode="External"/><Relationship Id="rId348" Type="http://schemas.openxmlformats.org/officeDocument/2006/relationships/hyperlink" Target="https://nezopontintezet.hu/2019/02/11/valtozatlan-a-fidesz-kdnp-tamogatottsaga/" TargetMode="External"/><Relationship Id="rId555" Type="http://schemas.openxmlformats.org/officeDocument/2006/relationships/hyperlink" Target="https://nepszava.hu/3077160_visszalengett-az-inga--a-publicus-szerint-erosodott-az-ellenzek" TargetMode="External"/><Relationship Id="rId762" Type="http://schemas.openxmlformats.org/officeDocument/2006/relationships/hyperlink" Target="https://hvg.hu/itthon/20220513_zavecz_kozvelemenykutatas" TargetMode="External"/><Relationship Id="rId1185" Type="http://schemas.openxmlformats.org/officeDocument/2006/relationships/hyperlink" Target="https://www.facebook.com/ideaintezet/posts/pfbid021eDimjvU4tubJXsfmKA3eRmP6oe75LhkjamqvzJ5TmNiS4n3w45AMzokd3YVricwl" TargetMode="External"/><Relationship Id="rId194" Type="http://schemas.openxmlformats.org/officeDocument/2006/relationships/hyperlink" Target="http://publicus.hu/images/uploads/2018_04_ppref_all.png" TargetMode="External"/><Relationship Id="rId208" Type="http://schemas.openxmlformats.org/officeDocument/2006/relationships/hyperlink" Target="https://publicus.hu/blog/partok_tamogatottsaga_es_az_ellenzeki_politizalas-2018_majus/" TargetMode="External"/><Relationship Id="rId415" Type="http://schemas.openxmlformats.org/officeDocument/2006/relationships/hyperlink" Target="https://hvg.hu/itthon/20190516_Ugyanannyi_kepviseloje_lehet_a_Jobbiknak_MSZPnek_es_DKnak_is_az_Epben" TargetMode="External"/><Relationship Id="rId622" Type="http://schemas.openxmlformats.org/officeDocument/2006/relationships/hyperlink" Target="https://tk.hu/uploads/files/2021/ertek_identi.pdf,%2054.%20oldal" TargetMode="External"/><Relationship Id="rId1045" Type="http://schemas.openxmlformats.org/officeDocument/2006/relationships/hyperlink" Target="https://21kutatokozpont.hu/wp-content/uploads/2" TargetMode="External"/><Relationship Id="rId261" Type="http://schemas.openxmlformats.org/officeDocument/2006/relationships/hyperlink" Target="https://szazadveg.hu/hu/kutatasok/az-alapitvany-kutatasai/piackutatas-kozvelemeny-kutatas/eros-kormanyparti-gyozelem-varhato-az-ep-valasztasokon" TargetMode="External"/><Relationship Id="rId499" Type="http://schemas.openxmlformats.org/officeDocument/2006/relationships/hyperlink" Target="https://nezopontintezet.hu/2019/11/12/stagnal-a-fidesz-kdnp-elonye-az-onkormanyzati-valasztas-utan/" TargetMode="External"/><Relationship Id="rId927" Type="http://schemas.openxmlformats.org/officeDocument/2006/relationships/hyperlink" Target="https://www.zaveczresearch.hu/nott-fidesz-tabora-kis-valtozasok-az-ellenzeki-oldalon/" TargetMode="External"/><Relationship Id="rId1112" Type="http://schemas.openxmlformats.org/officeDocument/2006/relationships/hyperlink" Target="https://publicus.hu/blog/partok-tamogatottsaga-2026-januar/" TargetMode="External"/><Relationship Id="rId56" Type="http://schemas.openxmlformats.org/officeDocument/2006/relationships/hyperlink" Target="https://www.origo.hu/itthon/2019/09/erdos-gergely-a-baloldal-fegyvertelen-az-eredmenyes-kormanyparti-polgarmesterekkel-szemben" TargetMode="External"/><Relationship Id="rId359" Type="http://schemas.openxmlformats.org/officeDocument/2006/relationships/hyperlink" Target="https://publicus.hu/blog/partok-tamogatottsaga-es-potencialis-ep-egyuttmukodesek-2019-februar/" TargetMode="External"/><Relationship Id="rId566" Type="http://schemas.openxmlformats.org/officeDocument/2006/relationships/hyperlink" Target="https://publicus.hu/blog/ellenzeki-varosvezetok-es-az-egyuttmukodes-megitelese/" TargetMode="External"/><Relationship Id="rId773" Type="http://schemas.openxmlformats.org/officeDocument/2006/relationships/hyperlink" Target="https://nezopont.hu/a-fidesz-es-a-baloldal-is-gyengult-nyaron/" TargetMode="External"/><Relationship Id="rId121" Type="http://schemas.openxmlformats.org/officeDocument/2006/relationships/hyperlink" Target="http://www.zaveczresearch.hu/alig-mozdulnak-szavazok/" TargetMode="External"/><Relationship Id="rId219" Type="http://schemas.openxmlformats.org/officeDocument/2006/relationships/hyperlink" Target="https://publicus.hu/blog/partok-tamogatottsaga-2018-junius/" TargetMode="External"/><Relationship Id="rId426" Type="http://schemas.openxmlformats.org/officeDocument/2006/relationships/hyperlink" Target="https://publicus.hu/blog/partok-ep-es-orszaggyulesi-tamogatottsaga-2019-majus/" TargetMode="External"/><Relationship Id="rId633" Type="http://schemas.openxmlformats.org/officeDocument/2006/relationships/hyperlink" Target="https://888.hu/ketharmad/dobrev-klarat-latnak-legszivesebben-miniszterelnok-jeloltkent-az-ellenzeki-szavazok-4290712/" TargetMode="External"/><Relationship Id="rId980" Type="http://schemas.openxmlformats.org/officeDocument/2006/relationships/hyperlink" Target="https://magyarnemzet.hu/belfold-archivum/2017/11/novelte-tamogatottsagat-oktoberben-a-fidesz" TargetMode="External"/><Relationship Id="rId1056" Type="http://schemas.openxmlformats.org/officeDocument/2006/relationships/hyperlink" Target="https://hvg.hu/itthon/20251206_magyar-peter-gajdos-laszlo-fidesz-nyiregyhaza-szabolcs-valasztokerulet-tisza" TargetMode="External"/><Relationship Id="rId840" Type="http://schemas.openxmlformats.org/officeDocument/2006/relationships/hyperlink" Target="http://www.ideaintezet.hu/hu/hirek-aktualis/101/partpreferenciak--rendkivul-tartos-es-stabil-tamogatottsaggal-kezdi-a-fidesz-a-nyarat-----2023--junius" TargetMode="External"/><Relationship Id="rId938" Type="http://schemas.openxmlformats.org/officeDocument/2006/relationships/hyperlink" Target="https://archiv.nezopont.hu/csucsponton-a-fidesz-melyponton-a-jobbik/" TargetMode="External"/><Relationship Id="rId67" Type="http://schemas.openxmlformats.org/officeDocument/2006/relationships/hyperlink" Target="https://nezopont.hu/hu/tevekenysegeink/kozvelemeny-kutatasok/a-magyar-valasztok-a-drogkereskedok-ellen" TargetMode="External"/><Relationship Id="rId272" Type="http://schemas.openxmlformats.org/officeDocument/2006/relationships/hyperlink" Target="https://nezopontintezet.hu/2018/12/22/a-fidesz-nepszerusege-nott-a-radikalizalodo-ellenzeke-csokkent-a-valasztasok-ota/" TargetMode="External"/><Relationship Id="rId577" Type="http://schemas.openxmlformats.org/officeDocument/2006/relationships/hyperlink" Target="https://publicus.hu/blog/partok-tamogatottsaga-az-osszefogas-szavazo-szuletese-2020-szeptember/" TargetMode="External"/><Relationship Id="rId700" Type="http://schemas.openxmlformats.org/officeDocument/2006/relationships/hyperlink" Target="https://drive.google.com/drive/folders/1EepDl8JA7kehmh3ecgIXRdi7Vgnef5z-?usp=sharing" TargetMode="External"/><Relationship Id="rId1123" Type="http://schemas.openxmlformats.org/officeDocument/2006/relationships/hyperlink" Target="https://www.tarki.hu/partok-tamogatottsaganak-alakulasa-biztos-szavazo-partvalasztok-koreben" TargetMode="External"/><Relationship Id="rId132" Type="http://schemas.openxmlformats.org/officeDocument/2006/relationships/hyperlink" Target="http://iranytuintezet.hu/letoltes/?file=/shared/kutatasok/Hogy%20szavazn%C3%A1nak%20az%20akt%C3%ADv%20Facebook-felhaszn%C3%A1l%C3%B3k_2018.03.01..pdf" TargetMode="External"/><Relationship Id="rId784" Type="http://schemas.openxmlformats.org/officeDocument/2006/relationships/hyperlink" Target="https://www.facebook.com/valasztasi.kalauz/posts/pfbid0HFmAqYSREYYaxQg2ri2qyouAFHuarw5xUGq4ECfsF1cnQh88eJyV9ixyDkd5Gn7Nl" TargetMode="External"/><Relationship Id="rId991" Type="http://schemas.openxmlformats.org/officeDocument/2006/relationships/hyperlink" Target="http://old.tarki.hu/hu/news/2018/kitekint/20180129_valasztas.html" TargetMode="External"/><Relationship Id="rId1067" Type="http://schemas.openxmlformats.org/officeDocument/2006/relationships/hyperlink" Target="https://www.facebook.com/nezopontintezet/posts/pfbid0qqHRxeg8yMQn1AMut7GEkaYg3b9bj3xsjHx9M8eWvUAR2pSAy3rYd7Ry919FicNSl" TargetMode="External"/><Relationship Id="rId437" Type="http://schemas.openxmlformats.org/officeDocument/2006/relationships/hyperlink" Target="https://nezopontintezet.hu/en/2019/07/02/fidesz-kdnp-holds-comfortable-lead-after-ep-elections/" TargetMode="External"/><Relationship Id="rId644" Type="http://schemas.openxmlformats.org/officeDocument/2006/relationships/hyperlink" Target="https://24.hu/kozelet/2021/02/19/zavecz-research-feljott-a-partrangsor-3-helyere-a-jobbik/" TargetMode="External"/><Relationship Id="rId851" Type="http://schemas.openxmlformats.org/officeDocument/2006/relationships/hyperlink" Target="https://nepszava.hu/3213869_publicus-intezet-rezsi-orban-kormany-felmeres" TargetMode="External"/><Relationship Id="rId283" Type="http://schemas.openxmlformats.org/officeDocument/2006/relationships/hyperlink" Target="https://www.vasarnapihirek.hu/fokusz/feleves_godorben_az_lmp" TargetMode="External"/><Relationship Id="rId490" Type="http://schemas.openxmlformats.org/officeDocument/2006/relationships/hyperlink" Target="https://nepszava.hu/3055097_egyutt-megelozik-a-fideszt" TargetMode="External"/><Relationship Id="rId504" Type="http://schemas.openxmlformats.org/officeDocument/2006/relationships/hyperlink" Target="https://hvg.hu/itthon/20191121_Zavecz_Hatalmasat_gyengult_a_Fidesz_a_fovarosban_de_a_falvakban_is_sok_szavazot_veszitettek" TargetMode="External"/><Relationship Id="rId711" Type="http://schemas.openxmlformats.org/officeDocument/2006/relationships/hyperlink" Target="https://444.hu/2021/08/20/civitas-dobrev-klara-a-legnepszerubb-ellenzeki-jelolt" TargetMode="External"/><Relationship Id="rId949" Type="http://schemas.openxmlformats.org/officeDocument/2006/relationships/hyperlink" Target="http://kozvelemenykutatok.hu/2017-oktoberi-kutatasi-eredmenyek-szazadveg/" TargetMode="External"/><Relationship Id="rId1134" Type="http://schemas.openxmlformats.org/officeDocument/2006/relationships/hyperlink" Target="https://www.nyugat.hu/cikk/publicus_kutatas_szombathely_2026_februar_czegledy_rapli" TargetMode="External"/><Relationship Id="rId78" Type="http://schemas.openxmlformats.org/officeDocument/2006/relationships/hyperlink" Target="https://www.facebook.com/realpr93/posts/pfbid0b9fk4RDHDMzzqBH5VYNuSzGZ3yr5nnQwrAViGmDT2T2rjweNqJ1eiiokGLHwK8uMl" TargetMode="External"/><Relationship Id="rId143" Type="http://schemas.openxmlformats.org/officeDocument/2006/relationships/hyperlink" Target="https://www.origo.hu/itthon/20180301-szazadveg-aktivizalodott-a-fidesz-kdnp-tabor.html" TargetMode="External"/><Relationship Id="rId350" Type="http://schemas.openxmlformats.org/officeDocument/2006/relationships/hyperlink" Target="https://hvg.hu/itthon/201845__partok_es_politikusok_nepszerusege__erosodo_fidesz__ingatagok" TargetMode="External"/><Relationship Id="rId588" Type="http://schemas.openxmlformats.org/officeDocument/2006/relationships/hyperlink" Target="http://www.zaveczresearch.hu/fidesz-34-szazalek-egyuttmukodo-ellenzek-32-szazalek/" TargetMode="External"/><Relationship Id="rId795" Type="http://schemas.openxmlformats.org/officeDocument/2006/relationships/hyperlink" Target="https://www.facebook.com/valasztasi.kalauz/posts/pfbid02QMbMMpHUXJh6w7WUU31tG6kZyPvWfXK9tpUWk8YmkW1XmN3EYtjqJCjMTzNCNcuzl" TargetMode="External"/><Relationship Id="rId809" Type="http://schemas.openxmlformats.org/officeDocument/2006/relationships/hyperlink" Target="http://www.ideaintezet.hu/hu/hirek-aktualis/93/lelektani-hatar-ala-sullyedt-a-fidesz-tamogatottsaga-----2023--februar-" TargetMode="External"/><Relationship Id="rId9" Type="http://schemas.openxmlformats.org/officeDocument/2006/relationships/hyperlink" Target="https://demokrata.hu/kozvelemeny-kutatas/on-kit-valasztana-30-242516/" TargetMode="External"/><Relationship Id="rId210" Type="http://schemas.openxmlformats.org/officeDocument/2006/relationships/hyperlink" Target="https://docs.google.com/spreadsheets/d/1eitltXmNIU4tHgrYiaQPWPHaG4tN0xVSZO4w_k0mVyA/edit" TargetMode="External"/><Relationship Id="rId448" Type="http://schemas.openxmlformats.org/officeDocument/2006/relationships/hyperlink" Target="https://nepszava.hu/3043823_erdekesen-alakulnak-az-eroviszonyok-az-ellenzeki-oldalon-a-zavecz-merese-szerint" TargetMode="External"/><Relationship Id="rId655" Type="http://schemas.openxmlformats.org/officeDocument/2006/relationships/hyperlink" Target="http://www.zaveczresearch.hu/bovult-a-fidesz-es-a-jobbik-tabora-kielezett-maradt-a-verseny-a-kormanypartok-es-a-hatparti-ellenzek-kozott/" TargetMode="External"/><Relationship Id="rId862" Type="http://schemas.openxmlformats.org/officeDocument/2006/relationships/hyperlink" Target="https://rtl.hu/belfold/2024/01/31/aprilis-13-an-tartanak-az-ellenzeki-elovalasztast-zavecz-tibor-felmeres-v-kerulet" TargetMode="External"/><Relationship Id="rId1078" Type="http://schemas.openxmlformats.org/officeDocument/2006/relationships/hyperlink" Target="https://publicus.hu/blog/budapest-13-as-valasztokorzet-mi-a-helyzet-a-xv-keruletben/" TargetMode="External"/><Relationship Id="rId294" Type="http://schemas.openxmlformats.org/officeDocument/2006/relationships/hyperlink" Target="https://nezopontintezet.hu/2018/11/09/a-valasztok-fele-fidesz-szavazo/" TargetMode="External"/><Relationship Id="rId308" Type="http://schemas.openxmlformats.org/officeDocument/2006/relationships/hyperlink" Target="https://nezopontintezet.hu/2018/12/04/erosodott-a-fidesz-tovabb-gyengult-a-jobbik/" TargetMode="External"/><Relationship Id="rId515" Type="http://schemas.openxmlformats.org/officeDocument/2006/relationships/hyperlink" Target="http://www.zaveczresearch.hu/ev-vegi-dobogosok-fidesz-32-dk-9-momentum-7/" TargetMode="External"/><Relationship Id="rId722" Type="http://schemas.openxmlformats.org/officeDocument/2006/relationships/hyperlink" Target="https://telex.hu/belfold/2021/11/08/rebuplikon-orban-viktor-nepszerusege-43-marki-zay-petere-55-szazalek" TargetMode="External"/><Relationship Id="rId1145" Type="http://schemas.openxmlformats.org/officeDocument/2006/relationships/hyperlink" Target="https://www.facebook.com/photo?fbid=122141189828417042" TargetMode="External"/><Relationship Id="rId89" Type="http://schemas.openxmlformats.org/officeDocument/2006/relationships/hyperlink" Target="http://iranytuintezet.hu/elemzesek-kutatasok/mind/215-az-iranytu-intezet-2018.-januari-orszagos-kozvelemeny-kutatasa/" TargetMode="External"/><Relationship Id="rId154" Type="http://schemas.openxmlformats.org/officeDocument/2006/relationships/hyperlink" Target="https://hvg.hu/itthon/20180314_median_kozvelemeny_kutatas_marcius" TargetMode="External"/><Relationship Id="rId361" Type="http://schemas.openxmlformats.org/officeDocument/2006/relationships/hyperlink" Target="https://publicus.hu/wp-content/uploads/2019/03/ppref_2019_02_detail.png" TargetMode="External"/><Relationship Id="rId599" Type="http://schemas.openxmlformats.org/officeDocument/2006/relationships/hyperlink" Target="http://republikon.hu/media/87527/20-10-30-republikon-partpreferencia.pdf" TargetMode="External"/><Relationship Id="rId1005" Type="http://schemas.openxmlformats.org/officeDocument/2006/relationships/hyperlink" Target="https://www.mecsekimuzli.com/median-felmeres-kozhangulat-mpe-magyar-peter-peterffy-mellar/" TargetMode="External"/><Relationship Id="rId459" Type="http://schemas.openxmlformats.org/officeDocument/2006/relationships/hyperlink" Target="http://www.ideaintezet.hu/hirek-aktualis/23/ellenzeki-eroviszonyok--stabilizalodo-atrendezodes------2019--augusztus" TargetMode="External"/><Relationship Id="rId666" Type="http://schemas.openxmlformats.org/officeDocument/2006/relationships/hyperlink" Target="https://telex.hu/belfold/2021/04/04/republikon-marciusi-partpreferenciak" TargetMode="External"/><Relationship Id="rId873" Type="http://schemas.openxmlformats.org/officeDocument/2006/relationships/hyperlink" Target="https://hvg.hu/itthon/20240322_median-tovabb-nott-az-eselye-a-zugloi-polgarmestersegre-a-momentumos-rozsa-andrasnak" TargetMode="External"/><Relationship Id="rId1089" Type="http://schemas.openxmlformats.org/officeDocument/2006/relationships/hyperlink" Target="https://www.facebook.com/pulaiandras.hu/posts/pfbid031FZNEwCGgEWc1AQnVEMAgCxaRK2tr8Rtu3Wjzkh5T6nojYegcWPv3Uquv2qjYcekl" TargetMode="External"/><Relationship Id="rId16" Type="http://schemas.openxmlformats.org/officeDocument/2006/relationships/hyperlink" Target="https://24.hu/belfold/2025/01/28/republikon-felmeres-partok-tisza-elony-fidesz-mi-hazank-dk/" TargetMode="External"/><Relationship Id="rId221" Type="http://schemas.openxmlformats.org/officeDocument/2006/relationships/hyperlink" Target="http://www.zaveczresearch.hu/kik-szavaztak-hogyan-szavaztak-aprilis-8-an/" TargetMode="External"/><Relationship Id="rId319" Type="http://schemas.openxmlformats.org/officeDocument/2006/relationships/hyperlink" Target="https://kozvelemenykutatok.hu/partpreferenciatrend/" TargetMode="External"/><Relationship Id="rId526" Type="http://schemas.openxmlformats.org/officeDocument/2006/relationships/hyperlink" Target="http://republikon.hu/elemzesek,-kutatasok/200226-partok-politikusok.aspx" TargetMode="External"/><Relationship Id="rId1156" Type="http://schemas.openxmlformats.org/officeDocument/2006/relationships/hyperlink" Target="https://web.archive.org/web/20140405143530/http:/kozvelemenykutatok.hu/stabil-fidesz-kdnp-elony-a-kampany-hajrajaban-szazadveg/" TargetMode="External"/><Relationship Id="rId733" Type="http://schemas.openxmlformats.org/officeDocument/2006/relationships/hyperlink" Target="https://www.facebook.com/594088897289853/posts/5364898583542170" TargetMode="External"/><Relationship Id="rId940" Type="http://schemas.openxmlformats.org/officeDocument/2006/relationships/hyperlink" Target="https://archiv.nezopont.hu/2014-ota-eloszor-egyszamjegyu-a-jobbik-az-lmp-es-a-fidesz-tovabb-erosodott/" TargetMode="External"/><Relationship Id="rId1016" Type="http://schemas.openxmlformats.org/officeDocument/2006/relationships/hyperlink" Target="https://24.hu/belfold/2025/10/13/21-kutatokozpont-2025-oktober-partpreferencia-tisza-fidesz/" TargetMode="External"/><Relationship Id="rId165" Type="http://schemas.openxmlformats.org/officeDocument/2006/relationships/hyperlink" Target="https://publicus.hu/blog/partok_tamogatottsaga_2018_marcius/" TargetMode="External"/><Relationship Id="rId372" Type="http://schemas.openxmlformats.org/officeDocument/2006/relationships/hyperlink" Target="https://nezopontintezet.hu/2019/03/31/tovabb-nott-a-fidesz-kdnp-tamogatottsaga-marciusban/" TargetMode="External"/><Relationship Id="rId677" Type="http://schemas.openxmlformats.org/officeDocument/2006/relationships/hyperlink" Target="http://republikon.hu/elemzesek,-kutatasok/21-04-30-kvk.aspx" TargetMode="External"/><Relationship Id="rId800" Type="http://schemas.openxmlformats.org/officeDocument/2006/relationships/hyperlink" Target="https://publicus.hu/blog/sokan-tapasztalnak-rendszeres-aruhianyt/" TargetMode="External"/><Relationship Id="rId232" Type="http://schemas.openxmlformats.org/officeDocument/2006/relationships/hyperlink" Target="https://publicus.hu/blog/partok-tamogatottsaga-2018-junius/" TargetMode="External"/><Relationship Id="rId884" Type="http://schemas.openxmlformats.org/officeDocument/2006/relationships/hyperlink" Target="https://www.facebook.com/median.hu/posts/pfbid031zhRJV2ATL8jW1fYxkvCfSaaAhxaaTH8AFqmL5AcSa5iviAbmba3YWEicXoia8Dhl" TargetMode="External"/><Relationship Id="rId27" Type="http://schemas.openxmlformats.org/officeDocument/2006/relationships/hyperlink" Target="https://publicus.hu/blog/a-pride-megoszto-de-a-budapestiek-nagy-aranyban-tamogatjak-a-rendezvenyt/" TargetMode="External"/><Relationship Id="rId537" Type="http://schemas.openxmlformats.org/officeDocument/2006/relationships/hyperlink" Target="https://nepszava.hu/3070369_publicus-negybol-harman-elmennenek-szavazni" TargetMode="External"/><Relationship Id="rId744" Type="http://schemas.openxmlformats.org/officeDocument/2006/relationships/hyperlink" Target="https://azonnali.hu/cikk/20220329_publicus-szorosnak-igerkezik-a-vasarnapi-valasztas" TargetMode="External"/><Relationship Id="rId951" Type="http://schemas.openxmlformats.org/officeDocument/2006/relationships/hyperlink" Target="https://web.archive.org/web/20171210015603/https:/szazadveg.hu/hu/kutatasok/az-alapitvany-kutatasai/piackutatas-kozvelemeny-kutatas/tovabb-erosodott-a-fidesz-kdnp" TargetMode="External"/><Relationship Id="rId1167" Type="http://schemas.openxmlformats.org/officeDocument/2006/relationships/hyperlink" Target="https://web.archive.org/web/20230329152621/https:/kozvelemenykutatok.hu/valasztas-2014-ertekeles/" TargetMode="External"/><Relationship Id="rId80" Type="http://schemas.openxmlformats.org/officeDocument/2006/relationships/hyperlink" Target="https://hvg.hu/360/20241128_Median-kozvelemenykutatas-november-Tisza-Magyar-Peter-Fidesz" TargetMode="External"/><Relationship Id="rId176" Type="http://schemas.openxmlformats.org/officeDocument/2006/relationships/hyperlink" Target="http://iranytuintezet.hu/elemzesek-kutatasok/mind/233-az-iranytu-intezet-2018.-marciusi-orszagos-kozvelemeny-kutatasa/" TargetMode="External"/><Relationship Id="rId383" Type="http://schemas.openxmlformats.org/officeDocument/2006/relationships/hyperlink" Target="https://publicus.hu/wp-content/uploads/2019/03/2019_03_ppef_detail.png" TargetMode="External"/><Relationship Id="rId590" Type="http://schemas.openxmlformats.org/officeDocument/2006/relationships/hyperlink" Target="https://publicus.hu/blog/partok-tamogatottsaga-az-osszefogas-szavazo-szuletese-2020-szeptember/" TargetMode="External"/><Relationship Id="rId604" Type="http://schemas.openxmlformats.org/officeDocument/2006/relationships/hyperlink" Target="http://www.atv.hu/belfold/20201120-idea-visszatert-a-fidesz-a-koronavirus-elotti-szintre" TargetMode="External"/><Relationship Id="rId811" Type="http://schemas.openxmlformats.org/officeDocument/2006/relationships/hyperlink" Target="https://telex.hu/belfold/2023/02/24/republikon-kutatas-2023-februar-fidesz-partok-adatok-felmeres" TargetMode="External"/><Relationship Id="rId1027" Type="http://schemas.openxmlformats.org/officeDocument/2006/relationships/hyperlink" Target="https://docs.google.com/presentation/d/1AHGXqOcl4M3icT7SAKTTbizC5qOR-5TI/edit" TargetMode="External"/><Relationship Id="rId243" Type="http://schemas.openxmlformats.org/officeDocument/2006/relationships/hyperlink" Target="https://docs.google.com/spreadsheets/d/1eitltXmNIU4tHgrYiaQPWPHaG4tN0xVSZO4w_k0mVyA/edit" TargetMode="External"/><Relationship Id="rId450" Type="http://schemas.openxmlformats.org/officeDocument/2006/relationships/hyperlink" Target="http://www.zaveczresearch.hu/a-nyar-kozepere-csokkent-a-politikai-aktivitas/" TargetMode="External"/><Relationship Id="rId688" Type="http://schemas.openxmlformats.org/officeDocument/2006/relationships/hyperlink" Target="https://designrr.page/?id=92245&amp;token=2630185484&amp;type=FP" TargetMode="External"/><Relationship Id="rId895" Type="http://schemas.openxmlformats.org/officeDocument/2006/relationships/hyperlink" Target="https://hvg.hu/360/20240911_Median-meres-Gyorsabban-fogy-a-Fidesz-elonye-mint-Orban-Viktor-Tisza-Magyar-Peter-DK" TargetMode="External"/><Relationship Id="rId909" Type="http://schemas.openxmlformats.org/officeDocument/2006/relationships/hyperlink" Target="https://nezopont.hu/a-fidesz-kdnp-nyerhet-majus-26-an-a-masodik-helyezett-kilete-kerdeses/" TargetMode="External"/><Relationship Id="rId1080" Type="http://schemas.openxmlformats.org/officeDocument/2006/relationships/hyperlink" Target="https://nezopont.hu/hu/tevekenysegeink/kozvelemeny-kutatasok/a-szolo-utca-uegye-sem-segitett-a-tiszan" TargetMode="External"/><Relationship Id="rId38" Type="http://schemas.openxmlformats.org/officeDocument/2006/relationships/hyperlink" Target="https://nepszava.hu/3030602_az-mszp-szavazoi-a-legelkotelezettebbek-egyre-tobben-elegedetlenek-az-orszag-allapotaval" TargetMode="External"/><Relationship Id="rId103" Type="http://schemas.openxmlformats.org/officeDocument/2006/relationships/hyperlink" Target="http://old.tarki.hu/hu/news/2018/kitekint/20180129_valasztas.html" TargetMode="External"/><Relationship Id="rId310" Type="http://schemas.openxmlformats.org/officeDocument/2006/relationships/hyperlink" Target="http://www.ideaintezet.hu/hirek-aktualis/12/fidesz-kdnp-es-jobbik--egyutt-vesztettek-tamogatokat-----erosodo-momentum" TargetMode="External"/><Relationship Id="rId548" Type="http://schemas.openxmlformats.org/officeDocument/2006/relationships/hyperlink" Target="https://publicus.hu/blog/partok-tamogatottsaga-2020-marcius-vege/" TargetMode="External"/><Relationship Id="rId755" Type="http://schemas.openxmlformats.org/officeDocument/2006/relationships/hyperlink" Target="https://szazadveg.hu/hu/2022/03/31/fidesz-kdnp-49-szazalek-ellenzeki-osszefogas-44-szazalek~n2637" TargetMode="External"/><Relationship Id="rId962" Type="http://schemas.openxmlformats.org/officeDocument/2006/relationships/hyperlink" Target="https://balrad.hu/tag/valasztas/page/3/" TargetMode="External"/><Relationship Id="rId1178" Type="http://schemas.openxmlformats.org/officeDocument/2006/relationships/hyperlink" Target="https://www.minervaintezet.hu/202603.html" TargetMode="External"/><Relationship Id="rId91" Type="http://schemas.openxmlformats.org/officeDocument/2006/relationships/hyperlink" Target="http://hvg.hu/itthon/20180119_Majdnem_ugyanannyian_akarjak_levaltani_a_kormanyt_mint_ahanyan_kitartananak_mellette" TargetMode="External"/><Relationship Id="rId187" Type="http://schemas.openxmlformats.org/officeDocument/2006/relationships/hyperlink" Target="https://web.archive.org/web/20200723061910/https:/szazadveg.hu/hu/kutatasok/az-alapitvany-kutatasai/piackutatas-kozvelemeny-kutatas/fordulat-a-partok-versenyeben-az-mszp-megelozte-a-jobbikot" TargetMode="External"/><Relationship Id="rId394" Type="http://schemas.openxmlformats.org/officeDocument/2006/relationships/hyperlink" Target="http://www.zaveczresearch.hu/az-ep-kampany-valamelyest-mozditott-a-partpreferenciakon/" TargetMode="External"/><Relationship Id="rId408" Type="http://schemas.openxmlformats.org/officeDocument/2006/relationships/hyperlink" Target="https://publicus.hu/blog/partok-ep-tamogatottsaga-2019-aprilis/" TargetMode="External"/><Relationship Id="rId615" Type="http://schemas.openxmlformats.org/officeDocument/2006/relationships/hyperlink" Target="https://szocialis.eu/Zavar_az_eroben_2020_12_kvk.pdf" TargetMode="External"/><Relationship Id="rId822" Type="http://schemas.openxmlformats.org/officeDocument/2006/relationships/hyperlink" Target="https://publicus.hu/blog/a-legjobban-az-olaszokat-a-legkevesbe-az-oroszokat-kedveljuk-a-fidesz-szavazoknal-azonban-az-ukranok-az-utolsok/" TargetMode="External"/><Relationship Id="rId1038" Type="http://schemas.openxmlformats.org/officeDocument/2006/relationships/hyperlink" Target="https://www.facebook.com/Szazadveg/posts/pfbid0242jFVeywgomosZ564DuQk8cxmfAUPbVCcwLM2vhy4PYCp5uCQ9UaFW4T5ub7ZjpXl" TargetMode="External"/><Relationship Id="rId254" Type="http://schemas.openxmlformats.org/officeDocument/2006/relationships/hyperlink" Target="https://nezopontintezet.hu/2018/09/03/a-fidesz-az-egyetlen-neppart/" TargetMode="External"/><Relationship Id="rId699" Type="http://schemas.openxmlformats.org/officeDocument/2006/relationships/hyperlink" Target="https://drive.google.com/drive/folders/1EepDl8JA7kehmh3ecgIXRdi7Vgnef5z-?usp=sharing" TargetMode="External"/><Relationship Id="rId1091" Type="http://schemas.openxmlformats.org/officeDocument/2006/relationships/hyperlink" Target="https://archiv.nezopont.hu/a-fidesz-az-eselyes-a-kampanystart-elott/" TargetMode="External"/><Relationship Id="rId1105" Type="http://schemas.openxmlformats.org/officeDocument/2006/relationships/hyperlink" Target="https://www.atv.hu/belfold/20260123/budapest-kutatas-eredmeny-dk-varju/" TargetMode="External"/><Relationship Id="rId49" Type="http://schemas.openxmlformats.org/officeDocument/2006/relationships/hyperlink" Target="https://archiv.nezopont.hu/tarlos-istvan-elonyet-merik-a-kutatointezetek/" TargetMode="External"/><Relationship Id="rId114" Type="http://schemas.openxmlformats.org/officeDocument/2006/relationships/hyperlink" Target="http://republikon.hu/media/38487/republikon_kutatas_prez_1801.pdf" TargetMode="External"/><Relationship Id="rId461" Type="http://schemas.openxmlformats.org/officeDocument/2006/relationships/hyperlink" Target="http://www.ideaintezet.hu/hirek-aktualis/23/ellenzeki-eroviszonyok--stabilizalodo-atrendezodes------2019--augusztus" TargetMode="External"/><Relationship Id="rId559" Type="http://schemas.openxmlformats.org/officeDocument/2006/relationships/hyperlink" Target="https://publicus.hu/blog/koronavirus-tul-a-kezdeti-sokkon/" TargetMode="External"/><Relationship Id="rId766" Type="http://schemas.openxmlformats.org/officeDocument/2006/relationships/hyperlink" Target="https://szazadveg.hu/hu/2022/06/14/stabil-kormanypartok-osszeomlo-baloldal~n2856" TargetMode="External"/><Relationship Id="rId1189" Type="http://schemas.openxmlformats.org/officeDocument/2006/relationships/hyperlink" Target="https://www.atlasintel.org/poll/magyarorszag-parlamenti-valasztas-2026-04-10" TargetMode="External"/><Relationship Id="rId198" Type="http://schemas.openxmlformats.org/officeDocument/2006/relationships/hyperlink" Target="http://publicus.hu/blog/partok_tamogatottsaga_szakertoi_becsles_2018_aprilis/" TargetMode="External"/><Relationship Id="rId321" Type="http://schemas.openxmlformats.org/officeDocument/2006/relationships/hyperlink" Target="https://magyarhang.org/belfold/2019/05/04/oriasi-kulonbsegek-ket-egyideju-zavecz-meresben/" TargetMode="External"/><Relationship Id="rId419" Type="http://schemas.openxmlformats.org/officeDocument/2006/relationships/hyperlink" Target="https://magyarnemzet.hu/belfold/nezopont-erosodott-gyurcsany-partja-6943445/" TargetMode="External"/><Relationship Id="rId626" Type="http://schemas.openxmlformats.org/officeDocument/2006/relationships/hyperlink" Target="http://republikon.hu/elemzesek,-kutatasok/20-12-23-kvk.aspx" TargetMode="External"/><Relationship Id="rId973" Type="http://schemas.openxmlformats.org/officeDocument/2006/relationships/hyperlink" Target="https://web.archive.org/web/20180412035636/https:/mno.hu/belfold/iranytu-intezet-a-dk-es-az-lmp-is-beerte-az-mszp-t-2433521" TargetMode="External"/><Relationship Id="rId1049" Type="http://schemas.openxmlformats.org/officeDocument/2006/relationships/hyperlink" Target="https://jozsefvarosujsag.hu/javulo-keruleti-helyzet-csokkeno-kormanyparti-tamogatottsag-a-viii-keruletben" TargetMode="External"/><Relationship Id="rId833" Type="http://schemas.openxmlformats.org/officeDocument/2006/relationships/hyperlink" Target="http://www.ideaintezet.hu/hu/hirek-aktualis/102/tobben-vannak-azok--akik-nem-tiltanak-be-a-nagy-magyarorszag-draperiakat-a-nemzetkozi-focimeccseken" TargetMode="External"/><Relationship Id="rId1116" Type="http://schemas.openxmlformats.org/officeDocument/2006/relationships/hyperlink" Target="https://hvg.hu/gazdasag/20260130_21-kutatokozpont-szoros-a-verseny-bekes-2-ben-bekes-4-ben-a-tisza-jeloltje-vezet" TargetMode="External"/><Relationship Id="rId265" Type="http://schemas.openxmlformats.org/officeDocument/2006/relationships/hyperlink" Target="https://docs.google.com/spreadsheets/d/1eitltXmNIU4tHgrYiaQPWPHaG4tN0xVSZO4w_k0mVyA/edit" TargetMode="External"/><Relationship Id="rId472" Type="http://schemas.openxmlformats.org/officeDocument/2006/relationships/hyperlink" Target="https://publicus.hu/blog/partok-tamogatottsaga-2019-augusztus/" TargetMode="External"/><Relationship Id="rId900" Type="http://schemas.openxmlformats.org/officeDocument/2006/relationships/hyperlink" Target="https://demokrata.hu/magyarorszag/felmeres-a-fidesz-erosodott-a-baloldal-es-marki-zay-csak-lefele-megy-488482/" TargetMode="External"/><Relationship Id="rId125" Type="http://schemas.openxmlformats.org/officeDocument/2006/relationships/hyperlink" Target="http://publicus.hu/images/uploads/2018_02_ppref_all.png" TargetMode="External"/><Relationship Id="rId332" Type="http://schemas.openxmlformats.org/officeDocument/2006/relationships/hyperlink" Target="https://hvg.hu/itthon/20190502_Felmeres_EPmandatumot_szerezhet_a_Momentum_a_Jobbik_nagyon_visszaesett" TargetMode="External"/><Relationship Id="rId777" Type="http://schemas.openxmlformats.org/officeDocument/2006/relationships/hyperlink" Target="https://szocialis.eu/kvk202209.pdf" TargetMode="External"/><Relationship Id="rId984" Type="http://schemas.openxmlformats.org/officeDocument/2006/relationships/hyperlink" Target="https://web.archive.org/web/20180412035636/https:/mno.hu/belfold/iranytu-intezet-a-dk-es-az-lmp-is-beerte-az-mszp-t-2433521" TargetMode="External"/><Relationship Id="rId637" Type="http://schemas.openxmlformats.org/officeDocument/2006/relationships/hyperlink" Target="http://ideaintezet.hu/hu/hirek-aktualis/50/az-ellenzek-egyesitett-listajanak-van-eselye-a-gyozelemre---2021--januar" TargetMode="External"/><Relationship Id="rId844" Type="http://schemas.openxmlformats.org/officeDocument/2006/relationships/hyperlink" Target="https://publicus.hu/blog/tizbol-heten-elegedettek-veres-pal-miskolci-polgarmester-eddigi-munkajaval/" TargetMode="External"/><Relationship Id="rId276" Type="http://schemas.openxmlformats.org/officeDocument/2006/relationships/hyperlink" Target="http://www.zaveczresearch.hu/az-elmult-egy-honapban-keves-a-valtozas-1-szazalekkal-indul-a-mi-hazank-mozgalom/" TargetMode="External"/><Relationship Id="rId483" Type="http://schemas.openxmlformats.org/officeDocument/2006/relationships/hyperlink" Target="https://szazadveg.hu/hu/kutatasok/az-alapitvany-kutatasai/piackutatas-kozvelemeny-kutatas/a-fidesz-kdnp-elonye-toretlen" TargetMode="External"/><Relationship Id="rId690" Type="http://schemas.openxmlformats.org/officeDocument/2006/relationships/hyperlink" Target="https://publicus.hu/blog/partok-tamogatottsaga-es-az-elovalasztas-2021-majus/" TargetMode="External"/><Relationship Id="rId704" Type="http://schemas.openxmlformats.org/officeDocument/2006/relationships/hyperlink" Target="https://24.hu/kozelet/2021/07/12/idea-intezet-partok-kozvelemeny-kutatas-julius/" TargetMode="External"/><Relationship Id="rId911" Type="http://schemas.openxmlformats.org/officeDocument/2006/relationships/hyperlink" Target="https://www.nyugat.hu/cikk/kozvelemeny_kutatas_szombathely_kepviselojeloltek_publicus_2025_" TargetMode="External"/><Relationship Id="rId1127" Type="http://schemas.openxmlformats.org/officeDocument/2006/relationships/hyperlink" Target="https://www.facebook.com/rozsaandras.zuglo/posts/pfbid02SmbdYBAWsTkeSfQ94rqwKTCSKgaD3ZVGQq22Q7PMtgSmwCkQAYbCC54UW152ZKbkl" TargetMode="External"/><Relationship Id="rId40" Type="http://schemas.openxmlformats.org/officeDocument/2006/relationships/hyperlink" Target="https://publicus.hu/blog/partok-orszaggyulesi-es-ep-tamogatottsaga-2019-marcius/" TargetMode="External"/><Relationship Id="rId136" Type="http://schemas.openxmlformats.org/officeDocument/2006/relationships/hyperlink" Target="https://24.hu/belfold/2018/02/28/megroggyant-a-fidesz-araszol-felfele-az-ellenzek/" TargetMode="External"/><Relationship Id="rId343" Type="http://schemas.openxmlformats.org/officeDocument/2006/relationships/hyperlink" Target="https://publicus.hu/wp-content/uploads/2019/01/2019_01_ppef_all-1024x773.png" TargetMode="External"/><Relationship Id="rId550" Type="http://schemas.openxmlformats.org/officeDocument/2006/relationships/hyperlink" Target="https://publicus.hu/blog/koronavirus-teszteles-vedofelszerelesek-antidemokratikus-lepesek/" TargetMode="External"/><Relationship Id="rId788" Type="http://schemas.openxmlformats.org/officeDocument/2006/relationships/hyperlink" Target="https://www.facebook.com/valasztasi.kalauz/posts/pfbid0HFmAqYSREYYaxQg2ri2qyouAFHuarw5xUGq4ECfsF1cnQh88eJyV9ixyDkd5Gn7Nl" TargetMode="External"/><Relationship Id="rId995" Type="http://schemas.openxmlformats.org/officeDocument/2006/relationships/hyperlink" Target="https://hvg.hu/itthon/201751__politikai_mozgasok_2017__medianfelmeres__novekvo_aktivitas__evvesztesek" TargetMode="External"/><Relationship Id="rId1180" Type="http://schemas.openxmlformats.org/officeDocument/2006/relationships/hyperlink" Target="https://web.archive.org/web/20220402110643/https:/nezopont.hu/a-nezopont-intezet-valasztasok-elotti-utolso-nyilvanos-meresi-eredmenye/" TargetMode="External"/><Relationship Id="rId203" Type="http://schemas.openxmlformats.org/officeDocument/2006/relationships/hyperlink" Target="https://web.archive.org/web/20180406141749/https:/hvg.hu/itthon/201814__medianfelmeres__erosodo_fidesz__nepszeru_kormany__rejtozo_ketharmad" TargetMode="External"/><Relationship Id="rId648" Type="http://schemas.openxmlformats.org/officeDocument/2006/relationships/hyperlink" Target="http://republikon.hu/media/92634/21-03-02-kvk-republikon-kvk-prezentacio.pdf" TargetMode="External"/><Relationship Id="rId855" Type="http://schemas.openxmlformats.org/officeDocument/2006/relationships/hyperlink" Target="https://21kutatokozpont.hu/wp-content/uploads/2021/11/debrecen_elemzes.pdf" TargetMode="External"/><Relationship Id="rId1040" Type="http://schemas.openxmlformats.org/officeDocument/2006/relationships/hyperlink" Target="https://www.facebook.com/republikon/posts/pfbid0aWQVujJRPWjv4KopNb9y4xV65udvVYT9nCmRkc8BSwKv6t1Y1QeQeVhDsC7iGRr4l" TargetMode="External"/><Relationship Id="rId287" Type="http://schemas.openxmlformats.org/officeDocument/2006/relationships/hyperlink" Target="https://hvg.hu/itthon/201845__partok_es_politikusok_nepszerusege__erosodo_fidesz__ingatagok" TargetMode="External"/><Relationship Id="rId410" Type="http://schemas.openxmlformats.org/officeDocument/2006/relationships/hyperlink" Target="https://24.hu/belfold/2019/05/06/europai-unio-megitelese-kutatas" TargetMode="External"/><Relationship Id="rId494" Type="http://schemas.openxmlformats.org/officeDocument/2006/relationships/hyperlink" Target="https://nezopontintezet.hu/2019/11/12/stagnal-a-fidesz-kdnp-elonye-az-onkormanyzati-valasztas-utan/" TargetMode="External"/><Relationship Id="rId508" Type="http://schemas.openxmlformats.org/officeDocument/2006/relationships/hyperlink" Target="https://nepszava.hu/3059275_tobb-millio-magyar-el-tartalek-nelkul" TargetMode="External"/><Relationship Id="rId715" Type="http://schemas.openxmlformats.org/officeDocument/2006/relationships/hyperlink" Target="https://szegedma.hu/2021/10/tobb-kozvelemenykutato-szerint-nott-a-fidesz-tamogatottsaga-a-teljes-nepessegen-belul" TargetMode="External"/><Relationship Id="rId922" Type="http://schemas.openxmlformats.org/officeDocument/2006/relationships/hyperlink" Target="https://szazadveg.hu/cikkek/a-magyarok-ketharmada-elutasitja-a-tiszasok-tobbsege-tamogatja-az-orosz-energia-tiltasat/?fbclid=IwY2xjawNJ6zVleHRuA2FlbQIxMQBicmlkETFiYUxqaFFkSGJzaWlVU3FWAR4pvqEp3Fmlq1gqeUxf4wb3Nph5s-naYP_8UlhmUMWcv5s3sslUA8XUBfLeew_aem_z8O3Xrv2vpOiQ_97s9jgA" TargetMode="External"/><Relationship Id="rId1138" Type="http://schemas.openxmlformats.org/officeDocument/2006/relationships/hyperlink" Target="https://www.klubradio.hu/archivum/hann-endre-reggeli-gyorsreggeli-szemely-2026-januar-22-csutortok-0905-55144" TargetMode="External"/><Relationship Id="rId147" Type="http://schemas.openxmlformats.org/officeDocument/2006/relationships/hyperlink" Target="http://www.atv.hu/belfold/20180310-friss-felmeres-csokken-a-fidesz-elonye-erosodik-az-ellenzek" TargetMode="External"/><Relationship Id="rId354" Type="http://schemas.openxmlformats.org/officeDocument/2006/relationships/hyperlink" Target="http://www.ideaintezet.hu/hirek-aktualis/14/24-hu---idea-intezet--gyengult-a-fidesz--erosodott-a-jobbik" TargetMode="External"/><Relationship Id="rId799" Type="http://schemas.openxmlformats.org/officeDocument/2006/relationships/hyperlink" Target="https://publicus.hu/blog/sokan-tapasztalnak-rendszeres-aruhianyt/" TargetMode="External"/><Relationship Id="rId51" Type="http://schemas.openxmlformats.org/officeDocument/2006/relationships/hyperlink" Target="https://archiv.nezopont.hu/tarlos-istvan-elonyet-merik-a-kutatointezetek/" TargetMode="External"/><Relationship Id="rId561" Type="http://schemas.openxmlformats.org/officeDocument/2006/relationships/hyperlink" Target="https://hvg.hu/360/20200610_A_jarvany_enyhulesevel_erosodott_a_Fidesz_de_a_30_ev_alattiak_kozt_elverezne" TargetMode="External"/><Relationship Id="rId659" Type="http://schemas.openxmlformats.org/officeDocument/2006/relationships/hyperlink" Target="http://www.zaveczresearch.hu/bovult-a-fidesz-es-a-jobbik-tabora-kielezett-maradt-a-verseny-a-kormanypartok-es-a-hatparti-ellenzek-kozott/" TargetMode="External"/><Relationship Id="rId866" Type="http://schemas.openxmlformats.org/officeDocument/2006/relationships/hyperlink" Target="https://nepszava.hu/3219346_lazar-janos-kozossegi-kozlekedes-tarifakedvezmeny-valasztasok-budapest" TargetMode="External"/><Relationship Id="rId214" Type="http://schemas.openxmlformats.org/officeDocument/2006/relationships/hyperlink" Target="https://kozvelemenykutatok.hu/partpreferenciatrend/" TargetMode="External"/><Relationship Id="rId298" Type="http://schemas.openxmlformats.org/officeDocument/2006/relationships/hyperlink" Target="https://magyarnemzet.hu/belfold/nezopont-tovabb-nott-a-fidesz-kdnp-nepszerusege-6889859/" TargetMode="External"/><Relationship Id="rId421" Type="http://schemas.openxmlformats.org/officeDocument/2006/relationships/hyperlink" Target="https://nezopont.hu/a-fidesz-kdnp-nyerhet-majus-26-an-a-masodik-helyezett-kilete-kerdeses/" TargetMode="External"/><Relationship Id="rId519" Type="http://schemas.openxmlformats.org/officeDocument/2006/relationships/hyperlink" Target="http://www.ideaintezet.hu/hu/hirek-aktualis/30/a-2019-es-ev-meglepetes-embere--karacsony-gergely------2020--januar" TargetMode="External"/><Relationship Id="rId1051" Type="http://schemas.openxmlformats.org/officeDocument/2006/relationships/hyperlink" Target="https://republikon.hu/elemzesek,-kutatasok/251203-havi.aspx" TargetMode="External"/><Relationship Id="rId1149" Type="http://schemas.openxmlformats.org/officeDocument/2006/relationships/hyperlink" Target="https://iranytuintezet.hu/wp-content/uploads/2026/02/2026.02_Iranytu_orszagos_kutatas.pdf" TargetMode="External"/><Relationship Id="rId158" Type="http://schemas.openxmlformats.org/officeDocument/2006/relationships/hyperlink" Target="http://www.zaveczresearch.hu/nott-az-aktivitas-erosodott-a-jobbik/" TargetMode="External"/><Relationship Id="rId726" Type="http://schemas.openxmlformats.org/officeDocument/2006/relationships/hyperlink" Target="https://web.archive.org/web/20211224123226/https:/nezopont.hu/a-fidesz-all-nyeresre-2021-vegen/" TargetMode="External"/><Relationship Id="rId933" Type="http://schemas.openxmlformats.org/officeDocument/2006/relationships/hyperlink" Target="https://archiv.nezopont.hu/hodmezovasarhely-utan-sem-valtozott-a-fidesz-tamogatottsaga/" TargetMode="External"/><Relationship Id="rId1009" Type="http://schemas.openxmlformats.org/officeDocument/2006/relationships/hyperlink" Target="https://tarsadalomkutato.hu/ketparti-parlament-varhato/" TargetMode="External"/><Relationship Id="rId62" Type="http://schemas.openxmlformats.org/officeDocument/2006/relationships/hyperlink" Target="https://www.facebook.com/Szazadveg/posts/2325828474226891" TargetMode="External"/><Relationship Id="rId365" Type="http://schemas.openxmlformats.org/officeDocument/2006/relationships/hyperlink" Target="https://publicus.hu/blog/partok-tamogatottsaga-es-potencialis-ep-egyuttmukodesek-2019-februar/" TargetMode="External"/><Relationship Id="rId572" Type="http://schemas.openxmlformats.org/officeDocument/2006/relationships/hyperlink" Target="https://magyarnemzet.hu/belfold/kockazatos-a-kozos-lista-8352999/" TargetMode="External"/><Relationship Id="rId225" Type="http://schemas.openxmlformats.org/officeDocument/2006/relationships/hyperlink" Target="https://docs.google.com/spreadsheets/d/1eitltXmNIU4tHgrYiaQPWPHaG4tN0xVSZO4w_k0mVyA/edit" TargetMode="External"/><Relationship Id="rId432" Type="http://schemas.openxmlformats.org/officeDocument/2006/relationships/hyperlink" Target="https://nepszava.hu/3039867_zavecz-a-fidesz-vezet-de-a-dk-es-a-momentum-lendulete-tovabb-tart" TargetMode="External"/><Relationship Id="rId877" Type="http://schemas.openxmlformats.org/officeDocument/2006/relationships/hyperlink" Target="https://nepszava.hu/3234371_felmeres-ketharmad-elegedetlenseg-publicus-intezet-tisza-part-demokratikus-koalicio" TargetMode="External"/><Relationship Id="rId1062" Type="http://schemas.openxmlformats.org/officeDocument/2006/relationships/hyperlink" Target="https://politicalcapital.hu/hireink.php" TargetMode="External"/><Relationship Id="rId737" Type="http://schemas.openxmlformats.org/officeDocument/2006/relationships/hyperlink" Target="https://24.hu/belfold/2022/03/29/kormanyvaltas-fidesz-kormany-kozvelemeny-kutatas-zavecz-research/" TargetMode="External"/><Relationship Id="rId944" Type="http://schemas.openxmlformats.org/officeDocument/2006/relationships/hyperlink" Target="http://nezopontintezet.hu/analysis/hibahataron-beluli-atrendezodes-jobbik-es-az-mszp-csokken-az-lmp-es-fidesz/" TargetMode="External"/><Relationship Id="rId73" Type="http://schemas.openxmlformats.org/officeDocument/2006/relationships/hyperlink" Target="https://nezopont.hu/hu/tevekenysegeink/kozvelemeny-kutatasok/61-szazalekos-fidesz-tobbseg" TargetMode="External"/><Relationship Id="rId169" Type="http://schemas.openxmlformats.org/officeDocument/2006/relationships/hyperlink" Target="https://24.hu/belfold/2018/04/03/valasztasi-becsles-fidesz-jobbik-mszp/" TargetMode="External"/><Relationship Id="rId376" Type="http://schemas.openxmlformats.org/officeDocument/2006/relationships/hyperlink" Target="https://publicus.hu/blog/partok-orszaggyulesi-es-ep-tamogatottsaga-2019-marcius/" TargetMode="External"/><Relationship Id="rId583" Type="http://schemas.openxmlformats.org/officeDocument/2006/relationships/hyperlink" Target="http://republikon.hu/elemzesek,-kutatasok/20-09-01-ellenzek.aspx" TargetMode="External"/><Relationship Id="rId790" Type="http://schemas.openxmlformats.org/officeDocument/2006/relationships/hyperlink" Target="https://www.facebook.com/valasztasi.kalauz/posts/pfbid028udR3YQKwkFLJKytTNKzJC88KwBViuWZGN3b2U8LA4o22vKUZrLaYWnaQ9p7qvhwl" TargetMode="External"/><Relationship Id="rId804" Type="http://schemas.openxmlformats.org/officeDocument/2006/relationships/hyperlink" Target="https://www.facebook.com/valasztasi.kalauz/posts/pfbid02EdLApSsKXmPH67GBanmCYpZWiMr7RRawwVPNUsawLZG5PquYCmqjaftawRFKjmnhl" TargetMode="External"/><Relationship Id="rId4" Type="http://schemas.openxmlformats.org/officeDocument/2006/relationships/hyperlink" Target="https://www.datawrapper.de/_/vg5ZF/" TargetMode="External"/><Relationship Id="rId236" Type="http://schemas.openxmlformats.org/officeDocument/2006/relationships/hyperlink" Target="https://kozvelemenykutatok.hu/partpreferenciatrend/" TargetMode="External"/><Relationship Id="rId443" Type="http://schemas.openxmlformats.org/officeDocument/2006/relationships/hyperlink" Target="https://publicus.hu/blog/partok-tamogatottsaga-2019-junius/" TargetMode="External"/><Relationship Id="rId650" Type="http://schemas.openxmlformats.org/officeDocument/2006/relationships/hyperlink" Target="https://hvg.hu/360/20210512_Median_Jarvanyban_eloz_a_Fidesz" TargetMode="External"/><Relationship Id="rId888" Type="http://schemas.openxmlformats.org/officeDocument/2006/relationships/hyperlink" Target="https://www.facebook.com/nezopontintezet/posts/pfbid02UWGyymdKCEDM6MxfPnpGNXsvzkcsxLrmv47Cz7PFVekG9XwRGA2uLxE3dWSRyAU5l" TargetMode="External"/><Relationship Id="rId1073" Type="http://schemas.openxmlformats.org/officeDocument/2006/relationships/hyperlink" Target="https://24.hu/belfold/2025/12/17/21-kutatokozpont-2025-december-tisza-fidesz-tamogatottsag/" TargetMode="External"/><Relationship Id="rId303" Type="http://schemas.openxmlformats.org/officeDocument/2006/relationships/hyperlink" Target="https://publicus.hu/blog/partok-tamogatottsaga-2018-november/" TargetMode="External"/><Relationship Id="rId748" Type="http://schemas.openxmlformats.org/officeDocument/2006/relationships/hyperlink" Target="https://24.hu/belfold/2022/03/29/fidesz-kozos-ellenzek-zavecz-kozvelemeny-kutatas-biztos-szavazok/" TargetMode="External"/><Relationship Id="rId955" Type="http://schemas.openxmlformats.org/officeDocument/2006/relationships/hyperlink" Target="https://web.archive.org/web/20171018163626/https:/szazadveg.hu/hu/kutatasok/az-alapitvany-kutatasai/piackutatas-kozvelemeny-kutatas/bukas-lenne-a-kozos-ellenzeki-jeloltallitas" TargetMode="External"/><Relationship Id="rId1140" Type="http://schemas.openxmlformats.org/officeDocument/2006/relationships/hyperlink" Target="https://www.facebook.com/reel/913357181385525" TargetMode="External"/><Relationship Id="rId84" Type="http://schemas.openxmlformats.org/officeDocument/2006/relationships/hyperlink" Target="https://www.facebook.com/hvghu/posts/pfbid0kzHhAiE14yTkCLhHAUjJkv56VwK1GrGZ1oCNoaJR2wgKifXBr14pQAtaZHKjPTpul" TargetMode="External"/><Relationship Id="rId387" Type="http://schemas.openxmlformats.org/officeDocument/2006/relationships/hyperlink" Target="http://www.ideaintezet.hu/hirek-aktualis/16/indulo-ep-kampany-valtozatlan-eroviszonyokkal---2-es-fel-millioan-a-fidesz-taboraban" TargetMode="External"/><Relationship Id="rId510" Type="http://schemas.openxmlformats.org/officeDocument/2006/relationships/hyperlink" Target="https://24.hu/kozelet/2019/12/16/karacsony-gergely-ellenzeki-szimpatia-ismertseg/" TargetMode="External"/><Relationship Id="rId594" Type="http://schemas.openxmlformats.org/officeDocument/2006/relationships/hyperlink" Target="https://hvg.hu/itthon/20201022_fidesz_dk_jobbik_parbeszed_momentum_lmp_mi_hazank_ketfarku_kutyapart_partprefencia_oktober_zavecz_research" TargetMode="External"/><Relationship Id="rId608" Type="http://schemas.openxmlformats.org/officeDocument/2006/relationships/hyperlink" Target="https://nepszava.hu/3102874_maga-moge-utasithatja-az-ellenzek-a-fideszt--de-csak-akkor-ha-nincsenek-kulon-utas-jatszmak" TargetMode="External"/><Relationship Id="rId815" Type="http://schemas.openxmlformats.org/officeDocument/2006/relationships/hyperlink" Target="https://24.hu/belfold/2023/03/10/eu-tagsag-felmeres-21-kutatokozpont/" TargetMode="External"/><Relationship Id="rId247" Type="http://schemas.openxmlformats.org/officeDocument/2006/relationships/hyperlink" Target="https://www.vasarnapihirek.hu/fokusz/beeloztek_a_ketfarkuak" TargetMode="External"/><Relationship Id="rId899" Type="http://schemas.openxmlformats.org/officeDocument/2006/relationships/hyperlink" Target="https://demokrata.hu/magyarorszag/felmeres-a-fidesz-erosodott-a-baloldal-es-marki-zay-csak-lefele-megy-488482/" TargetMode="External"/><Relationship Id="rId1000" Type="http://schemas.openxmlformats.org/officeDocument/2006/relationships/hyperlink" Target="https://republikon.hu/media/167012/Havi-elemzes_2509.pdf" TargetMode="External"/><Relationship Id="rId1084" Type="http://schemas.openxmlformats.org/officeDocument/2006/relationships/hyperlink" Target="https://www.facebook.com/iranytuintezet" TargetMode="External"/><Relationship Id="rId107" Type="http://schemas.openxmlformats.org/officeDocument/2006/relationships/hyperlink" Target="https://index.hu/belfold/2018/valasztas/2018/02/01/szazadveg_a_jobbik_tavolodik_az_mszp-tol" TargetMode="External"/><Relationship Id="rId454" Type="http://schemas.openxmlformats.org/officeDocument/2006/relationships/hyperlink" Target="https://nepszava.hu/3045777_az-ellenzeki-partok-fej-fej-mellett-nezik-messzirol-a-fidesz-hatat" TargetMode="External"/><Relationship Id="rId661" Type="http://schemas.openxmlformats.org/officeDocument/2006/relationships/hyperlink" Target="https://civitasintezet.hu/kiadvanyok/" TargetMode="External"/><Relationship Id="rId759" Type="http://schemas.openxmlformats.org/officeDocument/2006/relationships/hyperlink" Target="https://hang.hu/valasztas/iranytu-az-ellenzeki-politikusok-kozul-donath-anna-a-legnepszerubb-139676" TargetMode="External"/><Relationship Id="rId966" Type="http://schemas.openxmlformats.org/officeDocument/2006/relationships/hyperlink" Target="https://magyarnemzet.hu/belfold-archivum/2018/01/egymassal-versenyezik-az-mszp-a-dk-es-az-lmp" TargetMode="External"/><Relationship Id="rId11" Type="http://schemas.openxmlformats.org/officeDocument/2006/relationships/hyperlink" Target="https://demokrata.hu/magyarorszag/felmeres-a-fidesz-erosodott-a-baloldal-es-marki-zay-csak-lefele-megy-488482/" TargetMode="External"/><Relationship Id="rId314" Type="http://schemas.openxmlformats.org/officeDocument/2006/relationships/hyperlink" Target="https://kozvelemenykutatok.hu/2018-decemberi-kutatasi-eredmenyek-median/" TargetMode="External"/><Relationship Id="rId398" Type="http://schemas.openxmlformats.org/officeDocument/2006/relationships/hyperlink" Target="https://web.archive.org/web/20210918200137/https:/regi.szazadveg.hu/hu/kutatasok/az-alapitvany-kutatasai/piackutatas-kozvelemeny-kutatas/eros-kormanyparti-gyozelem-varhato-az-ep-valasztasokon" TargetMode="External"/><Relationship Id="rId521" Type="http://schemas.openxmlformats.org/officeDocument/2006/relationships/hyperlink" Target="https://nezopontintezet.hu/2020/01/29/valtozatlanul-vezet-a-fidesz-kdnp-a-teljes-ellenzekkel-szemben/" TargetMode="External"/><Relationship Id="rId619" Type="http://schemas.openxmlformats.org/officeDocument/2006/relationships/hyperlink" Target="https://hvg.hu/360/20201209_Median_Szajer" TargetMode="External"/><Relationship Id="rId1151" Type="http://schemas.openxmlformats.org/officeDocument/2006/relationships/hyperlink" Target="https://iranytuintezet.hu/wp-content/uploads/2026/02/2026.02_Iranytu_orszagos_kutatas.pdf" TargetMode="External"/><Relationship Id="rId95" Type="http://schemas.openxmlformats.org/officeDocument/2006/relationships/hyperlink" Target="http://nezopontintezet.hu/analysis/2018_januar_partpreferencia_nezopont/" TargetMode="External"/><Relationship Id="rId160" Type="http://schemas.openxmlformats.org/officeDocument/2006/relationships/hyperlink" Target="https://nezopontintezet.hu/2018/03/28/valtozatlanul-vezet-a-fidesz-a-kampany-veghajrajaban/" TargetMode="External"/><Relationship Id="rId826" Type="http://schemas.openxmlformats.org/officeDocument/2006/relationships/hyperlink" Target="https://mertek.eu/wp-content/uploads/2023/06/Mertek-fuzetek_29.pdf" TargetMode="External"/><Relationship Id="rId1011" Type="http://schemas.openxmlformats.org/officeDocument/2006/relationships/hyperlink" Target="https://hirado.hu/belfold/cikk/2025/10/07/magyar-tarsadalomkutato-a-fidesz-tartja-elonyet-8-szazalekponttal-elozi-a-tiszat" TargetMode="External"/><Relationship Id="rId1109" Type="http://schemas.openxmlformats.org/officeDocument/2006/relationships/hyperlink" Target="https://publicus.hu/blog/partok-tamogatottsaga-2026-januar/" TargetMode="External"/><Relationship Id="rId258" Type="http://schemas.openxmlformats.org/officeDocument/2006/relationships/hyperlink" Target="https://publicus.hu/blog/partok-tamogatottsaga-2018-augusztus/" TargetMode="External"/><Relationship Id="rId465" Type="http://schemas.openxmlformats.org/officeDocument/2006/relationships/hyperlink" Target="https://index.hu/belfold/2019/08/15/zavecz_budapesten_es_a_megyei_jogu_varosokban_erosebb_az_ellenzek_mint_a_fidesz/" TargetMode="External"/><Relationship Id="rId672" Type="http://schemas.openxmlformats.org/officeDocument/2006/relationships/hyperlink" Target="https://24.hu/kozelet/2021/04/13/erosodo-jobbikot-ellenzeki-folenyt-mert-az-idea-intezet/" TargetMode="External"/><Relationship Id="rId1095" Type="http://schemas.openxmlformats.org/officeDocument/2006/relationships/hyperlink" Target="https://www.facebook.com/ideaintezet/posts/1189405793274065" TargetMode="External"/><Relationship Id="rId22" Type="http://schemas.openxmlformats.org/officeDocument/2006/relationships/hyperlink" Target="http://www.ideaintezet.hu/hu/hirek-aktualis/84/elkezdodott-a-fidesz-peremszavazoinak-lassu-lecsatlakozasa" TargetMode="External"/><Relationship Id="rId118" Type="http://schemas.openxmlformats.org/officeDocument/2006/relationships/hyperlink" Target="https://regi.szazadveg.hu/hu/kutatasok/az-alapitvany-kutatasai/piackutatas-kozvelemeny-kutatas/stabil-fidesz-kdnp-elony-erosodo-lmp" TargetMode="External"/><Relationship Id="rId325" Type="http://schemas.openxmlformats.org/officeDocument/2006/relationships/hyperlink" Target="https://nepszava.hu/3019793_rabszolgatorveny-egyre-tobben-latjak-ugy-hogy-rossz-iranyba-mennek-a-dolgok" TargetMode="External"/><Relationship Id="rId532" Type="http://schemas.openxmlformats.org/officeDocument/2006/relationships/hyperlink" Target="http://www.zaveczresearch.hu/aktivabba-valtak-a-valasztok/" TargetMode="External"/><Relationship Id="rId977" Type="http://schemas.openxmlformats.org/officeDocument/2006/relationships/hyperlink" Target="https://web.archive.org/web/20180412035636/https:/mno.hu/belfold/iranytu-intezet-a-dk-es-az-lmp-is-beerte-az-mszp-t-2433521" TargetMode="External"/><Relationship Id="rId1162" Type="http://schemas.openxmlformats.org/officeDocument/2006/relationships/hyperlink" Target="https://hvg.hu/itthon/201414_rejt_a_palya" TargetMode="External"/><Relationship Id="rId171" Type="http://schemas.openxmlformats.org/officeDocument/2006/relationships/hyperlink" Target="http://republikon.hu/elemzesek,-kutatasok/180403-kvk.aspx" TargetMode="External"/><Relationship Id="rId837" Type="http://schemas.openxmlformats.org/officeDocument/2006/relationships/hyperlink" Target="https://nezopont.hu/wp-content/uploads/2023/05/Nezopont_Lesz-e-fordulat-Europaban-2024-ben.pdf" TargetMode="External"/><Relationship Id="rId1022" Type="http://schemas.openxmlformats.org/officeDocument/2006/relationships/hyperlink" Target="https://www.facebook.com/photo?fbid=1261461299359048&amp;set=a.479894894182363" TargetMode="External"/><Relationship Id="rId269" Type="http://schemas.openxmlformats.org/officeDocument/2006/relationships/hyperlink" Target="https://kozvelemenykutatok.hu/partpreferenciatrend/" TargetMode="External"/><Relationship Id="rId476" Type="http://schemas.openxmlformats.org/officeDocument/2006/relationships/hyperlink" Target="https://hvg.hu/itthon/20190920_Zavecz_Egyedul_a_Fidesz_tamogatottsaga_nott_szeptemberben" TargetMode="External"/><Relationship Id="rId683" Type="http://schemas.openxmlformats.org/officeDocument/2006/relationships/hyperlink" Target="https://444.hu/2021/05/06/publicus-kicsit-nepszerubb-az-ellenzeki-osszefogas-a-fidesz-kdnp-szovetsegenel" TargetMode="External"/><Relationship Id="rId890" Type="http://schemas.openxmlformats.org/officeDocument/2006/relationships/hyperlink" Target="https://telex.hu/belfold/2024/07/15/republikon-intezet-valasztas-utani-partpreferenciak-fidesz-tisza-part" TargetMode="External"/><Relationship Id="rId904" Type="http://schemas.openxmlformats.org/officeDocument/2006/relationships/hyperlink" Target="https://demokrata.hu/magyarorszag/felmeres-a-fidesz-erosodott-a-baloldal-es-marki-zay-csak-lefele-megy-488482/" TargetMode="External"/><Relationship Id="rId33" Type="http://schemas.openxmlformats.org/officeDocument/2006/relationships/hyperlink" Target="https://republikon.hu/elemzesek,-kutatasok/20250629_budapest-partpreferencia.aspx" TargetMode="External"/><Relationship Id="rId129" Type="http://schemas.openxmlformats.org/officeDocument/2006/relationships/hyperlink" Target="https://nezopontintezet.hu/wp-content/uploads/2018/02/P%C3%A1rtpref-febru%C3%A1r.png" TargetMode="External"/><Relationship Id="rId336" Type="http://schemas.openxmlformats.org/officeDocument/2006/relationships/hyperlink" Target="https://nepszava.hu/3023405_feltuzeltek-szavazoikat-a-partok" TargetMode="External"/><Relationship Id="rId543" Type="http://schemas.openxmlformats.org/officeDocument/2006/relationships/hyperlink" Target="https://nezopontintezet.hu/en/2020/03/18/government-measures-find-support-among-opposition/" TargetMode="External"/><Relationship Id="rId988" Type="http://schemas.openxmlformats.org/officeDocument/2006/relationships/hyperlink" Target="http://www.tarki.hu/hu/news/2017/kitekint/20171026_valasztas.html" TargetMode="External"/><Relationship Id="rId1173" Type="http://schemas.openxmlformats.org/officeDocument/2006/relationships/hyperlink" Target="https://nezopont.hu/hu/tevekenysegeink/kozvelemeny-kutatasok/enyhen-erosodo-fidesz" TargetMode="External"/><Relationship Id="rId182" Type="http://schemas.openxmlformats.org/officeDocument/2006/relationships/hyperlink" Target="https://m.hvg.hu/360/hetilap360/2018/14/20181405magyar3" TargetMode="External"/><Relationship Id="rId403" Type="http://schemas.openxmlformats.org/officeDocument/2006/relationships/hyperlink" Target="https://hvg.hu/itthon/20190502_Felmeres_EPmandatumot_szerezhet_a_Momentum_a_Jobbik_nagyon_visszaesett" TargetMode="External"/><Relationship Id="rId750" Type="http://schemas.openxmlformats.org/officeDocument/2006/relationships/hyperlink" Target="https://magyarnemzet.hu/belfold/2022/03/nezopont-a-fideszkdnp-47-az-egyesult-baloldal-42-szazalekon-all-a-valasztasok-elott-egy-hettel" TargetMode="External"/><Relationship Id="rId848" Type="http://schemas.openxmlformats.org/officeDocument/2006/relationships/hyperlink" Target="https://publicus.hu/blog/tizbol-heten-elegedettek-veres-pal-miskolci-polgarmester-eddigi-munkajaval/" TargetMode="External"/><Relationship Id="rId1033" Type="http://schemas.openxmlformats.org/officeDocument/2006/relationships/hyperlink" Target="https://www.facebook.com/nezopontintezet/posts/pfbid02zcHkZ4yNrKs2suHJBCejzvxhRHpGEiHnBvsVWEvU1dd1jmozf1NDeFmxp8SXPgeXl" TargetMode="External"/><Relationship Id="rId487" Type="http://schemas.openxmlformats.org/officeDocument/2006/relationships/hyperlink" Target="https://publicus.hu/blog/partok-tamogatottsaga-2019-oktober/" TargetMode="External"/><Relationship Id="rId610" Type="http://schemas.openxmlformats.org/officeDocument/2006/relationships/hyperlink" Target="https://nepszava.hu/3102874_maga-moge-utasithatja-az-ellenzek-a-fideszt--de-csak-akkor-ha-nincsenek-kulon-utas-jatszmak" TargetMode="External"/><Relationship Id="rId694" Type="http://schemas.openxmlformats.org/officeDocument/2006/relationships/hyperlink" Target="https://nezopont.hu/csokkentek-karacsony-eselyei/" TargetMode="External"/><Relationship Id="rId708" Type="http://schemas.openxmlformats.org/officeDocument/2006/relationships/hyperlink" Target="https://444.hu/2021/08/20/civitas-dobrev-klara-a-legnepszerubb-ellenzeki-jelolt" TargetMode="External"/><Relationship Id="rId915" Type="http://schemas.openxmlformats.org/officeDocument/2006/relationships/hyperlink" Target="https://iranytuintezet.hu/kutatas/az-egyes-partok-szavazotaboranak-szociodemografiai-osszetetele-2024-25-tel/" TargetMode="External"/><Relationship Id="rId347" Type="http://schemas.openxmlformats.org/officeDocument/2006/relationships/hyperlink" Target="https://kozvelemenykutatok.hu/partpreferenciatrend/" TargetMode="External"/><Relationship Id="rId999" Type="http://schemas.openxmlformats.org/officeDocument/2006/relationships/hyperlink" Target="https://telex.hu/belfold/2025/10/06/republikon-kozvelemeny-kutatas-partpreferencia-szeptember" TargetMode="External"/><Relationship Id="rId1100" Type="http://schemas.openxmlformats.org/officeDocument/2006/relationships/hyperlink" Target="https://tarsadalomkutato.hu/a-tiszasok-harmada-sem-hiszi-hogy-jol-jarna-egy-tisza-gyozelemmel/" TargetMode="External"/><Relationship Id="rId1184" Type="http://schemas.openxmlformats.org/officeDocument/2006/relationships/hyperlink" Target="https://index.hu/belfold/2026/03/31/zavecz-research-kozvelemeny-kutatas-partpreferencia-fidesz-tisza-part-valasztas-2026/" TargetMode="External"/><Relationship Id="rId44" Type="http://schemas.openxmlformats.org/officeDocument/2006/relationships/hyperlink" Target="https://web.archive.org/web/20201203100433/https:/iranytuintezet.hu/letoltes/?file=/shared/elemzesek/kutat%C3%A1s_2020%20okt%C3%B3ber.pdf" TargetMode="External"/><Relationship Id="rId554" Type="http://schemas.openxmlformats.org/officeDocument/2006/relationships/hyperlink" Target="https://nepszava.hu/3077160_visszalengett-az-inga--a-publicus-szerint-erosodott-az-ellenzek" TargetMode="External"/><Relationship Id="rId761" Type="http://schemas.openxmlformats.org/officeDocument/2006/relationships/hyperlink" Target="http://republikon.hu/elemzesek,-kutatasok/22-05-10-kvk-aprilis.aspx" TargetMode="External"/><Relationship Id="rId859" Type="http://schemas.openxmlformats.org/officeDocument/2006/relationships/hyperlink" Target="http://republikon.hu/elemzesek,-kutatasok/23-12-06-kvk.aspx" TargetMode="External"/><Relationship Id="rId193" Type="http://schemas.openxmlformats.org/officeDocument/2006/relationships/hyperlink" Target="http://publicus.hu/blog/partok_tamogatottsaga_szakertoi_becsles_2018_aprilis/" TargetMode="External"/><Relationship Id="rId207" Type="http://schemas.openxmlformats.org/officeDocument/2006/relationships/hyperlink" Target="https://publicus.hu/blog/partok-tamogatottsaga-es-atszavazasok-2018-aprilis/" TargetMode="External"/><Relationship Id="rId414" Type="http://schemas.openxmlformats.org/officeDocument/2006/relationships/hyperlink" Target="http://iranytuintezet.hu/elemzesek-kutatasok/mind/237-partpreferenciak-alakulasa-az-europai-parlamenti-valasztas-elott/" TargetMode="External"/><Relationship Id="rId498" Type="http://schemas.openxmlformats.org/officeDocument/2006/relationships/hyperlink" Target="https://magyarnemzet.hu/belfold/magabiztosan-vezet-a-fidesz-a-nezopontnal-7484480/" TargetMode="External"/><Relationship Id="rId621" Type="http://schemas.openxmlformats.org/officeDocument/2006/relationships/hyperlink" Target="https://tk.hu/uploads/files/2021/ertek_identi.pdf,%2054.%20oldal" TargetMode="External"/><Relationship Id="rId1044" Type="http://schemas.openxmlformats.org/officeDocument/2006/relationships/hyperlink" Target="https://www.xxiszazadintezet.hu/a-magyarok-nagy-tobbsege-szerint-szigorubban-kellene-fellepni-az-internetes-alhirterjesztokkel-szemben/" TargetMode="External"/><Relationship Id="rId260" Type="http://schemas.openxmlformats.org/officeDocument/2006/relationships/hyperlink" Target="https://publicus.hu/blog/partok-tamogatottsaga-2018-augusztus/" TargetMode="External"/><Relationship Id="rId719" Type="http://schemas.openxmlformats.org/officeDocument/2006/relationships/hyperlink" Target="https://www.origo.hu/itthon/20211026-realpr-93jelentos-fideszelony.html" TargetMode="External"/><Relationship Id="rId926" Type="http://schemas.openxmlformats.org/officeDocument/2006/relationships/hyperlink" Target="https://web.archive.org/web/20241213205744/https:/index.hu/belfold/2017/10/19/a_fidesz_nepszerusege_majdnem_megduplazodott_a_60_evnel_idosebbek_koreben/" TargetMode="External"/><Relationship Id="rId1111" Type="http://schemas.openxmlformats.org/officeDocument/2006/relationships/hyperlink" Target="https://publicus.hu/blog/a-tobbseg-szerint-orban-elfaradt-alkalmas-utod-szijjarto-peter-vagy-varga-mihaly-lehetne/" TargetMode="External"/><Relationship Id="rId55" Type="http://schemas.openxmlformats.org/officeDocument/2006/relationships/hyperlink" Target="https://www.origo.hu/itthon/2019/09/erdos-gergely-a-baloldal-fegyvertelen-az-eredmenyes-kormanyparti-polgarmesterekkel-szemben" TargetMode="External"/><Relationship Id="rId120" Type="http://schemas.openxmlformats.org/officeDocument/2006/relationships/hyperlink" Target="https://szazadveg.hu/hu/kutatasok/az-alapitvany-kutatasai/piackutatas-kozvelemeny-kutatas/stabil-fidesz-kdnp-elony-erosodo-lmp" TargetMode="External"/><Relationship Id="rId358" Type="http://schemas.openxmlformats.org/officeDocument/2006/relationships/hyperlink" Target="https://publicus.hu/wp-content/uploads/2019/03/ppref_2019_02_detail.png" TargetMode="External"/><Relationship Id="rId565" Type="http://schemas.openxmlformats.org/officeDocument/2006/relationships/hyperlink" Target="https://nezopontintezet.hu/2020/06/12/a-jobbik-2022-re-folosleges-lehet/" TargetMode="External"/><Relationship Id="rId772" Type="http://schemas.openxmlformats.org/officeDocument/2006/relationships/hyperlink" Target="http://www.ideaintezet.hu/hu/hirek-aktualis/85/2021--ev-vegi-szintre-csokkent-a-fidesz-tamogatottsaga------2022--augusztus-eleje" TargetMode="External"/><Relationship Id="rId218" Type="http://schemas.openxmlformats.org/officeDocument/2006/relationships/hyperlink" Target="https://publicus.hu/blog/partok_tamogatottsaga_es_az_ellenzeki_politizalas-2018_majus/" TargetMode="External"/><Relationship Id="rId425" Type="http://schemas.openxmlformats.org/officeDocument/2006/relationships/hyperlink" Target="https://publicus.hu/blog/partok-ep-es-orszaggyulesi-tamogatottsaga-2019-majus/" TargetMode="External"/><Relationship Id="rId632" Type="http://schemas.openxmlformats.org/officeDocument/2006/relationships/hyperlink" Target="https://magyarnemzet.hu/belfold/dobrev-klara-a-legeselyesebb-az-ellenzeki-elovalasztason-9135869/" TargetMode="External"/><Relationship Id="rId1055" Type="http://schemas.openxmlformats.org/officeDocument/2006/relationships/hyperlink" Target="https://www.facebook.com/realpr93/posts/pfbid037R6kVR1NyPE1GMP4QKpZY5ZRmn863XxonMUadz7ahrx1UXth597jfvqnuYFCZ6dFl" TargetMode="External"/><Relationship Id="rId271" Type="http://schemas.openxmlformats.org/officeDocument/2006/relationships/hyperlink" Target="https://nezopontintezet.hu/2018/12/04/erosodott-a-fidesz-tovabb-gyengult-a-jobbik/" TargetMode="External"/><Relationship Id="rId937" Type="http://schemas.openxmlformats.org/officeDocument/2006/relationships/hyperlink" Target="http://nezopontintezet.hu/analysis/csucsponton-fidesz/" TargetMode="External"/><Relationship Id="rId1122" Type="http://schemas.openxmlformats.org/officeDocument/2006/relationships/hyperlink" Target="http://www.tarki.hu/hu/news/2018/kitekint/20180129_valasztas.html" TargetMode="External"/><Relationship Id="rId66" Type="http://schemas.openxmlformats.org/officeDocument/2006/relationships/hyperlink" Target="https://www.facebook.com/republikon/posts/pfbid02PeeL3wNFGdUnNgMr37PXbqeBmhuV7k41sMEKuS6dc7BgowXYs4i1edMfWqzfiA5Yl" TargetMode="External"/><Relationship Id="rId131" Type="http://schemas.openxmlformats.org/officeDocument/2006/relationships/hyperlink" Target="http://iranytuintezet.hu/elemzesek-kutatasok/mind/229-hogy-szavaznanak-az-aktiv-facebook-felhasznalok/" TargetMode="External"/><Relationship Id="rId369" Type="http://schemas.openxmlformats.org/officeDocument/2006/relationships/hyperlink" Target="https://hvg.hu/itthon/20190311_IDEA_a_baloldal_semmit_nem_profitalt_a_tuloratorvenyes_tiltakozasokbol" TargetMode="External"/><Relationship Id="rId576" Type="http://schemas.openxmlformats.org/officeDocument/2006/relationships/hyperlink" Target="https://nezopont.hu/a-kormanyparti-politikusok-nepszerubbek-mint-az-ellenzekiek/" TargetMode="External"/><Relationship Id="rId783" Type="http://schemas.openxmlformats.org/officeDocument/2006/relationships/hyperlink" Target="https://nezopont.hu/visszaerosodott-a-fidesz/" TargetMode="External"/><Relationship Id="rId990" Type="http://schemas.openxmlformats.org/officeDocument/2006/relationships/hyperlink" Target="http://www.tarki.hu/hu/news/2017/kitekint/20171026_valasztas.html" TargetMode="External"/><Relationship Id="rId229" Type="http://schemas.openxmlformats.org/officeDocument/2006/relationships/hyperlink" Target="http://www.zaveczresearch.hu/muloban-az-aktivitas-de-a-fidesz-szavazok-lenduletben-maradtak/" TargetMode="External"/><Relationship Id="rId436" Type="http://schemas.openxmlformats.org/officeDocument/2006/relationships/hyperlink" Target="https://24.hu/belfold/2019/06/17/zavecz-tovabb-tart-a-fidesz-a-dk-es-a-momentum-lendulete/" TargetMode="External"/><Relationship Id="rId643" Type="http://schemas.openxmlformats.org/officeDocument/2006/relationships/hyperlink" Target="https://24.hu/kozelet/2021/02/19/zavecz-research-feljott-a-partrangsor-3-helyere-a-jobbik/" TargetMode="External"/><Relationship Id="rId1066" Type="http://schemas.openxmlformats.org/officeDocument/2006/relationships/hyperlink" Target="https://nezopont.hu/hu/tevekenysegeink/kozvelemeny-kutatasok/a-szolo-utca-uegye-sem-segitett-a-tiszan" TargetMode="External"/><Relationship Id="rId850" Type="http://schemas.openxmlformats.org/officeDocument/2006/relationships/hyperlink" Target="https://publicus.hu/blog/tizbol-het-ellenzeki-szerint-a-kozos-listaval-jobb-eredmenyt-lehet-elerni-az-europai-parlamenti-valasztason/" TargetMode="External"/><Relationship Id="rId948" Type="http://schemas.openxmlformats.org/officeDocument/2006/relationships/hyperlink" Target="http://kozvelemenykutatok.hu/2017-oktoberi-kutatasi-eredmenyek-szazadveg/" TargetMode="External"/><Relationship Id="rId1133" Type="http://schemas.openxmlformats.org/officeDocument/2006/relationships/hyperlink" Target="https://www.nyugat.hu/cikk/publicus_kutatas_szombathely_2026_februar_czegledy_rapli" TargetMode="External"/><Relationship Id="rId77" Type="http://schemas.openxmlformats.org/officeDocument/2006/relationships/hyperlink" Target="https://telex.hu/belfold/2024/12/05/magyar-peter-fidesz-2026-orszaggyulesi-valasztas-egyeni-szabadsag-nepszeruseg-valasztoi-attitud" TargetMode="External"/><Relationship Id="rId282" Type="http://schemas.openxmlformats.org/officeDocument/2006/relationships/hyperlink" Target="https://publicus.hu/blog/partok-tamogatottsaga-2018-oktober/" TargetMode="External"/><Relationship Id="rId503" Type="http://schemas.openxmlformats.org/officeDocument/2006/relationships/hyperlink" Target="http://www.zaveczresearch.hu/a-fidesz-gyengult-a-momentum-erosodott/" TargetMode="External"/><Relationship Id="rId587" Type="http://schemas.openxmlformats.org/officeDocument/2006/relationships/hyperlink" Target="http://www.zaveczresearch.hu/fidesz-34-szazalek-egyuttmukodo-ellenzek-32-szazalek/" TargetMode="External"/><Relationship Id="rId710" Type="http://schemas.openxmlformats.org/officeDocument/2006/relationships/hyperlink" Target="https://444.hu/2021/08/20/civitas-dobrev-klara-a-legnepszerubb-ellenzeki-jelolt" TargetMode="External"/><Relationship Id="rId808" Type="http://schemas.openxmlformats.org/officeDocument/2006/relationships/hyperlink" Target="https://nezopont.hu/a-magyarok-beket-akarnak-de-nem-latjak-a-haboru-veget/" TargetMode="External"/><Relationship Id="rId8" Type="http://schemas.openxmlformats.org/officeDocument/2006/relationships/hyperlink" Target="https://demokrata.hu/kozvelemeny-kutatas/on-kit-valasztana-30-242516/" TargetMode="External"/><Relationship Id="rId142" Type="http://schemas.openxmlformats.org/officeDocument/2006/relationships/hyperlink" Target="https://szazadveg.hu/hu/kutatasok/az-alapitvany-kutatasai/piackutatas-kozvelemeny-kutatas/aktivizalodott-a-fidesz-kdnp-tabor-hodmezovasarhely-utan" TargetMode="External"/><Relationship Id="rId447" Type="http://schemas.openxmlformats.org/officeDocument/2006/relationships/hyperlink" Target="http://www.zaveczresearch.hu/a-nyar-kozepere-csokkent-a-politikai-aktivitas/" TargetMode="External"/><Relationship Id="rId794" Type="http://schemas.openxmlformats.org/officeDocument/2006/relationships/hyperlink" Target="https://www.facebook.com/valasztasi.kalauz/posts/pfbid02QMbMMpHUXJh6w7WUU31tG6kZyPvWfXK9tpUWk8YmkW1XmN3EYtjqJCjMTzNCNcuzl" TargetMode="External"/><Relationship Id="rId1077" Type="http://schemas.openxmlformats.org/officeDocument/2006/relationships/hyperlink" Target="https://publicus.hu/blog/budapest-13-as-valasztokorzet-mi-a-helyzet-a-xv-keruletben/" TargetMode="External"/><Relationship Id="rId654" Type="http://schemas.openxmlformats.org/officeDocument/2006/relationships/hyperlink" Target="http://ideaintezet.hu/hu/hirek-aktualis/53/stabil-az-ellenzeki-egyesitett-lista-elonye------2021--februar" TargetMode="External"/><Relationship Id="rId861" Type="http://schemas.openxmlformats.org/officeDocument/2006/relationships/hyperlink" Target="https://www.facebook.com/ideaintezet/posts/pfbid0cWS17MZbfKr6e5TVCYYBbaqhwaKpymXxjeoFYcJAZuFatrYjwEtxXbUXYg954PUHl" TargetMode="External"/><Relationship Id="rId959" Type="http://schemas.openxmlformats.org/officeDocument/2006/relationships/hyperlink" Target="https://web.archive.org/web/20200409011007/http:/iranytuintezet.hu/letoltes/?file=/shared/kutatasok/Hogy%20szavazn%C3%A1nak%20az%20akt%C3%ADv%20Facebook-felhaszn%C3%A1l%C3%B3k_2018.03.01..pdf" TargetMode="External"/><Relationship Id="rId293" Type="http://schemas.openxmlformats.org/officeDocument/2006/relationships/hyperlink" Target="https://kozvelemenykutatok.hu/partpreferenciatrend/" TargetMode="External"/><Relationship Id="rId307" Type="http://schemas.openxmlformats.org/officeDocument/2006/relationships/hyperlink" Target="https://kozvelemenykutatok.hu/partpreferenciatrend/" TargetMode="External"/><Relationship Id="rId514" Type="http://schemas.openxmlformats.org/officeDocument/2006/relationships/hyperlink" Target="http://www.zaveczresearch.hu/ev-vegi-dobogosok-fidesz-32-dk-9-momentum-7/" TargetMode="External"/><Relationship Id="rId721" Type="http://schemas.openxmlformats.org/officeDocument/2006/relationships/hyperlink" Target="http://republikon.hu/elemzesek,-kutatasok/21-11-08-kvk-okt.aspx" TargetMode="External"/><Relationship Id="rId1144" Type="http://schemas.openxmlformats.org/officeDocument/2006/relationships/hyperlink" Target="https://www.youtube.com/watch?v=1iDTr_f5k64" TargetMode="External"/><Relationship Id="rId88" Type="http://schemas.openxmlformats.org/officeDocument/2006/relationships/hyperlink" Target="https://publicus.hu/blog/partok-tamogatottsaga-2024-oktober/" TargetMode="External"/><Relationship Id="rId153" Type="http://schemas.openxmlformats.org/officeDocument/2006/relationships/hyperlink" Target="https://web.archive.org/web/20180329153057/http:/nezopontintezet.hu/analysis/hodmezovasarhely-utan-sem-valtozott-fidesz-tamogatottsaga/" TargetMode="External"/><Relationship Id="rId360" Type="http://schemas.openxmlformats.org/officeDocument/2006/relationships/hyperlink" Target="https://publicus.hu/wp-content/uploads/2019/03/2019_02_ppef_all.png" TargetMode="External"/><Relationship Id="rId598" Type="http://schemas.openxmlformats.org/officeDocument/2006/relationships/hyperlink" Target="https://24.hu/belfold/2020/10/30/harom-reszre-szakadt-az-orszag-nagyon-aktivak-a-valasztok/" TargetMode="External"/><Relationship Id="rId819" Type="http://schemas.openxmlformats.org/officeDocument/2006/relationships/hyperlink" Target="http://www.ideaintezet.hu/hu/hirek-aktualis/97/a-fidesz-szavazok-szerint-a-beke-es-biztonsag-szempontjabol-trump-tipusu-lenne-a-legjobb-az-usa-nak" TargetMode="External"/><Relationship Id="rId1004" Type="http://schemas.openxmlformats.org/officeDocument/2006/relationships/hyperlink" Target="https://docs.google.com/presentation/d/1AHGXqOcl4M3icT7SAKTTbizC5qOR-5TI/edit" TargetMode="External"/><Relationship Id="rId220" Type="http://schemas.openxmlformats.org/officeDocument/2006/relationships/hyperlink" Target="http://www.zaveczresearch.hu/kik-szavaztak-hogyan-szavaztak-aprilis-8-an/" TargetMode="External"/><Relationship Id="rId458" Type="http://schemas.openxmlformats.org/officeDocument/2006/relationships/hyperlink" Target="https://24.hu/belfold/2019/08/08/2540613ellenzek-fidesz-kozvelemeny-kutatas-idea-intezet/" TargetMode="External"/><Relationship Id="rId665" Type="http://schemas.openxmlformats.org/officeDocument/2006/relationships/hyperlink" Target="https://nezopont.hu/a-baloldal-nem-kormanyzokepes/" TargetMode="External"/><Relationship Id="rId872" Type="http://schemas.openxmlformats.org/officeDocument/2006/relationships/hyperlink" Target="https://tarsadalomkutato.hu/a-nok-koreben-magasabb-a-fidesz-tamogatottsaga-mint-a-ferfiaknal/" TargetMode="External"/><Relationship Id="rId1088" Type="http://schemas.openxmlformats.org/officeDocument/2006/relationships/hyperlink" Target="https://tenyek.hu/politika/2025/12/tobb-kulcsfontossagu-valasztokeruletben-is-jelentosen-vezet-a-fidesz-a-tisza-elott" TargetMode="External"/><Relationship Id="rId15" Type="http://schemas.openxmlformats.org/officeDocument/2006/relationships/hyperlink" Target="https://demokrata.hu/magyarorszag/felmeres-igy-all-most-az-orban-viktor-marki-zay-csata-507827/" TargetMode="External"/><Relationship Id="rId318" Type="http://schemas.openxmlformats.org/officeDocument/2006/relationships/hyperlink" Target="https://docs.google.com/spreadsheets/d/1eitltXmNIU4tHgrYiaQPWPHaG4tN0xVSZO4w_k0mVyA/edit" TargetMode="External"/><Relationship Id="rId525" Type="http://schemas.openxmlformats.org/officeDocument/2006/relationships/hyperlink" Target="http://www.zaveczresearch.hu/a-fidesz-tabora-csokkent-az-ellenzeke-nem-valtozott-tobb-lett-a-bizonytalan/" TargetMode="External"/><Relationship Id="rId732" Type="http://schemas.openxmlformats.org/officeDocument/2006/relationships/hyperlink" Target="https://www.atv.hu/belfold/20220125/felmeres-5-szazalekkal-vezet-a-fidesz" TargetMode="External"/><Relationship Id="rId1155" Type="http://schemas.openxmlformats.org/officeDocument/2006/relationships/hyperlink" Target="https://www.atv.hu/belfold/20140406/nezopont-fidesz-48-kormanyvaltok-27-jobbik-18-lmp-6-szazalek/" TargetMode="External"/><Relationship Id="rId99" Type="http://schemas.openxmlformats.org/officeDocument/2006/relationships/hyperlink" Target="http://publicus.hu/blog/partok_tamogatottsaga_es_egyes_politikusok_nepszerusege_2018_januar/" TargetMode="External"/><Relationship Id="rId164" Type="http://schemas.openxmlformats.org/officeDocument/2006/relationships/hyperlink" Target="http://publicus.hu/images/uploads/2018_03_ppref_all.png" TargetMode="External"/><Relationship Id="rId371" Type="http://schemas.openxmlformats.org/officeDocument/2006/relationships/hyperlink" Target="http://www.zaveczresearch.hu/kismervu-valtozasok-a-partpreferenciakban/" TargetMode="External"/><Relationship Id="rId1015" Type="http://schemas.openxmlformats.org/officeDocument/2006/relationships/hyperlink" Target="https://24.hu/belfold/2025/10/13/21-kutatokozpont-2025-oktober-partpreferencia-tisza-fidesz/" TargetMode="External"/><Relationship Id="rId469" Type="http://schemas.openxmlformats.org/officeDocument/2006/relationships/hyperlink" Target="https://nezopontintezet.hu/2019/09/04/stabilan-33-millio-fidesz-szimpatizans-van-magyarorszagon/" TargetMode="External"/><Relationship Id="rId676" Type="http://schemas.openxmlformats.org/officeDocument/2006/relationships/hyperlink" Target="https://telex.hu/belfold/2021/04/30/aprilis-marcius-republikon-partpreferencia-valtozas-fidesz-erositett-a-bizonytalanoknal" TargetMode="External"/><Relationship Id="rId883" Type="http://schemas.openxmlformats.org/officeDocument/2006/relationships/hyperlink" Target="https://mandiner.hu/belfold/2024/05/igy-alakulhatnak-a-mandatumok-az-ep-valasztason" TargetMode="External"/><Relationship Id="rId1099" Type="http://schemas.openxmlformats.org/officeDocument/2006/relationships/hyperlink" Target="https://magyarnemzet.hu/belfold/2026/01/fidesz-kdnp-tisza-kozvelemeny-kutatas-alapjogokert-kozpont" TargetMode="External"/><Relationship Id="rId26" Type="http://schemas.openxmlformats.org/officeDocument/2006/relationships/hyperlink" Target="https://nezopont.hu/hu/tevekenysegeink/kozvelemeny-kutatasok/a-videki-magyarorszagnak-koeszoenheti-elonyet-a-fidesz" TargetMode="External"/><Relationship Id="rId231" Type="http://schemas.openxmlformats.org/officeDocument/2006/relationships/hyperlink" Target="https://www.vasarnapihirek.hu/szerintem/beerte_a_jobbikot_az_mszp" TargetMode="External"/><Relationship Id="rId329" Type="http://schemas.openxmlformats.org/officeDocument/2006/relationships/hyperlink" Target="http://www.ideaintezet.hu/hirek-aktualis/13/---rabszolgatorveny----miatti-tiltakozasok--a-bizonytalanok-is-ellenzeki-allasponton" TargetMode="External"/><Relationship Id="rId536" Type="http://schemas.openxmlformats.org/officeDocument/2006/relationships/hyperlink" Target="https://publicus.hu/blog/partok-tamogatottsaga-2020-marcius/" TargetMode="External"/><Relationship Id="rId1166" Type="http://schemas.openxmlformats.org/officeDocument/2006/relationships/hyperlink" Target="https://hvg.hu/itthon/20140405_Ipsos_1015_szazalekkal_verheti_a_Fidesz" TargetMode="External"/><Relationship Id="rId175" Type="http://schemas.openxmlformats.org/officeDocument/2006/relationships/hyperlink" Target="https://mno.hu/belfold/iranytu-intezet-a-jobbik-a-fidesz-fo-kihivoja-2458014" TargetMode="External"/><Relationship Id="rId743" Type="http://schemas.openxmlformats.org/officeDocument/2006/relationships/hyperlink" Target="https://telex.hu/valasztas-2022/2022/03/23/tarsadalomkutato-felmeres-valasztas-2022-fidesz-kdnp-ellenzek" TargetMode="External"/><Relationship Id="rId950" Type="http://schemas.openxmlformats.org/officeDocument/2006/relationships/hyperlink" Target="https://szazadveg.hu/hu/kutatasok/az-alapitvany-kutatasai/piackutatas-kozvelemeny-kutatas/tovabb-erosodott-a-fidesz-kdnp" TargetMode="External"/><Relationship Id="rId1026" Type="http://schemas.openxmlformats.org/officeDocument/2006/relationships/hyperlink" Target="https://www.mindenkipecsert.hu/2025/09/28/kozhangulat-pecsen/" TargetMode="External"/><Relationship Id="rId382" Type="http://schemas.openxmlformats.org/officeDocument/2006/relationships/hyperlink" Target="https://nepszava.hu/3030602_az-mszp-szavazoi-a-legelkotelezettebbek-egyre-tobben-elegedetlenek-az-orszag-allapotaval" TargetMode="External"/><Relationship Id="rId603" Type="http://schemas.openxmlformats.org/officeDocument/2006/relationships/hyperlink" Target="http://ideaintezet.hu/hu/hirek-aktualis/45/az-ellenzek-ossztamogatottsaga-magasabb--mint-a-kormanypartoke" TargetMode="External"/><Relationship Id="rId687" Type="http://schemas.openxmlformats.org/officeDocument/2006/relationships/hyperlink" Target="http://ideaintezet.hu/hu/hirek-aktualis/58/rendkivul-kielezett-verseny-a-politikai-tombok-kozott-2021--majus-elejen-" TargetMode="External"/><Relationship Id="rId810" Type="http://schemas.openxmlformats.org/officeDocument/2006/relationships/hyperlink" Target="https://telex.hu/belfold/2023/03/12/akkumulatorgyarak-median-felmeres-okopolisz" TargetMode="External"/><Relationship Id="rId908" Type="http://schemas.openxmlformats.org/officeDocument/2006/relationships/hyperlink" Target="https://hvg.hu/itthon/20250719_Tisza-Magyar-Peter-belso-meres-holtverseny-Tisza-Fidesz-Bekes-partpreferencia-kutatas-ebx" TargetMode="External"/><Relationship Id="rId242" Type="http://schemas.openxmlformats.org/officeDocument/2006/relationships/hyperlink" Target="https://szazadveg.hu/hu/kutatasok/az-alapitvany-kutatasai/piackutatas-kozvelemeny-kutatas/stabil-fidesz-kdnp-gyengulo-ellenzek" TargetMode="External"/><Relationship Id="rId894" Type="http://schemas.openxmlformats.org/officeDocument/2006/relationships/hyperlink" Target="https://nezopont.hu/nepszeruek-a-kozoktatast-erinto-kormanyzati-intezkedesek/" TargetMode="External"/><Relationship Id="rId1177" Type="http://schemas.openxmlformats.org/officeDocument/2006/relationships/hyperlink" Target="https://www.minervaintezet.hu/202603.html" TargetMode="External"/><Relationship Id="rId37" Type="http://schemas.openxmlformats.org/officeDocument/2006/relationships/hyperlink" Target="https://publicus.hu/blog/partok-orszaggyulesi-es-ep-tamogatottsaga-2019-marcius/" TargetMode="External"/><Relationship Id="rId102" Type="http://schemas.openxmlformats.org/officeDocument/2006/relationships/hyperlink" Target="http://publicus.hu/blog/partok_tamogatottsaga_es_egyes_politikusok_nepszerusege_2018_januar/" TargetMode="External"/><Relationship Id="rId547" Type="http://schemas.openxmlformats.org/officeDocument/2006/relationships/hyperlink" Target="https://publicus.hu/blog/partok-tamogatottsaga-2020-marcius-vege/" TargetMode="External"/><Relationship Id="rId754" Type="http://schemas.openxmlformats.org/officeDocument/2006/relationships/hyperlink" Target="https://magyarnemzet.hu/belfold/2022/03/nezopont-a-fideszkdnp-47-az-egyesult-baloldal-42-szazalekon-all-a-valasztasok-elott-egy-hettel" TargetMode="External"/><Relationship Id="rId961" Type="http://schemas.openxmlformats.org/officeDocument/2006/relationships/hyperlink" Target="https://www.atv.hu/belfold/20180212/friss-meres-tartjak-magukat-gyurcsanyek-az-mszp-a-kuszobon-tancol" TargetMode="External"/><Relationship Id="rId90" Type="http://schemas.openxmlformats.org/officeDocument/2006/relationships/hyperlink" Target="http://iranytuintezet.hu/elemzesek-kutatasok/mind/215-az-iranytu-intezet-2018.-januari-orszagos-kozvelemeny-kutatasa/" TargetMode="External"/><Relationship Id="rId186" Type="http://schemas.openxmlformats.org/officeDocument/2006/relationships/hyperlink" Target="https://www.origo.hu/itthon/valasztas2018/20180403-fidesz-kdnp-felmeres-szazadveg.html" TargetMode="External"/><Relationship Id="rId393" Type="http://schemas.openxmlformats.org/officeDocument/2006/relationships/hyperlink" Target="https://index.hu/belfold/2019/04/17/partok_tamogatottsaga_partpreferencia_kozvelemeny-kutatas_fidesz_jobbik_mszp_zavecz_research/" TargetMode="External"/><Relationship Id="rId407" Type="http://schemas.openxmlformats.org/officeDocument/2006/relationships/hyperlink" Target="https://nepszava.hu/3035093_fidesz-szavazok-szerint-fontosabb-az-ep-valasztas-mint-az-onkormanyzati" TargetMode="External"/><Relationship Id="rId614" Type="http://schemas.openxmlformats.org/officeDocument/2006/relationships/hyperlink" Target="http://www.zaveczresearch.hu/elonyben-a-hatparti-ellenzek/" TargetMode="External"/><Relationship Id="rId821" Type="http://schemas.openxmlformats.org/officeDocument/2006/relationships/hyperlink" Target="https://www.facebook.com/Szazadveg/posts/pfbid02dPzX7Tnim9cCcAdnEBf4CxaQf4g7F4TP9ShiMDRfkoF1NZgr2EN5RyrJryJrG9iYl" TargetMode="External"/><Relationship Id="rId1037" Type="http://schemas.openxmlformats.org/officeDocument/2006/relationships/hyperlink" Target="https://szazadveg.hu/cikkek/a-magyarok-nemet-mondanak-a-sorkatonasagra/" TargetMode="External"/><Relationship Id="rId253" Type="http://schemas.openxmlformats.org/officeDocument/2006/relationships/hyperlink" Target="https://docs.google.com/spreadsheets/d/1eitltXmNIU4tHgrYiaQPWPHaG4tN0xVSZO4w_k0mVyA/edit" TargetMode="External"/><Relationship Id="rId460" Type="http://schemas.openxmlformats.org/officeDocument/2006/relationships/hyperlink" Target="https://24.hu/belfold/2019/08/08/2540613ellenzek-fidesz-kozvelemeny-kutatas-idea-intezet/" TargetMode="External"/><Relationship Id="rId698" Type="http://schemas.openxmlformats.org/officeDocument/2006/relationships/hyperlink" Target="http://republikon.hu/elemzesek,-kutatasok/21-07-02-kvk.aspx" TargetMode="External"/><Relationship Id="rId919" Type="http://schemas.openxmlformats.org/officeDocument/2006/relationships/hyperlink" Target="https://magyarnemzet.hu/belfold/2025/09/tisza-part-gyengules-fidesz-stabil-vezetes-kozvelemeny-kutatas" TargetMode="External"/><Relationship Id="rId1090" Type="http://schemas.openxmlformats.org/officeDocument/2006/relationships/hyperlink" Target="https://24.hu/belfold/2025/12/29/publicus-intezet-felmeres-december-valasztas-tisza-fidesz/" TargetMode="External"/><Relationship Id="rId1104" Type="http://schemas.openxmlformats.org/officeDocument/2006/relationships/hyperlink" Target="https://www.atv.hu/belfold/20260123/budapest-kutatas-eredmeny-dk-varju/" TargetMode="External"/><Relationship Id="rId48" Type="http://schemas.openxmlformats.org/officeDocument/2006/relationships/hyperlink" Target="https://archiv.nezopont.hu/tarlos-istvan-elonyet-merik-a-kutatointezetek/" TargetMode="External"/><Relationship Id="rId113" Type="http://schemas.openxmlformats.org/officeDocument/2006/relationships/hyperlink" Target="https://24.hu/belfold/2018/02/09/lejott-a-tortenelmi-magassagbol-a-fidesz/" TargetMode="External"/><Relationship Id="rId320" Type="http://schemas.openxmlformats.org/officeDocument/2006/relationships/hyperlink" Target="https://nezopontintezet.hu/2018/12/22/a-fidesz-nepszerusege-nott-a-radikalizalodo-ellenzeke-csokkent-a-valasztasok-ota/" TargetMode="External"/><Relationship Id="rId558" Type="http://schemas.openxmlformats.org/officeDocument/2006/relationships/hyperlink" Target="http://iranytuintezet.hu/elemzesek-kutatasok/mind/239-a-koronavirus-jarvannyal-kapcsolatos-allampolgari-attitudok-es-velemenyek-vizsgalata/" TargetMode="External"/><Relationship Id="rId765" Type="http://schemas.openxmlformats.org/officeDocument/2006/relationships/hyperlink" Target="https://telex.hu/belfold/2022/06/29/oroszbaratsag-oltasellenesseg-kutatas-political-capital" TargetMode="External"/><Relationship Id="rId972" Type="http://schemas.openxmlformats.org/officeDocument/2006/relationships/hyperlink" Target="https://web.archive.org/web/20231129120053/https:/iranytuintezet.hu/elemzesek-kutatasok/mind/209-az-iranytu-intezet-2017.-oktoberi-orszagos-kozvelemeny-kutatasa/" TargetMode="External"/><Relationship Id="rId1188" Type="http://schemas.openxmlformats.org/officeDocument/2006/relationships/hyperlink" Target="https://hvg.hu/360/20260409_hvg-median-valasztas-2026-partok-valasztoi-motivacio" TargetMode="External"/><Relationship Id="rId197" Type="http://schemas.openxmlformats.org/officeDocument/2006/relationships/hyperlink" Target="https://index.hu/belfold/2018/valasztas/2018/04/05/publicus_annyival_esett_a_fidesz_tamogatottsaga_amennyivel_a_jobbike_nott/" TargetMode="External"/><Relationship Id="rId418" Type="http://schemas.openxmlformats.org/officeDocument/2006/relationships/hyperlink" Target="http://www.zaveczresearch.hu/szoros-versenyben-a-jobbik-az-mszp-es-a-dk/" TargetMode="External"/><Relationship Id="rId625" Type="http://schemas.openxmlformats.org/officeDocument/2006/relationships/hyperlink" Target="http://republikon.hu/elemzesek,-kutatasok/20-12-23-kvk.aspx" TargetMode="External"/><Relationship Id="rId832" Type="http://schemas.openxmlformats.org/officeDocument/2006/relationships/hyperlink" Target="https://telex.hu/belfold/2023/06/09/republikon-intezet-felmeres-ep-valasztas-2024" TargetMode="External"/><Relationship Id="rId1048" Type="http://schemas.openxmlformats.org/officeDocument/2006/relationships/hyperlink" Target="https://24.hu/belfold/2025/12/02/21-kutatokozpont-tisza-part-fidesz-kulonbseg-2025-november/" TargetMode="External"/><Relationship Id="rId264" Type="http://schemas.openxmlformats.org/officeDocument/2006/relationships/hyperlink" Target="https://szazadveg.hu/hu/kutatasok/az-alapitvany-kutatasai/piackutatas-kozvelemeny-kutatas/eros-fidesz-kdnp-gyengulo-ellenzek" TargetMode="External"/><Relationship Id="rId471" Type="http://schemas.openxmlformats.org/officeDocument/2006/relationships/hyperlink" Target="https://publicus.hu/blog/partok-tamogatottsaga-2019-augusztus/" TargetMode="External"/><Relationship Id="rId1115" Type="http://schemas.openxmlformats.org/officeDocument/2006/relationships/hyperlink" Target="https://www.facebook.com/21kutatokozpont/posts/pfbid0oj74Sv4mrebUWc1sRBnP38Zgvtmzb8DHvzryZZ5DJYtg6XKYW72ZzYdQmqJnCcU2l" TargetMode="External"/><Relationship Id="rId59" Type="http://schemas.openxmlformats.org/officeDocument/2006/relationships/hyperlink" Target="https://21kutatokozpont.hu/wp-content/uploads/2021/11/Gyor_04_30.pdf" TargetMode="External"/><Relationship Id="rId124" Type="http://schemas.openxmlformats.org/officeDocument/2006/relationships/hyperlink" Target="http://publicus.hu/blog/partok_tamogatottsaga_es_egyes_politikusok_nepszersege_2018_februar/" TargetMode="External"/><Relationship Id="rId569" Type="http://schemas.openxmlformats.org/officeDocument/2006/relationships/hyperlink" Target="http://www.ideaintezet.hu/hu/hirek-aktualis/39/milyen-a----tipikus----fidesz-tamogato-" TargetMode="External"/><Relationship Id="rId776" Type="http://schemas.openxmlformats.org/officeDocument/2006/relationships/hyperlink" Target="https://24.hu/belfold/2022/09/26/zavecz-partpreferencia-fidesz/" TargetMode="External"/><Relationship Id="rId983" Type="http://schemas.openxmlformats.org/officeDocument/2006/relationships/hyperlink" Target="https://web.archive.org/web/20231129122056/https:/iranytuintezet.hu/elemzesek-kutatasok/mind/211-az-iranytu-intezet-2017.-novemberi-orszagos-kozvelemeny-kutatasa/" TargetMode="External"/><Relationship Id="rId331" Type="http://schemas.openxmlformats.org/officeDocument/2006/relationships/hyperlink" Target="http://www.ideaintezet.hu/hirek-aktualis/13/---rabszolgatorveny----miatti-tiltakozasok--a-bizonytalanok-is-ellenzeki-allasponton" TargetMode="External"/><Relationship Id="rId429" Type="http://schemas.openxmlformats.org/officeDocument/2006/relationships/hyperlink" Target="https://nezopont.hu/ha-jol-mozgosit-a-fidesz-kdnp-55-szazalekot-is-elerhet/" TargetMode="External"/><Relationship Id="rId636" Type="http://schemas.openxmlformats.org/officeDocument/2006/relationships/hyperlink" Target="https://publicus.hu/blog/partok-tamogatottsaga-2021-februar/" TargetMode="External"/><Relationship Id="rId1059" Type="http://schemas.openxmlformats.org/officeDocument/2006/relationships/hyperlink" Target="https://www.policysolutions.hu/hu/hirek/667/gazdasagi_hangulat_kormanyzati_kompetencia_2025" TargetMode="External"/><Relationship Id="rId843" Type="http://schemas.openxmlformats.org/officeDocument/2006/relationships/hyperlink" Target="https://telex.hu/belfold/2023/07/03/republikon-kutatas-partszimpatia-kormanypart-ellenzek-junius-adatok" TargetMode="External"/><Relationship Id="rId1126" Type="http://schemas.openxmlformats.org/officeDocument/2006/relationships/hyperlink" Target="https://www.facebook.com/rozsaandras.zuglo/posts/pfbid02SmbdYBAWsTkeSfQ94rqwKTCSKgaD3ZVGQq22Q7PMtgSmwCkQAYbCC54UW152ZKbkl" TargetMode="External"/><Relationship Id="rId275" Type="http://schemas.openxmlformats.org/officeDocument/2006/relationships/hyperlink" Target="https://hvg.hu/itthon/201845__partok_es_politikusok_nepszerusege__erosodo_fidesz__ingatagok" TargetMode="External"/><Relationship Id="rId482" Type="http://schemas.openxmlformats.org/officeDocument/2006/relationships/hyperlink" Target="https://kozvelemenykutatok.hu/" TargetMode="External"/><Relationship Id="rId703" Type="http://schemas.openxmlformats.org/officeDocument/2006/relationships/hyperlink" Target="https://24.hu/kozelet/2021/07/12/idea-intezet-partok-kozvelemeny-kutatas-julius/" TargetMode="External"/><Relationship Id="rId910" Type="http://schemas.openxmlformats.org/officeDocument/2006/relationships/hyperlink" Target="https://europion.hu/majka-kneecap-szolasszabadsag" TargetMode="External"/><Relationship Id="rId135" Type="http://schemas.openxmlformats.org/officeDocument/2006/relationships/hyperlink" Target="http://republikon.hu/elemzesek,-kutatasok/180228-kvk.aspx" TargetMode="External"/><Relationship Id="rId342" Type="http://schemas.openxmlformats.org/officeDocument/2006/relationships/hyperlink" Target="https://nepszava.hu/3023405_feltuzeltek-szavazoikat-a-partok" TargetMode="External"/><Relationship Id="rId787" Type="http://schemas.openxmlformats.org/officeDocument/2006/relationships/hyperlink" Target="http://republikon.hu/elemzesek,-kutatasok/22-10-28-kvk-okt.aspx" TargetMode="External"/><Relationship Id="rId994" Type="http://schemas.openxmlformats.org/officeDocument/2006/relationships/hyperlink" Target="https://hvg.hu/itthon/201750_medianfelmeres_befagyva" TargetMode="External"/><Relationship Id="rId202" Type="http://schemas.openxmlformats.org/officeDocument/2006/relationships/hyperlink" Target="http://publicus.hu/blog/partok_tamogatottsaga_szakertoi_becsles_2018_aprilis/" TargetMode="External"/><Relationship Id="rId647" Type="http://schemas.openxmlformats.org/officeDocument/2006/relationships/hyperlink" Target="http://republikon.hu/media/92634/21-03-02-kvk-republikon-kvk-prezentacio.pdf" TargetMode="External"/><Relationship Id="rId854" Type="http://schemas.openxmlformats.org/officeDocument/2006/relationships/hyperlink" Target="https://24.hu/belfold/2023/09/22/zavecz-fidesz-mi-hazank-ketfarku-kutyapart-partpreferenciak-szeptember/" TargetMode="External"/><Relationship Id="rId286" Type="http://schemas.openxmlformats.org/officeDocument/2006/relationships/hyperlink" Target="https://hvg.hu/itthon/201845__partok_es_politikusok_nepszerusege__erosodo_fidesz__ingatagok" TargetMode="External"/><Relationship Id="rId493" Type="http://schemas.openxmlformats.org/officeDocument/2006/relationships/hyperlink" Target="https://magyarnemzet.hu/belfold/magabiztosan-vezet-a-fidesz-a-nezopontnal-7484480/" TargetMode="External"/><Relationship Id="rId507" Type="http://schemas.openxmlformats.org/officeDocument/2006/relationships/hyperlink" Target="https://nezopontintezet.hu/2019/12/10/a-fidesz-kdnp-az-osszefogott-ellenzekkel-szemben-is-vezet/" TargetMode="External"/><Relationship Id="rId714" Type="http://schemas.openxmlformats.org/officeDocument/2006/relationships/hyperlink" Target="https://publicus.hu/blog/ketharmad-egyetert-hogy-14-ev-alatt-ingyenes-a-fovarosi-kozossegi-kozlekedes/" TargetMode="External"/><Relationship Id="rId921" Type="http://schemas.openxmlformats.org/officeDocument/2006/relationships/hyperlink" Target="https://publicus.hu/blog/alig-6-szazalek-venne-igenybe-az-otthon-start-programot/" TargetMode="External"/><Relationship Id="rId1137" Type="http://schemas.openxmlformats.org/officeDocument/2006/relationships/hyperlink" Target="https://telex.hu/belfold/2026/02/09/szombathely-czegledy-csaba-kecskemet-birosag-itelet-valasztas-kampany" TargetMode="External"/><Relationship Id="rId50" Type="http://schemas.openxmlformats.org/officeDocument/2006/relationships/hyperlink" Target="https://archiv.nezopont.hu/tarlos-istvan-elonyet-merik-a-kutatointezetek/" TargetMode="External"/><Relationship Id="rId146" Type="http://schemas.openxmlformats.org/officeDocument/2006/relationships/hyperlink" Target="http://www.ideaintezet.hu/hirek-aktualis/6/friss-felmeres--csokken-a-fidesz-elonye--erosodik-az-ellenzek" TargetMode="External"/><Relationship Id="rId353" Type="http://schemas.openxmlformats.org/officeDocument/2006/relationships/hyperlink" Target="https://hvg.hu/itthon/20190205_Felmeres_esett_a_Fidesz_tamogatottsaga_novekszik_a_Jobbik_tabora" TargetMode="External"/><Relationship Id="rId560" Type="http://schemas.openxmlformats.org/officeDocument/2006/relationships/hyperlink" Target="https://24.hu/belfold/2020/06/11/orban-bukna-ha-a-30-ev-alattiakon-mulna/" TargetMode="External"/><Relationship Id="rId798" Type="http://schemas.openxmlformats.org/officeDocument/2006/relationships/hyperlink" Target="https://publicus.hu/blog/sokan-tapasztalnak-rendszeres-aruhianyt/" TargetMode="External"/><Relationship Id="rId213" Type="http://schemas.openxmlformats.org/officeDocument/2006/relationships/hyperlink" Target="https://docs.google.com/spreadsheets/d/1eitltXmNIU4tHgrYiaQPWPHaG4tN0xVSZO4w_k0mVyA/edit" TargetMode="External"/><Relationship Id="rId420" Type="http://schemas.openxmlformats.org/officeDocument/2006/relationships/hyperlink" Target="https://szazadveg.hu/hu/kutatasok/az-alapitvany-kutatasai/piackutatas-kozvelemeny-kutatas/a-magyarok-elsopro-tobbsege-valtozast-szeretne-az-europai-unioban" TargetMode="External"/><Relationship Id="rId658" Type="http://schemas.openxmlformats.org/officeDocument/2006/relationships/hyperlink" Target="https://hvg.hu/itthon/20210316_zavecz_fidesz_jobbik_kozvelemeny_kutatas" TargetMode="External"/><Relationship Id="rId865" Type="http://schemas.openxmlformats.org/officeDocument/2006/relationships/hyperlink" Target="https://nepszava.hu/3219346_lazar-janos-kozossegi-kozlekedes-tarifakedvezmeny-valasztasok-budapest" TargetMode="External"/><Relationship Id="rId1050" Type="http://schemas.openxmlformats.org/officeDocument/2006/relationships/hyperlink" Target="https://24.hu/belfold/2023/06/21/21-kutatokozpont-felmeres-eu-demokracia-jogallamisag/" TargetMode="External"/><Relationship Id="rId297" Type="http://schemas.openxmlformats.org/officeDocument/2006/relationships/hyperlink" Target="https://nezopontintezet.hu/2019/03/31/tovabb-nott-a-fidesz-kdnp-tamogatottsaga-marciusban/" TargetMode="External"/><Relationship Id="rId518" Type="http://schemas.openxmlformats.org/officeDocument/2006/relationships/hyperlink" Target="https://publicus.hu/blog/partok-tamogatottsaga-2019-december/" TargetMode="External"/><Relationship Id="rId725" Type="http://schemas.openxmlformats.org/officeDocument/2006/relationships/hyperlink" Target="https://index.hu/belfold/2021/12/20/az-index-megszerezte-a-kozvelemeny-kutatas-reszleteit-amely-felkavarta-az-allovizet-az-ellenzekben/" TargetMode="External"/><Relationship Id="rId932" Type="http://schemas.openxmlformats.org/officeDocument/2006/relationships/hyperlink" Target="https://archiv.nezopont.hu/tovabb-nott-az-orban-viktor-ujrazasat-tamogatok-aranya-karacsony-es-szel-megelozte-vonat/" TargetMode="External"/><Relationship Id="rId1148" Type="http://schemas.openxmlformats.org/officeDocument/2006/relationships/hyperlink" Target="https://iranytuintezet.hu/wp-content/uploads/2026/02/2026.02_Iranytu_orszagos_kutatas.pdf" TargetMode="External"/><Relationship Id="rId157" Type="http://schemas.openxmlformats.org/officeDocument/2006/relationships/hyperlink" Target="https://index.hu/belfold/2018/03/20/zavecz_majdnem_annyian_szavaznanak_a_fideszre_mint_a_teljes_ellenzekre/" TargetMode="External"/><Relationship Id="rId364" Type="http://schemas.openxmlformats.org/officeDocument/2006/relationships/hyperlink" Target="https://publicus.hu/wp-content/uploads/2019/03/ppref_2019_02_detail.png" TargetMode="External"/><Relationship Id="rId1008" Type="http://schemas.openxmlformats.org/officeDocument/2006/relationships/hyperlink" Target="https://www.facebook.com/mindenkipecsert/posts/pfbid02EXzN6YtVMxucrdHjfWwACgbcdZZBo2GBACdVqULh6bvtUJ4a9JVxfPMJ1JhZypasl" TargetMode="External"/><Relationship Id="rId61" Type="http://schemas.openxmlformats.org/officeDocument/2006/relationships/hyperlink" Target="https://www.facebook.com/photo/?fbid=992994219581891&amp;set=a.508321001382551" TargetMode="External"/><Relationship Id="rId571" Type="http://schemas.openxmlformats.org/officeDocument/2006/relationships/hyperlink" Target="https://nezopontintezet.hu/2020/07/09/kockazatos-a-kozos-lista/" TargetMode="External"/><Relationship Id="rId669" Type="http://schemas.openxmlformats.org/officeDocument/2006/relationships/hyperlink" Target="http://www.atv.hu/belfold/20210413-idea-tovabbra-is-vezet-az-ellenzek-a-kormanypartokkal-szemben" TargetMode="External"/><Relationship Id="rId876" Type="http://schemas.openxmlformats.org/officeDocument/2006/relationships/hyperlink" Target="https://nepszava.hu/3234371_felmeres-ketharmad-elegedetlenseg-publicus-intezet-tisza-part-demokratikus-koalicio" TargetMode="External"/><Relationship Id="rId19" Type="http://schemas.openxmlformats.org/officeDocument/2006/relationships/hyperlink" Target="https://index.hu/belfold/2025/08/04/kozvelemeny-kutatas-orszaggyulesi-valasztasok-fidesz-kdnp-tisza-part-orban-viktor-felmeres-jasz-nagykun-szolnok-varmegye" TargetMode="External"/><Relationship Id="rId224" Type="http://schemas.openxmlformats.org/officeDocument/2006/relationships/hyperlink" Target="https://nezopontintezet.hu/2018/06/02/tovabb-erosodott-a-fidesz-kdnp-kozel-400-000-fovel-bovult-a-kormanypartok-tabora/" TargetMode="External"/><Relationship Id="rId431" Type="http://schemas.openxmlformats.org/officeDocument/2006/relationships/hyperlink" Target="http://www.ideaintezet.hu/hirek-aktualis/20/mint-az-ep-valasztason--erosodik-a-dk-es-momentum--" TargetMode="External"/><Relationship Id="rId529" Type="http://schemas.openxmlformats.org/officeDocument/2006/relationships/hyperlink" Target="http://ideaintezet.hu/hu/hirek-aktualis/32/egy-evvel-ezelotti-szinten-a-fidesz-kdnp--beallt-ellenzeki-tamogatottsag-trendek" TargetMode="External"/><Relationship Id="rId736" Type="http://schemas.openxmlformats.org/officeDocument/2006/relationships/hyperlink" Target="https://24.hu/belfold/2022/03/25/magyarorszag-problematerkep-inflacio-egeszsegugy-gender-migracio-kozvelemeny-kutatas-zavecz/" TargetMode="External"/><Relationship Id="rId1061" Type="http://schemas.openxmlformats.org/officeDocument/2006/relationships/hyperlink" Target="https://hvg.hu/itthon/20251210_Political-Capital" TargetMode="External"/><Relationship Id="rId1159" Type="http://schemas.openxmlformats.org/officeDocument/2006/relationships/hyperlink" Target="https://web.archive.org/web/20140409095352/http:/kozvelemenykutatok.hu/csak-a-fidesz-ketharmada-a-kerdes-median/" TargetMode="External"/><Relationship Id="rId168" Type="http://schemas.openxmlformats.org/officeDocument/2006/relationships/hyperlink" Target="http://republikon.hu/elemzesek,-kutatasok/180403-kvk.aspx" TargetMode="External"/><Relationship Id="rId943" Type="http://schemas.openxmlformats.org/officeDocument/2006/relationships/hyperlink" Target="https://mandiner.hu/belfold/2017/10/nezopont-nott-a-fidesz-es-az-lmp-csokkent-a-jobbik-es-az-mszp" TargetMode="External"/><Relationship Id="rId1019" Type="http://schemas.openxmlformats.org/officeDocument/2006/relationships/hyperlink" Target="https://archiv.nezopont.hu/a-fidesz-es-a-baloldal-is-gyengult-nyaron/" TargetMode="External"/><Relationship Id="rId72" Type="http://schemas.openxmlformats.org/officeDocument/2006/relationships/hyperlink" Target="https://liner.hu/magyar-tarsadalomkutato-fidesz-elonye-tisza-part-orban-viktor-magyar-peter/" TargetMode="External"/><Relationship Id="rId375" Type="http://schemas.openxmlformats.org/officeDocument/2006/relationships/hyperlink" Target="https://nepszava.hu/3030602_az-mszp-szavazoi-a-legelkotelezettebbek-egyre-tobben-elegedetlenek-az-orszag-allapotaval" TargetMode="External"/><Relationship Id="rId582" Type="http://schemas.openxmlformats.org/officeDocument/2006/relationships/hyperlink" Target="http://www.zaveczresearch.hu/tetemes-a-fidesz-elonye-de-egy-ellenzeki-kozos-lista-megkozelitene/" TargetMode="External"/><Relationship Id="rId803" Type="http://schemas.openxmlformats.org/officeDocument/2006/relationships/hyperlink" Target="https://nezopont.hu/a-fidesz-nyerne-az-ep-mandatumok-haromnegyedet/" TargetMode="External"/><Relationship Id="rId3" Type="http://schemas.openxmlformats.org/officeDocument/2006/relationships/hyperlink" Target="https://www.facebook.com/ebenchmark.piacesvelemenykutato/posts/pfbid0YhWtFGce5bqgFMEMceEt4gyzFCwXFHose1JjyCs3exbkvv9oSiDv42dL7xHPfgf9l" TargetMode="External"/><Relationship Id="rId235" Type="http://schemas.openxmlformats.org/officeDocument/2006/relationships/hyperlink" Target="https://docs.google.com/spreadsheets/d/1eitltXmNIU4tHgrYiaQPWPHaG4tN0xVSZO4w_k0mVyA/edit" TargetMode="External"/><Relationship Id="rId442" Type="http://schemas.openxmlformats.org/officeDocument/2006/relationships/hyperlink" Target="https://publicus.hu/blog/partok-tamogatottsaga-2019-junius/" TargetMode="External"/><Relationship Id="rId887" Type="http://schemas.openxmlformats.org/officeDocument/2006/relationships/hyperlink" Target="https://publicus.hu/blog/publicus-fovarosi-kutatasa-a-legpontosabb-2024-ben-is/" TargetMode="External"/><Relationship Id="rId1072" Type="http://schemas.openxmlformats.org/officeDocument/2006/relationships/hyperlink" Target="https://www.facebook.com/21kutatokozpont/posts/pfbid02DoYiXNvVBrmFkmUKeLa9Pfm6zfqZiDwfaKXzxR8fFnbzH5WyL87CsgmujErzwF6kl" TargetMode="External"/><Relationship Id="rId302" Type="http://schemas.openxmlformats.org/officeDocument/2006/relationships/hyperlink" Target="https://www.vasarnapihirek.hu/friss/harmadot_bukott_a_jobbik" TargetMode="External"/><Relationship Id="rId747" Type="http://schemas.openxmlformats.org/officeDocument/2006/relationships/hyperlink" Target="https://24.hu/belfold/2022/03/29/fidesz-kozos-ellenzek-zavecz-kozvelemeny-kutatas-biztos-szavazok/" TargetMode="External"/><Relationship Id="rId954" Type="http://schemas.openxmlformats.org/officeDocument/2006/relationships/hyperlink" Target="https://web.archive.org/web/20171018163626/https:/szazadveg.hu/hu/kutatasok/az-alapitvany-kutatasai/piackutatas-kozvelemeny-kutatas/bukas-lenne-a-kozos-ellenzeki-jeloltallitas" TargetMode="External"/><Relationship Id="rId83" Type="http://schemas.openxmlformats.org/officeDocument/2006/relationships/hyperlink" Target="https://magyarnemzet.hu/belfold/2024/11/ha-most-vasarnap-lenne-egy-orszaggyulesi-valasztas-magabiztosan-nyerne-a-fidesz" TargetMode="External"/><Relationship Id="rId179" Type="http://schemas.openxmlformats.org/officeDocument/2006/relationships/hyperlink" Target="http://iranytuintezet.hu/elemzesek-kutatasok/mind/233-az-iranytu-intezet-2018.-marciusi-orszagos-kozvelemeny-kutatasa/" TargetMode="External"/><Relationship Id="rId386" Type="http://schemas.openxmlformats.org/officeDocument/2006/relationships/hyperlink" Target="http://www.ideaintezet.hu/hirek-aktualis/16/indulo-ep-kampany-valtozatlan-eroviszonyokkal---2-es-fel-millioan-a-fidesz-taboraban" TargetMode="External"/><Relationship Id="rId593" Type="http://schemas.openxmlformats.org/officeDocument/2006/relationships/hyperlink" Target="https://hvg.hu/itthon/20201022_fidesz_dk_jobbik_parbeszed_momentum_lmp_mi_hazank_ketfarku_kutyapart_partprefencia_oktober_zavecz_research" TargetMode="External"/><Relationship Id="rId607" Type="http://schemas.openxmlformats.org/officeDocument/2006/relationships/hyperlink" Target="http://www.zaveczresearch.hu/szoros-a-verseny-a-fidesz-es-az-ellenzek-kozott/" TargetMode="External"/><Relationship Id="rId814" Type="http://schemas.openxmlformats.org/officeDocument/2006/relationships/hyperlink" Target="https://drive.google.com/file/d/1cyI7LbLhqAf-Pw_sT12P6MoLGYYB47jT/view?fbclid=IwAR2Ol7Brr8T7Lv15LFw64GLp0lgOE_iruRvZEbz0IrND9Oepgu5fbe1Z2iw" TargetMode="External"/><Relationship Id="rId246" Type="http://schemas.openxmlformats.org/officeDocument/2006/relationships/hyperlink" Target="https://nezopontintezet.hu/2018/07/25/lejtmenetben-a-jobbik/" TargetMode="External"/><Relationship Id="rId453" Type="http://schemas.openxmlformats.org/officeDocument/2006/relationships/hyperlink" Target="https://nezopontintezet.hu/2019/08/05/40-szazalekpontos-elonnyel-vezet-a-fidesz-kdnp/" TargetMode="External"/><Relationship Id="rId660" Type="http://schemas.openxmlformats.org/officeDocument/2006/relationships/hyperlink" Target="https://civitasintezet.hu/kiadvanyok/" TargetMode="External"/><Relationship Id="rId898" Type="http://schemas.openxmlformats.org/officeDocument/2006/relationships/hyperlink" Target="https://demokrata.hu/magyarorszag/felmeres-a-fidesz-erosodott-a-baloldal-es-marki-zay-csak-lefele-megy-488482/" TargetMode="External"/><Relationship Id="rId1083" Type="http://schemas.openxmlformats.org/officeDocument/2006/relationships/hyperlink" Target="https://nepszava.hu/3305611_felmeres-iranytu-intezet-tisza-part-fidesz-kdnp-kozvelemenykutatas" TargetMode="External"/><Relationship Id="rId106" Type="http://schemas.openxmlformats.org/officeDocument/2006/relationships/hyperlink" Target="https://szazadveg.hu/hu/kutatasok/az-alapitvany-kutatasai/piackutatas-kozvelemeny-kutatas/valtozatlan-fidesz-kdnp-foleny" TargetMode="External"/><Relationship Id="rId313" Type="http://schemas.openxmlformats.org/officeDocument/2006/relationships/hyperlink" Target="https://hvg.hu/itthon/201845__partok_es_politikusok_nepszerusege__erosodo_fidesz__ingatagok" TargetMode="External"/><Relationship Id="rId758" Type="http://schemas.openxmlformats.org/officeDocument/2006/relationships/hyperlink" Target="https://tarsadalomkutato.hu/valtozatlan-a-fidesz-elonye/" TargetMode="External"/><Relationship Id="rId965" Type="http://schemas.openxmlformats.org/officeDocument/2006/relationships/hyperlink" Target="https://web.archive.org/web/20231129125504/http:/iranytuintezet.hu/elemzesek-kutatasok/mind/213-az-iranytu-intezet-2017.-decemberi-orszagos-kozvelemeny-kutatasa/" TargetMode="External"/><Relationship Id="rId1150" Type="http://schemas.openxmlformats.org/officeDocument/2006/relationships/hyperlink" Target="https://nepszava.hu/3312324_fidesz-tisza-part-valasztas-2026-iranytu-gyozelem-intezet-felmeres" TargetMode="External"/><Relationship Id="rId10" Type="http://schemas.openxmlformats.org/officeDocument/2006/relationships/hyperlink" Target="https://demokrata.hu/kozvelemeny-kutatas/on-kit-valasztana-30-242516/" TargetMode="External"/><Relationship Id="rId94" Type="http://schemas.openxmlformats.org/officeDocument/2006/relationships/hyperlink" Target="https://nezopontintezet.hu/wp-content/uploads/2018/01/P%C3%A1rtpref-janu%C3%A1r.png" TargetMode="External"/><Relationship Id="rId397" Type="http://schemas.openxmlformats.org/officeDocument/2006/relationships/hyperlink" Target="https://magyarnemzet.hu/belfold/nezopont-tovabb-nott-a-fidesz-kdnp-nepszerusege-6889859/" TargetMode="External"/><Relationship Id="rId520" Type="http://schemas.openxmlformats.org/officeDocument/2006/relationships/hyperlink" Target="http://www.ideaintezet.hu/hu/hirek-aktualis/30/a-2019-es-ev-meglepetes-embere--karacsony-gergely------2020--januar" TargetMode="External"/><Relationship Id="rId618" Type="http://schemas.openxmlformats.org/officeDocument/2006/relationships/hyperlink" Target="https://hvg.hu/360/20201216_Median_kozhangulat_partpreferencia" TargetMode="External"/><Relationship Id="rId825" Type="http://schemas.openxmlformats.org/officeDocument/2006/relationships/hyperlink" Target="https://szocialis.eu/Lakotelepek.pdf" TargetMode="External"/><Relationship Id="rId257" Type="http://schemas.openxmlformats.org/officeDocument/2006/relationships/hyperlink" Target="https://www.vasarnapihirek.hu/fokusz/kuszob_alatt_az_lmp_es_a_dk" TargetMode="External"/><Relationship Id="rId464" Type="http://schemas.openxmlformats.org/officeDocument/2006/relationships/hyperlink" Target="https://nepszava.hu/3046701_zavecz-megelozi-az-ellenzek-a-fideszt-budapesten" TargetMode="External"/><Relationship Id="rId1010" Type="http://schemas.openxmlformats.org/officeDocument/2006/relationships/hyperlink" Target="https://www.origo.hu/belpol/2025/10/magyar-peter-tisza-felmeres-tarsadalomkutato-fidesz" TargetMode="External"/><Relationship Id="rId1094" Type="http://schemas.openxmlformats.org/officeDocument/2006/relationships/hyperlink" Target="https://hvg.hu/itthon/20260114_a-dk-azt-kerdezte-hogyan-lehetne-jo-eredmenyu-kutatast-rendelni" TargetMode="External"/><Relationship Id="rId1108" Type="http://schemas.openxmlformats.org/officeDocument/2006/relationships/hyperlink" Target="https://mandiner.hu/belfold/2026/01/ez-nem-fog-tetszeni-magyar-peternek-a-kozvelemeny-kutatok-raleptek-a-fekre" TargetMode="External"/><Relationship Id="rId117" Type="http://schemas.openxmlformats.org/officeDocument/2006/relationships/hyperlink" Target="https://szazadveg.hu/hu/kutatasok/az-alapitvany-kutatasai/piackutatas-kozvelemeny-kutatas/stabil-fidesz-kdnp-elony-erosodo-lmp" TargetMode="External"/><Relationship Id="rId671" Type="http://schemas.openxmlformats.org/officeDocument/2006/relationships/hyperlink" Target="http://www.atv.hu/belfold/20210413-idea-tovabbra-is-vezet-az-ellenzek-a-kormanypartokkal-szemben" TargetMode="External"/><Relationship Id="rId769" Type="http://schemas.openxmlformats.org/officeDocument/2006/relationships/hyperlink" Target="https://magyarnemzet.hu/belfold/2022/07/nezopont-valsagallo-a-fidesz-elonye" TargetMode="External"/><Relationship Id="rId976" Type="http://schemas.openxmlformats.org/officeDocument/2006/relationships/hyperlink" Target="https://web.archive.org/web/20231129120053/https:/iranytuintezet.hu/elemzesek-kutatasok/mind/209-az-iranytu-intezet-2017.-oktoberi-orszagos-kozvelemeny-kutatasa/" TargetMode="External"/><Relationship Id="rId324" Type="http://schemas.openxmlformats.org/officeDocument/2006/relationships/hyperlink" Target="https://publicus.hu/blog/partok-tamogatottsaga-2018-december/" TargetMode="External"/><Relationship Id="rId531" Type="http://schemas.openxmlformats.org/officeDocument/2006/relationships/hyperlink" Target="http://www.zaveczresearch.hu/aktivabba-valtak-a-valasztok/" TargetMode="External"/><Relationship Id="rId629" Type="http://schemas.openxmlformats.org/officeDocument/2006/relationships/hyperlink" Target="https://www.facebook.com/nezopontintezet/photos/a.387611711283718/3798756080169247" TargetMode="External"/><Relationship Id="rId1161" Type="http://schemas.openxmlformats.org/officeDocument/2006/relationships/hyperlink" Target="https://hvg.hu/itthon/201414_rejt_a_palya" TargetMode="External"/><Relationship Id="rId836" Type="http://schemas.openxmlformats.org/officeDocument/2006/relationships/hyperlink" Target="https://hvg.hu/itthon/20230611_median_budapesti_lakogyules_karacsony_gergely_lanchid" TargetMode="External"/><Relationship Id="rId1021" Type="http://schemas.openxmlformats.org/officeDocument/2006/relationships/hyperlink" Target="https://alapjogokert.hu/anyagok/kutatasaink/stabilan-vezet-a-fidesz-kdnp-az-eros-kampanystart-utan" TargetMode="External"/><Relationship Id="rId1119" Type="http://schemas.openxmlformats.org/officeDocument/2006/relationships/hyperlink" Target="https://hvg.hu/gazdasag/20260130_21-kutatokozpont-szoros-a-verseny-bekes-2-ben-bekes-4-ben-a-tisza-jeloltje-vezet" TargetMode="External"/><Relationship Id="rId903" Type="http://schemas.openxmlformats.org/officeDocument/2006/relationships/hyperlink" Target="https://demokrata.hu/magyarorszag/felmeres-a-fidesz-erosodott-a-baloldal-es-marki-zay-csak-lefele-megy-488482/" TargetMode="External"/><Relationship Id="rId32" Type="http://schemas.openxmlformats.org/officeDocument/2006/relationships/hyperlink" Target="https://republikon.hu/elemzesek,-kutatasok/20250629_budapest-partpreferencia.aspx" TargetMode="External"/><Relationship Id="rId181" Type="http://schemas.openxmlformats.org/officeDocument/2006/relationships/hyperlink" Target="https://m.hvg.hu/360/hetilap360/2018/14/20181405magyar3" TargetMode="External"/><Relationship Id="rId279" Type="http://schemas.openxmlformats.org/officeDocument/2006/relationships/hyperlink" Target="https://publicus.hu/blog/partok-tamogatottsaga-2018-szeptember/" TargetMode="External"/><Relationship Id="rId486" Type="http://schemas.openxmlformats.org/officeDocument/2006/relationships/hyperlink" Target="https://nepszava.hu/3055097_egyutt-megelozik-a-fideszt" TargetMode="External"/><Relationship Id="rId693" Type="http://schemas.openxmlformats.org/officeDocument/2006/relationships/hyperlink" Target="https://nezopont.hu/valtozatlan-fidesz-elony/" TargetMode="External"/><Relationship Id="rId139" Type="http://schemas.openxmlformats.org/officeDocument/2006/relationships/hyperlink" Target="https://24.hu/belfold/2018/02/28/megroggyant-a-fidesz-araszol-felfele-az-ellenzek/" TargetMode="External"/><Relationship Id="rId346" Type="http://schemas.openxmlformats.org/officeDocument/2006/relationships/hyperlink" Target="https://docs.google.com/spreadsheets/d/1eitltXmNIU4tHgrYiaQPWPHaG4tN0xVSZO4w_k0mVyA/edit" TargetMode="External"/><Relationship Id="rId553" Type="http://schemas.openxmlformats.org/officeDocument/2006/relationships/hyperlink" Target="https://publicus.hu/blog/koronavirus-teszteles-vedofelszerelesek-antidemokratikus-lepesek/" TargetMode="External"/><Relationship Id="rId760" Type="http://schemas.openxmlformats.org/officeDocument/2006/relationships/hyperlink" Target="https://nezopont.hu/melyponton-a-baloldali-partok/" TargetMode="External"/><Relationship Id="rId998" Type="http://schemas.openxmlformats.org/officeDocument/2006/relationships/hyperlink" Target="https://republikon.hu/elemzesek,-kutatasok/251005_kvk.aspx" TargetMode="External"/><Relationship Id="rId1183" Type="http://schemas.openxmlformats.org/officeDocument/2006/relationships/hyperlink" Target="https://index.hu/belfold/2026/03/31/zavecz-research-kozvelemeny-kutatas-partpreferencia-fidesz-tisza-part-valasztas-2026/" TargetMode="External"/><Relationship Id="rId206" Type="http://schemas.openxmlformats.org/officeDocument/2006/relationships/hyperlink" Target="https://444.hu/2018/04/08/median-a-fidesz-elveszitheti-a-ketharmadot" TargetMode="External"/><Relationship Id="rId413" Type="http://schemas.openxmlformats.org/officeDocument/2006/relationships/hyperlink" Target="https://alfahir.hu/2019/05/14/jobbik_ep_valasztas_2019_iranytu_intezet" TargetMode="External"/><Relationship Id="rId858" Type="http://schemas.openxmlformats.org/officeDocument/2006/relationships/hyperlink" Target="http://republikon.hu/elemzesek,-kutatasok/23-12-06-kvk.aspx" TargetMode="External"/><Relationship Id="rId1043" Type="http://schemas.openxmlformats.org/officeDocument/2006/relationships/hyperlink" Target="https://www.xxiszazadintezet.hu/a-valasztok-ketharmada-jo-dolognak-tartja-hogy-sikerult-megvedeni-a-rezsicsokkentest/" TargetMode="External"/><Relationship Id="rId620" Type="http://schemas.openxmlformats.org/officeDocument/2006/relationships/hyperlink" Target="https://hvg.hu/360/20201216_Median_kozhangulat_partpreferencia" TargetMode="External"/><Relationship Id="rId718" Type="http://schemas.openxmlformats.org/officeDocument/2006/relationships/hyperlink" Target="https://www.origo.hu/itthon/20211026-realpr-93jelentos-fideszelony.html" TargetMode="External"/><Relationship Id="rId925" Type="http://schemas.openxmlformats.org/officeDocument/2006/relationships/hyperlink" Target="https://web.archive.org/web/20180406200502/https:/index.hu/belfold/2018/valasztas/2018/04/06/65_koruli_reszvetelt_40_feletti_fideszt_mer_a_zri/" TargetMode="External"/><Relationship Id="rId1110" Type="http://schemas.openxmlformats.org/officeDocument/2006/relationships/hyperlink" Target="https://nepszava.hu/3309886_orban-viktor-fidesz-publicus-intezet-felmeres-magyarorszag-kormanyzas" TargetMode="External"/><Relationship Id="rId54" Type="http://schemas.openxmlformats.org/officeDocument/2006/relationships/hyperlink" Target="https://ujpestihirek.hu/index.php/helyi-temak/egy-friss-felmeres-szerint-ujpesten-nincs-eselyes-ellenzeki-jelolt" TargetMode="External"/><Relationship Id="rId270" Type="http://schemas.openxmlformats.org/officeDocument/2006/relationships/hyperlink" Target="https://nezopontintezet.hu/2018/10/01/most-vasarnap-az-ep-mandatumok-tobb-mint-60-szazalekat-a-fidesz-szerezne-meg-3/" TargetMode="External"/><Relationship Id="rId130" Type="http://schemas.openxmlformats.org/officeDocument/2006/relationships/hyperlink" Target="http://nezopontintezet.hu/analysis/valtozatlan-eroviszonyok-kampanystartnal/" TargetMode="External"/><Relationship Id="rId368" Type="http://schemas.openxmlformats.org/officeDocument/2006/relationships/hyperlink" Target="http://www.ideaintezet.hu/hirek-aktualis/15/hvg-hu---idea--a-baloldal-semmit-nem-profitalt-a-tuloratorvenyes-tiltakozasokbol" TargetMode="External"/><Relationship Id="rId575" Type="http://schemas.openxmlformats.org/officeDocument/2006/relationships/hyperlink" Target="http://www.atv.hu/belfold/20200716-zavecz-jelentos-fidesz-elony-szoros-a-verseny-a-masodik-helyert-a-dk-es-a-momentum-kozott" TargetMode="External"/><Relationship Id="rId782" Type="http://schemas.openxmlformats.org/officeDocument/2006/relationships/hyperlink" Target="https://magyarnemzet.hu/belfold/2022/10/nezopont-intezet-erosodott-a-fideszkdnp" TargetMode="External"/><Relationship Id="rId228" Type="http://schemas.openxmlformats.org/officeDocument/2006/relationships/hyperlink" Target="https://hvg.hu/itthon/201823_medianfelmeres_gyozteshez_huzas" TargetMode="External"/><Relationship Id="rId435" Type="http://schemas.openxmlformats.org/officeDocument/2006/relationships/hyperlink" Target="https://nepszava.hu/3039867_zavecz-a-fidesz-vezet-de-a-dk-es-a-momentum-lendulete-tovabb-tart" TargetMode="External"/><Relationship Id="rId642" Type="http://schemas.openxmlformats.org/officeDocument/2006/relationships/hyperlink" Target="https://24.hu/kozelet/2021/02/19/zavecz-research-feljott-a-partrangsor-3-helyere-a-jobbik/" TargetMode="External"/><Relationship Id="rId1065" Type="http://schemas.openxmlformats.org/officeDocument/2006/relationships/hyperlink" Target="https://www.facebook.com/ideaintezet/posts/pfbid02zWdY6anq3AErEHZYCTaC4K87zoS7ErDmsnnpAShDaeQaLbPNBYTyWK6C1nns6imgl" TargetMode="External"/><Relationship Id="rId502" Type="http://schemas.openxmlformats.org/officeDocument/2006/relationships/hyperlink" Target="https://hvg.hu/itthon/20191121_Zavecz_Hatalmasat_gyengult_a_Fidesz_a_fovarosban_de_a_falvakban_is_sok_szavazot_veszitettek" TargetMode="External"/><Relationship Id="rId947" Type="http://schemas.openxmlformats.org/officeDocument/2006/relationships/hyperlink" Target="https://www.magyarhirlap.hu/belfold/Nezopont_Nott_a_Fidesz_es_az_LMP_tamogatottsaga" TargetMode="External"/><Relationship Id="rId1132" Type="http://schemas.openxmlformats.org/officeDocument/2006/relationships/hyperlink" Target="https://www.nyugat.hu/cikk/publicus_kutatas_szombathely_2026_februar_czegledy_rapli" TargetMode="External"/><Relationship Id="rId76" Type="http://schemas.openxmlformats.org/officeDocument/2006/relationships/hyperlink" Target="https://szazadveg.hu/cikkek/elso-helyen-a-fidesz-kdnp-egyre-tobben-fordulnak-el-magyar-petertol/" TargetMode="External"/><Relationship Id="rId807" Type="http://schemas.openxmlformats.org/officeDocument/2006/relationships/hyperlink" Target="https://21kutatokozpont.hu/wp-content/uploads/2021/11/politikus_gyors.pdf" TargetMode="External"/><Relationship Id="rId292" Type="http://schemas.openxmlformats.org/officeDocument/2006/relationships/hyperlink" Target="https://docs.google.com/spreadsheets/d/1eitltXmNIU4tHgrYiaQPWPHaG4tN0xVSZO4w_k0mVyA/edit" TargetMode="External"/><Relationship Id="rId597" Type="http://schemas.openxmlformats.org/officeDocument/2006/relationships/hyperlink" Target="https://magyarnemzet.hu/belfold/gyurcsany-a-felelos-a-rendorattakert-8852627/" TargetMode="External"/><Relationship Id="rId152" Type="http://schemas.openxmlformats.org/officeDocument/2006/relationships/hyperlink" Target="https://nezopontintezet.hu/wp-content/uploads/2018/03/P%C3%A1rtpref.png" TargetMode="External"/><Relationship Id="rId457" Type="http://schemas.openxmlformats.org/officeDocument/2006/relationships/hyperlink" Target="https://publicus.hu/blog/partok-tamogatottsaga-2019-julius/" TargetMode="External"/><Relationship Id="rId1087" Type="http://schemas.openxmlformats.org/officeDocument/2006/relationships/hyperlink" Target="https://tenyek.hu/politika/2025/12/tobb-kulcsfontossagu-valasztokeruletben-is-jelentosen-vezet-a-fidesz-a-tisza-elott" TargetMode="External"/><Relationship Id="rId664" Type="http://schemas.openxmlformats.org/officeDocument/2006/relationships/hyperlink" Target="https://nezopont.hu/fidesz-elony-az-aktivak-koreben-de-novekvo-bizonytalan-tabor/" TargetMode="External"/><Relationship Id="rId871" Type="http://schemas.openxmlformats.org/officeDocument/2006/relationships/hyperlink" Target="https://www.ipsos.com/fr-fr/europeennes-2024/europeennes-vers-une-progression-de-la-droite-radicale-au-parlement-europeen" TargetMode="External"/><Relationship Id="rId969" Type="http://schemas.openxmlformats.org/officeDocument/2006/relationships/hyperlink" Target="https://magyarnemzet.hu/belfold-archivum/2018/01/egymassal-versenyezik-az-mszp-a-dk-es-az-lmp" TargetMode="External"/><Relationship Id="rId317" Type="http://schemas.openxmlformats.org/officeDocument/2006/relationships/hyperlink" Target="https://nezopontintezet.hu/2018/12/22/a-fidesz-nepszerusege-nott-a-radikalizalodo-ellenzeke-csokkent-a-valasztasok-ota/" TargetMode="External"/><Relationship Id="rId524" Type="http://schemas.openxmlformats.org/officeDocument/2006/relationships/hyperlink" Target="http://www.zaveczresearch.hu/a-fidesz-tabora-csokkent-az-ellenzeke-nem-valtozott-tobb-lett-a-bizonytalan/" TargetMode="External"/><Relationship Id="rId731" Type="http://schemas.openxmlformats.org/officeDocument/2006/relationships/hyperlink" Target="https://publicus.hu/blog/partok-tamogatottsaga-2022-februar/" TargetMode="External"/><Relationship Id="rId1154" Type="http://schemas.openxmlformats.org/officeDocument/2006/relationships/hyperlink" Target="https://www.facebook.com/realpr93/photos/pcb.302866138624578/302865625291296" TargetMode="External"/><Relationship Id="rId98" Type="http://schemas.openxmlformats.org/officeDocument/2006/relationships/hyperlink" Target="http://publicus.hu/images/uploads/2018_01_ppref_all.png" TargetMode="External"/><Relationship Id="rId829" Type="http://schemas.openxmlformats.org/officeDocument/2006/relationships/hyperlink" Target="https://www.greenpeace.org/hungary/sajtokozlemeny/10485/a-magyarok-donto-tobbsege-nem-ker-az-akkumulatorgyarakbol/" TargetMode="External"/><Relationship Id="rId1014" Type="http://schemas.openxmlformats.org/officeDocument/2006/relationships/hyperlink" Target="https://www.xxiszazadintezet.hu/hajrara-fordulva-vezet-a-fidesz/" TargetMode="External"/><Relationship Id="rId25" Type="http://schemas.openxmlformats.org/officeDocument/2006/relationships/hyperlink" Target="https://www.facebook.com/realpr93/posts/pfbid02PwShs8JsW1pwReipZkegggBHxVjqeSXtMGJFT9FGvSuYB7E3KKAkNE23nA9YUPmEl" TargetMode="External"/><Relationship Id="rId174" Type="http://schemas.openxmlformats.org/officeDocument/2006/relationships/hyperlink" Target="https://nezopontintezet.hu/2018/04/03/tovabb-nott-az-orban-viktor-ujrazasat-tamogatok-aranya-karacsony-es-szel-megelozte-vonat/" TargetMode="External"/><Relationship Id="rId381" Type="http://schemas.openxmlformats.org/officeDocument/2006/relationships/hyperlink" Target="https://publicus.hu/blog/partok-orszaggyulesi-es-ep-tamogatottsaga-2019-marcius/" TargetMode="External"/><Relationship Id="rId241" Type="http://schemas.openxmlformats.org/officeDocument/2006/relationships/hyperlink" Target="https://szazadveg.hu/hu/kutatasok/az-alapitvany-kutatasai/piackutatas-kozvelemeny-kutatas/stabil-fidesz-kdnp-gyengulo-ellenzek" TargetMode="External"/><Relationship Id="rId479" Type="http://schemas.openxmlformats.org/officeDocument/2006/relationships/hyperlink" Target="http://www.ideaintezet.hu/hu/hirek-aktualis/26/a-durvabb-kampany-se-valtoztatott-a-szavazok-partszimpatiajan" TargetMode="External"/><Relationship Id="rId686" Type="http://schemas.openxmlformats.org/officeDocument/2006/relationships/hyperlink" Target="https://24.hu/belfold/2021/05/27/idea-intezet-valasztasi-eselyek-partpreferencia-elemzes-bocskei-balazs-szabo-andrea/" TargetMode="External"/><Relationship Id="rId893" Type="http://schemas.openxmlformats.org/officeDocument/2006/relationships/hyperlink" Target="https://nezopont.hu/nepszeruek-a-kozoktatast-erinto-kormanyzati-intezkedesek/" TargetMode="External"/><Relationship Id="rId339" Type="http://schemas.openxmlformats.org/officeDocument/2006/relationships/hyperlink" Target="https://nepszava.hu/3023405_feltuzeltek-szavazoikat-a-partok" TargetMode="External"/><Relationship Id="rId546" Type="http://schemas.openxmlformats.org/officeDocument/2006/relationships/hyperlink" Target="http://ideaintezet.hu/hu/hirek-aktualis/35/nem-csokkeno-fidesz---kdnp--stabil-fopolgarmesteri-rokonszenv" TargetMode="External"/><Relationship Id="rId753" Type="http://schemas.openxmlformats.org/officeDocument/2006/relationships/hyperlink" Target="https://hvg.hu/360/20220330_Median_valasztas_2022_Fidesz_ellenzek_mandatumbecsles_kozvelemeny_kutatas" TargetMode="External"/><Relationship Id="rId1176" Type="http://schemas.openxmlformats.org/officeDocument/2006/relationships/hyperlink" Target="https://nezopont.hu/hu/tevekenysegeink/kozvelemeny-kutatasok/az-ellenzekiek-is-tamogatjak-a-plusz-kethavi-nyugdijat-es-a-rezsistopot" TargetMode="External"/><Relationship Id="rId101" Type="http://schemas.openxmlformats.org/officeDocument/2006/relationships/hyperlink" Target="http://publicus.hu/images/uploads/2018_01_ppref_all.png" TargetMode="External"/><Relationship Id="rId406" Type="http://schemas.openxmlformats.org/officeDocument/2006/relationships/hyperlink" Target="https://nepszava.hu/3035093_fidesz-szavazok-szerint-fontosabb-az-ep-valasztas-mint-az-onkormanyzati" TargetMode="External"/><Relationship Id="rId960" Type="http://schemas.openxmlformats.org/officeDocument/2006/relationships/hyperlink" Target="https://www.atv.hu/belfold/20180212/friss-meres-tartjak-magukat-gyurcsanyek-az-mszp-a-kuszobon-tancol" TargetMode="External"/><Relationship Id="rId1036" Type="http://schemas.openxmlformats.org/officeDocument/2006/relationships/hyperlink" Target="https://realpr93.hu/2025/11/15/a-tiszasok-negyede-nem-szimpatizal-magyar-peterrel" TargetMode="External"/><Relationship Id="rId613" Type="http://schemas.openxmlformats.org/officeDocument/2006/relationships/hyperlink" Target="https://szocialis.eu/Zavar_az_eroben_2020_12_kvk.pdf" TargetMode="External"/><Relationship Id="rId820" Type="http://schemas.openxmlformats.org/officeDocument/2006/relationships/hyperlink" Target="https://www.facebook.com/Szazadveg/posts/pfbid02dPzX7Tnim9cCcAdnEBf4CxaQf4g7F4TP9ShiMDRfkoF1NZgr2EN5RyrJryJrG9iYl" TargetMode="External"/><Relationship Id="rId918" Type="http://schemas.openxmlformats.org/officeDocument/2006/relationships/hyperlink" Target="https://www.facebook.com/realpr93/posts/pfbid0Boqyh8rn3Y9fYiaYepJKL5GFi6tpLoTHBUmmvBxhDPiDEqvFcFNFLQgWw4aEtHz5l" TargetMode="External"/><Relationship Id="rId1103" Type="http://schemas.openxmlformats.org/officeDocument/2006/relationships/hyperlink" Target="https://www.facebook.com/nepszavaonline/posts/pfbid0AGgDNvXxbNfZrqdKAhxuHuwAgetgJjaSGZWCpio3mZMsnmyo3hApNx5xWUfDGoW4l" TargetMode="External"/><Relationship Id="rId47" Type="http://schemas.openxmlformats.org/officeDocument/2006/relationships/hyperlink" Target="http://www.ideaintezet.hu/hirek-aktualis/6/friss-felmeres--csokken-a-fidesz-elonye--erosodik-az-ellenzek" TargetMode="External"/><Relationship Id="rId196" Type="http://schemas.openxmlformats.org/officeDocument/2006/relationships/hyperlink" Target="http://publicus.hu/blog/partok_tamogatottsaga_szakertoi_becsles_2018_aprilis/" TargetMode="External"/><Relationship Id="rId263" Type="http://schemas.openxmlformats.org/officeDocument/2006/relationships/hyperlink" Target="https://szazadveg.hu/hu/kutatasok/az-alapitvany-kutatasai/piackutatas-kozvelemeny-kutatas/eros-fidesz-kdnp-gyengulo-ellenzek" TargetMode="External"/><Relationship Id="rId470" Type="http://schemas.openxmlformats.org/officeDocument/2006/relationships/hyperlink" Target="https://publicus.hu/blog/partok-tamogatottsaga-2019-augusztus/" TargetMode="External"/><Relationship Id="rId123" Type="http://schemas.openxmlformats.org/officeDocument/2006/relationships/hyperlink" Target="http://publicus.hu/images/uploads/2018_02_ppref_all.png" TargetMode="External"/><Relationship Id="rId330" Type="http://schemas.openxmlformats.org/officeDocument/2006/relationships/hyperlink" Target="https://hvg.hu/itthon/20190103_A_rabszolgatorveny_ellenere_sem_szavaznanak_kevesebben_a_Fideszre" TargetMode="External"/><Relationship Id="rId568" Type="http://schemas.openxmlformats.org/officeDocument/2006/relationships/hyperlink" Target="https://publicus.hu/blog/ellenzeki-varosvezetok-es-az-egyuttmukodes-megitelese/" TargetMode="External"/><Relationship Id="rId775" Type="http://schemas.openxmlformats.org/officeDocument/2006/relationships/hyperlink" Target="https://szocialis.eu/kvk202209.pdf" TargetMode="External"/><Relationship Id="rId982" Type="http://schemas.openxmlformats.org/officeDocument/2006/relationships/hyperlink" Target="https://magyarnemzet.hu/belfold-archivum/2018/01/egymassal-versenyezik-az-mszp-a-dk-es-az-lmp" TargetMode="External"/><Relationship Id="rId428" Type="http://schemas.openxmlformats.org/officeDocument/2006/relationships/hyperlink" Target="https://web.archive.org/web/20190523181907/https:/hvg.hu/itthon/201921_mozdulnake" TargetMode="External"/><Relationship Id="rId635" Type="http://schemas.openxmlformats.org/officeDocument/2006/relationships/hyperlink" Target="https://publicus.hu/blog/novekszik-az-oltasi-hajlandosag-keleti-vakcinak-tovabbra-is-elutasitottak/" TargetMode="External"/><Relationship Id="rId842" Type="http://schemas.openxmlformats.org/officeDocument/2006/relationships/hyperlink" Target="https://telex.hu/belfold/2023/07/03/republikon-kutatas-partszimpatia-kormanypart-ellenzek-junius-adatok" TargetMode="External"/><Relationship Id="rId1058" Type="http://schemas.openxmlformats.org/officeDocument/2006/relationships/hyperlink" Target="https://telex.hu/belfold/2025/11/04/policy-solutions-felmeres-a-tisza-es-a-fidesz-kormanyzokepessegerol-es-a-gazdasagi-varakozasokrol" TargetMode="External"/><Relationship Id="rId702" Type="http://schemas.openxmlformats.org/officeDocument/2006/relationships/hyperlink" Target="https://24.hu/kozelet/2021/07/12/idea-intezet-partok-kozvelemeny-kutatas-julius/" TargetMode="External"/><Relationship Id="rId1125" Type="http://schemas.openxmlformats.org/officeDocument/2006/relationships/hyperlink" Target="https://telex.hu/belfold/2026/02/06/21-kutatokozpont-vas-1-es-szavazokor-meres-tisza-part-vezet-rapli-robert-fidesz-vamos-zoltan-czegledy-csaba" TargetMode="External"/><Relationship Id="rId69" Type="http://schemas.openxmlformats.org/officeDocument/2006/relationships/hyperlink" Target="https://nepszava.hu/3267546_publicus-intezet-majka-csurran-cseppen-videoklip-bindzsisztan-orban-kormany-felmeres" TargetMode="External"/><Relationship Id="rId285" Type="http://schemas.openxmlformats.org/officeDocument/2006/relationships/hyperlink" Target="https://publicus.hu/blog/partok-tamogatottsaga-2018-okto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A16" sqref="A16"/>
    </sheetView>
  </sheetViews>
  <sheetFormatPr baseColWidth="10" defaultColWidth="14.5" defaultRowHeight="15" customHeight="1" x14ac:dyDescent="0.2"/>
  <cols>
    <col min="1" max="1" width="186.5" customWidth="1"/>
    <col min="2" max="26" width="8.83203125" customWidth="1"/>
  </cols>
  <sheetData>
    <row r="1" spans="1:1" x14ac:dyDescent="0.2">
      <c r="A1" s="1" t="s">
        <v>0</v>
      </c>
    </row>
    <row r="2" spans="1:1" x14ac:dyDescent="0.2">
      <c r="A2" s="2" t="s">
        <v>1</v>
      </c>
    </row>
    <row r="3" spans="1:1" x14ac:dyDescent="0.2">
      <c r="A3" s="2" t="s">
        <v>2</v>
      </c>
    </row>
    <row r="4" spans="1:1" x14ac:dyDescent="0.2">
      <c r="A4" s="2" t="s">
        <v>3</v>
      </c>
    </row>
    <row r="5" spans="1:1" x14ac:dyDescent="0.2">
      <c r="A5" s="2" t="s">
        <v>4</v>
      </c>
    </row>
    <row r="6" spans="1:1" x14ac:dyDescent="0.2">
      <c r="A6" s="2" t="s">
        <v>5</v>
      </c>
    </row>
    <row r="7" spans="1:1" x14ac:dyDescent="0.2">
      <c r="A7" s="2" t="s">
        <v>6</v>
      </c>
    </row>
    <row r="8" spans="1:1" x14ac:dyDescent="0.2">
      <c r="A8" s="2" t="s">
        <v>7</v>
      </c>
    </row>
    <row r="9" spans="1:1" x14ac:dyDescent="0.2">
      <c r="A9" s="2" t="s">
        <v>8</v>
      </c>
    </row>
    <row r="10" spans="1:1" x14ac:dyDescent="0.2">
      <c r="A10" s="2" t="s">
        <v>9</v>
      </c>
    </row>
    <row r="11" spans="1:1" x14ac:dyDescent="0.2">
      <c r="A11" s="2"/>
    </row>
    <row r="12" spans="1:1" x14ac:dyDescent="0.2">
      <c r="A12" s="1" t="s">
        <v>10</v>
      </c>
    </row>
    <row r="13" spans="1:1" x14ac:dyDescent="0.2">
      <c r="A13" s="2" t="s">
        <v>11</v>
      </c>
    </row>
    <row r="14" spans="1:1" x14ac:dyDescent="0.2">
      <c r="A14" s="2"/>
    </row>
    <row r="15" spans="1:1" x14ac:dyDescent="0.2">
      <c r="A15" s="1" t="s">
        <v>12</v>
      </c>
    </row>
    <row r="16" spans="1:1" x14ac:dyDescent="0.2">
      <c r="A16" s="2" t="s">
        <v>13</v>
      </c>
    </row>
    <row r="17" spans="1:1" x14ac:dyDescent="0.2">
      <c r="A17" s="2"/>
    </row>
    <row r="18" spans="1:1" x14ac:dyDescent="0.2">
      <c r="A18" s="1" t="s">
        <v>14</v>
      </c>
    </row>
    <row r="19" spans="1:1" x14ac:dyDescent="0.2">
      <c r="A19" s="2" t="s">
        <v>15</v>
      </c>
    </row>
    <row r="20" spans="1:1" x14ac:dyDescent="0.2">
      <c r="A20" s="2" t="s">
        <v>16</v>
      </c>
    </row>
    <row r="21" spans="1:1" ht="15.75" customHeight="1" x14ac:dyDescent="0.2">
      <c r="A21" s="2" t="s">
        <v>17</v>
      </c>
    </row>
    <row r="22" spans="1:1" ht="15.75" customHeight="1" x14ac:dyDescent="0.2">
      <c r="A22" s="2" t="s">
        <v>18</v>
      </c>
    </row>
    <row r="23" spans="1:1" ht="15.75" customHeight="1" x14ac:dyDescent="0.2">
      <c r="A23" s="2" t="s">
        <v>19</v>
      </c>
    </row>
    <row r="24" spans="1:1" ht="15.75" customHeight="1" x14ac:dyDescent="0.2">
      <c r="A24" s="2"/>
    </row>
    <row r="25" spans="1:1" ht="15.75" customHeight="1" x14ac:dyDescent="0.2">
      <c r="A25" s="2" t="s">
        <v>20</v>
      </c>
    </row>
    <row r="26" spans="1:1" ht="15.75" customHeight="1" x14ac:dyDescent="0.2">
      <c r="A26" s="2" t="s">
        <v>21</v>
      </c>
    </row>
    <row r="27" spans="1:1" ht="15.75" customHeight="1" x14ac:dyDescent="0.2">
      <c r="A27" s="2" t="s">
        <v>22</v>
      </c>
    </row>
    <row r="28" spans="1:1" ht="15.75" customHeight="1" x14ac:dyDescent="0.2">
      <c r="A28" s="2" t="s">
        <v>23</v>
      </c>
    </row>
    <row r="29" spans="1:1" ht="15.75" customHeight="1" x14ac:dyDescent="0.2">
      <c r="A29" s="2" t="s">
        <v>24</v>
      </c>
    </row>
    <row r="30" spans="1:1" ht="15.75" customHeight="1" x14ac:dyDescent="0.2">
      <c r="A30" s="2"/>
    </row>
    <row r="31" spans="1:1" ht="15.75" customHeight="1" x14ac:dyDescent="0.2">
      <c r="A31" s="1" t="s">
        <v>25</v>
      </c>
    </row>
    <row r="32" spans="1:1" ht="15.75" customHeight="1" x14ac:dyDescent="0.2">
      <c r="A32" s="2" t="s">
        <v>3</v>
      </c>
    </row>
    <row r="33" spans="1:1" ht="15.75" customHeight="1" x14ac:dyDescent="0.2">
      <c r="A33" s="2" t="s">
        <v>26</v>
      </c>
    </row>
    <row r="34" spans="1:1" ht="20.25" customHeight="1" x14ac:dyDescent="0.2">
      <c r="A34" s="2" t="s">
        <v>27</v>
      </c>
    </row>
    <row r="35" spans="1:1" ht="15.75" customHeight="1" x14ac:dyDescent="0.2">
      <c r="A35" s="2" t="s">
        <v>28</v>
      </c>
    </row>
    <row r="36" spans="1:1" ht="15.75" customHeight="1" x14ac:dyDescent="0.2">
      <c r="A36" s="2" t="s">
        <v>29</v>
      </c>
    </row>
    <row r="37" spans="1:1" ht="15.75" customHeight="1" x14ac:dyDescent="0.2">
      <c r="A37" s="2"/>
    </row>
    <row r="38" spans="1:1" ht="15.75" customHeight="1" x14ac:dyDescent="0.2">
      <c r="A38" s="1" t="s">
        <v>30</v>
      </c>
    </row>
    <row r="39" spans="1:1" ht="15.75" customHeight="1" x14ac:dyDescent="0.2">
      <c r="A39" s="2" t="s">
        <v>31</v>
      </c>
    </row>
    <row r="40" spans="1:1" ht="15.75" customHeight="1" x14ac:dyDescent="0.2">
      <c r="A40" s="2" t="s">
        <v>32</v>
      </c>
    </row>
    <row r="41" spans="1:1" ht="15.75" customHeight="1" x14ac:dyDescent="0.2">
      <c r="A41" s="2" t="s">
        <v>33</v>
      </c>
    </row>
    <row r="42" spans="1:1" ht="15.75" customHeight="1" x14ac:dyDescent="0.2">
      <c r="A42" s="2" t="s">
        <v>34</v>
      </c>
    </row>
    <row r="43" spans="1:1" ht="15.75" customHeight="1" x14ac:dyDescent="0.2">
      <c r="A43" s="2"/>
    </row>
    <row r="44" spans="1:1" ht="15.75" customHeight="1" x14ac:dyDescent="0.2">
      <c r="A44" s="1" t="s">
        <v>35</v>
      </c>
    </row>
    <row r="45" spans="1:1" ht="15.75" customHeight="1" x14ac:dyDescent="0.2">
      <c r="A45" s="2" t="s">
        <v>36</v>
      </c>
    </row>
    <row r="46" spans="1:1" ht="15.75" customHeight="1" x14ac:dyDescent="0.2">
      <c r="A46" s="2"/>
    </row>
    <row r="47" spans="1:1" ht="15.75" customHeight="1" x14ac:dyDescent="0.2">
      <c r="A47" s="1" t="s">
        <v>37</v>
      </c>
    </row>
    <row r="48" spans="1:1" ht="15.75" customHeight="1" x14ac:dyDescent="0.2">
      <c r="A48" s="2" t="s">
        <v>38</v>
      </c>
    </row>
    <row r="49" spans="1:1" ht="15.75" customHeight="1" x14ac:dyDescent="0.2">
      <c r="A49" s="2" t="s">
        <v>39</v>
      </c>
    </row>
    <row r="50" spans="1:1" ht="15.75" customHeight="1" x14ac:dyDescent="0.2">
      <c r="A50" s="2"/>
    </row>
    <row r="51" spans="1:1" ht="15.75" customHeight="1" x14ac:dyDescent="0.2">
      <c r="A51" s="1" t="s">
        <v>40</v>
      </c>
    </row>
    <row r="52" spans="1:1" ht="15.75" customHeight="1" x14ac:dyDescent="0.2">
      <c r="A52" s="2" t="s">
        <v>41</v>
      </c>
    </row>
    <row r="53" spans="1:1" ht="15.75" customHeight="1" x14ac:dyDescent="0.2">
      <c r="A53" s="3"/>
    </row>
    <row r="54" spans="1:1" ht="15.75" customHeight="1" x14ac:dyDescent="0.2">
      <c r="A54" s="4" t="s">
        <v>42</v>
      </c>
    </row>
    <row r="55" spans="1:1" ht="15.75" customHeight="1" x14ac:dyDescent="0.2">
      <c r="A55" s="5" t="s">
        <v>43</v>
      </c>
    </row>
    <row r="56" spans="1:1" ht="15.75" customHeight="1" x14ac:dyDescent="0.2">
      <c r="A56" s="3" t="s">
        <v>44</v>
      </c>
    </row>
    <row r="57" spans="1:1" ht="15.75" customHeight="1" x14ac:dyDescent="0.2">
      <c r="A57" s="3"/>
    </row>
    <row r="58" spans="1:1" ht="15.75" customHeight="1" x14ac:dyDescent="0.2">
      <c r="A58" s="3"/>
    </row>
    <row r="59" spans="1:1" ht="15.75" customHeight="1" x14ac:dyDescent="0.2">
      <c r="A59" s="3"/>
    </row>
    <row r="60" spans="1:1" ht="15.75" customHeight="1" x14ac:dyDescent="0.2">
      <c r="A60" s="3"/>
    </row>
    <row r="61" spans="1:1" ht="15.75" customHeight="1" x14ac:dyDescent="0.2">
      <c r="A61" s="3"/>
    </row>
    <row r="62" spans="1:1" ht="15.75" customHeight="1" x14ac:dyDescent="0.2">
      <c r="A62" s="3"/>
    </row>
    <row r="63" spans="1:1" ht="15.75" customHeight="1" x14ac:dyDescent="0.2">
      <c r="A63" s="3"/>
    </row>
    <row r="64" spans="1:1" ht="15.75" customHeight="1" x14ac:dyDescent="0.2">
      <c r="A64" s="3"/>
    </row>
    <row r="65" spans="1:1" ht="15.75" customHeight="1" x14ac:dyDescent="0.2">
      <c r="A65" s="3"/>
    </row>
    <row r="66" spans="1:1" ht="15.75" customHeight="1" x14ac:dyDescent="0.2">
      <c r="A66" s="3"/>
    </row>
    <row r="67" spans="1:1" ht="15.75" customHeight="1" x14ac:dyDescent="0.2">
      <c r="A67" s="3"/>
    </row>
    <row r="68" spans="1:1" ht="15.75" customHeight="1" x14ac:dyDescent="0.2">
      <c r="A68" s="3"/>
    </row>
    <row r="69" spans="1:1" ht="15.75" customHeight="1" x14ac:dyDescent="0.2">
      <c r="A69" s="3"/>
    </row>
    <row r="70" spans="1:1" ht="15.75" customHeight="1" x14ac:dyDescent="0.2">
      <c r="A70" s="3"/>
    </row>
    <row r="71" spans="1:1" ht="15.75" customHeight="1" x14ac:dyDescent="0.2">
      <c r="A71" s="3"/>
    </row>
    <row r="72" spans="1:1" ht="15.75" customHeight="1" x14ac:dyDescent="0.2">
      <c r="A72" s="3"/>
    </row>
    <row r="73" spans="1:1" ht="15.75" customHeight="1" x14ac:dyDescent="0.2">
      <c r="A73" s="3"/>
    </row>
    <row r="74" spans="1:1" ht="15.75" customHeight="1" x14ac:dyDescent="0.2">
      <c r="A74" s="3"/>
    </row>
    <row r="75" spans="1:1" ht="15.75" customHeight="1" x14ac:dyDescent="0.2">
      <c r="A75" s="3"/>
    </row>
    <row r="76" spans="1:1" ht="15.75" customHeight="1" x14ac:dyDescent="0.2">
      <c r="A76" s="3"/>
    </row>
    <row r="77" spans="1:1" ht="15.75" customHeight="1" x14ac:dyDescent="0.2">
      <c r="A77" s="3"/>
    </row>
    <row r="78" spans="1:1" ht="15.75" customHeight="1" x14ac:dyDescent="0.2">
      <c r="A78" s="3"/>
    </row>
    <row r="79" spans="1:1" ht="15.75" customHeight="1" x14ac:dyDescent="0.2">
      <c r="A79" s="3"/>
    </row>
    <row r="80" spans="1:1" ht="15.75" customHeight="1" x14ac:dyDescent="0.2">
      <c r="A80" s="3"/>
    </row>
    <row r="81" spans="1:1" ht="15.75" customHeight="1" x14ac:dyDescent="0.2">
      <c r="A81" s="3"/>
    </row>
    <row r="82" spans="1:1" ht="15.75" customHeight="1" x14ac:dyDescent="0.2">
      <c r="A82" s="3"/>
    </row>
    <row r="83" spans="1:1" ht="15.75" customHeight="1" x14ac:dyDescent="0.2">
      <c r="A83" s="3"/>
    </row>
    <row r="84" spans="1:1" ht="15.75" customHeight="1" x14ac:dyDescent="0.2">
      <c r="A84" s="3"/>
    </row>
    <row r="85" spans="1:1" ht="15.75" customHeight="1" x14ac:dyDescent="0.2">
      <c r="A85" s="3"/>
    </row>
    <row r="86" spans="1:1" ht="15.75" customHeight="1" x14ac:dyDescent="0.2">
      <c r="A86" s="3"/>
    </row>
    <row r="87" spans="1:1" ht="15.75" customHeight="1" x14ac:dyDescent="0.2">
      <c r="A87" s="3"/>
    </row>
    <row r="88" spans="1:1" ht="15.75" customHeight="1" x14ac:dyDescent="0.2">
      <c r="A88" s="3"/>
    </row>
    <row r="89" spans="1:1" ht="15.75" customHeight="1" x14ac:dyDescent="0.2">
      <c r="A89" s="3"/>
    </row>
    <row r="90" spans="1:1" ht="15.75" customHeight="1" x14ac:dyDescent="0.2">
      <c r="A90" s="3"/>
    </row>
    <row r="91" spans="1:1" ht="15.75" customHeight="1" x14ac:dyDescent="0.2">
      <c r="A91" s="3"/>
    </row>
    <row r="92" spans="1:1" ht="15.75" customHeight="1" x14ac:dyDescent="0.2">
      <c r="A92" s="3"/>
    </row>
    <row r="93" spans="1:1" ht="15.75" customHeight="1" x14ac:dyDescent="0.2">
      <c r="A93" s="3"/>
    </row>
    <row r="94" spans="1:1" ht="15.75" customHeight="1" x14ac:dyDescent="0.2">
      <c r="A94" s="3"/>
    </row>
    <row r="95" spans="1:1" ht="15.75" customHeight="1" x14ac:dyDescent="0.2">
      <c r="A95" s="3"/>
    </row>
    <row r="96" spans="1:1" ht="15.75" customHeight="1" x14ac:dyDescent="0.2">
      <c r="A96" s="3"/>
    </row>
    <row r="97" spans="1:1" ht="15.75" customHeight="1" x14ac:dyDescent="0.2">
      <c r="A97" s="3"/>
    </row>
    <row r="98" spans="1:1" ht="15.75" customHeight="1" x14ac:dyDescent="0.2">
      <c r="A98" s="3"/>
    </row>
    <row r="99" spans="1:1" ht="15.75" customHeight="1" x14ac:dyDescent="0.2">
      <c r="A99" s="3"/>
    </row>
    <row r="100" spans="1:1" ht="15.75" customHeight="1" x14ac:dyDescent="0.2">
      <c r="A100" s="3"/>
    </row>
    <row r="101" spans="1:1" ht="15.75" customHeight="1" x14ac:dyDescent="0.2">
      <c r="A101" s="3"/>
    </row>
    <row r="102" spans="1:1" ht="15.75" customHeight="1" x14ac:dyDescent="0.2">
      <c r="A102" s="3"/>
    </row>
    <row r="103" spans="1:1" ht="15.75" customHeight="1" x14ac:dyDescent="0.2">
      <c r="A103" s="3"/>
    </row>
    <row r="104" spans="1:1" ht="15.75" customHeight="1" x14ac:dyDescent="0.2">
      <c r="A104" s="3"/>
    </row>
    <row r="105" spans="1:1" ht="15.75" customHeight="1" x14ac:dyDescent="0.2">
      <c r="A105" s="3"/>
    </row>
    <row r="106" spans="1:1" ht="15.75" customHeight="1" x14ac:dyDescent="0.2">
      <c r="A106" s="3"/>
    </row>
    <row r="107" spans="1:1" ht="15.75" customHeight="1" x14ac:dyDescent="0.2">
      <c r="A107" s="3"/>
    </row>
    <row r="108" spans="1:1" ht="15.75" customHeight="1" x14ac:dyDescent="0.2">
      <c r="A108" s="3"/>
    </row>
    <row r="109" spans="1:1" ht="15.75" customHeight="1" x14ac:dyDescent="0.2">
      <c r="A109" s="3"/>
    </row>
    <row r="110" spans="1:1" ht="15.75" customHeight="1" x14ac:dyDescent="0.2">
      <c r="A110" s="3"/>
    </row>
    <row r="111" spans="1:1" ht="15.75" customHeight="1" x14ac:dyDescent="0.2">
      <c r="A111" s="3"/>
    </row>
    <row r="112" spans="1:1" ht="15.75" customHeight="1" x14ac:dyDescent="0.2">
      <c r="A112" s="3"/>
    </row>
    <row r="113" spans="1:1" ht="15.75" customHeight="1" x14ac:dyDescent="0.2">
      <c r="A113" s="3"/>
    </row>
    <row r="114" spans="1:1" ht="15.75" customHeight="1" x14ac:dyDescent="0.2">
      <c r="A114" s="3"/>
    </row>
    <row r="115" spans="1:1" ht="15.75" customHeight="1" x14ac:dyDescent="0.2">
      <c r="A115" s="3"/>
    </row>
    <row r="116" spans="1:1" ht="15.75" customHeight="1" x14ac:dyDescent="0.2">
      <c r="A116" s="3"/>
    </row>
    <row r="117" spans="1:1" ht="15.75" customHeight="1" x14ac:dyDescent="0.2">
      <c r="A117" s="3"/>
    </row>
    <row r="118" spans="1:1" ht="15.75" customHeight="1" x14ac:dyDescent="0.2">
      <c r="A118" s="3"/>
    </row>
    <row r="119" spans="1:1" ht="15.75" customHeight="1" x14ac:dyDescent="0.2">
      <c r="A119" s="3"/>
    </row>
    <row r="120" spans="1:1" ht="15.75" customHeight="1" x14ac:dyDescent="0.2">
      <c r="A120" s="3"/>
    </row>
    <row r="121" spans="1:1" ht="15.75" customHeight="1" x14ac:dyDescent="0.2">
      <c r="A121" s="3"/>
    </row>
    <row r="122" spans="1:1" ht="15.75" customHeight="1" x14ac:dyDescent="0.2">
      <c r="A122" s="3"/>
    </row>
    <row r="123" spans="1:1" ht="15.75" customHeight="1" x14ac:dyDescent="0.2">
      <c r="A123" s="3"/>
    </row>
    <row r="124" spans="1:1" ht="15.75" customHeight="1" x14ac:dyDescent="0.2">
      <c r="A124" s="3"/>
    </row>
    <row r="125" spans="1:1" ht="15.75" customHeight="1" x14ac:dyDescent="0.2">
      <c r="A125" s="3"/>
    </row>
    <row r="126" spans="1:1" ht="15.75" customHeight="1" x14ac:dyDescent="0.2">
      <c r="A126" s="3"/>
    </row>
    <row r="127" spans="1:1" ht="15.75" customHeight="1" x14ac:dyDescent="0.2">
      <c r="A127" s="3"/>
    </row>
    <row r="128" spans="1:1" ht="15.75" customHeight="1" x14ac:dyDescent="0.2">
      <c r="A128" s="3"/>
    </row>
    <row r="129" spans="1:1" ht="15.75" customHeight="1" x14ac:dyDescent="0.2">
      <c r="A129" s="3"/>
    </row>
    <row r="130" spans="1:1" ht="15.75" customHeight="1" x14ac:dyDescent="0.2">
      <c r="A130" s="3"/>
    </row>
    <row r="131" spans="1:1" ht="15.75" customHeight="1" x14ac:dyDescent="0.2">
      <c r="A131" s="3"/>
    </row>
    <row r="132" spans="1:1" ht="15.75" customHeight="1" x14ac:dyDescent="0.2">
      <c r="A132" s="3"/>
    </row>
    <row r="133" spans="1:1" ht="15.75" customHeight="1" x14ac:dyDescent="0.2">
      <c r="A133" s="3"/>
    </row>
    <row r="134" spans="1:1" ht="15.75" customHeight="1" x14ac:dyDescent="0.2">
      <c r="A134" s="3"/>
    </row>
    <row r="135" spans="1:1" ht="15.75" customHeight="1" x14ac:dyDescent="0.2">
      <c r="A135" s="3"/>
    </row>
    <row r="136" spans="1:1" ht="15.75" customHeight="1" x14ac:dyDescent="0.2">
      <c r="A136" s="3"/>
    </row>
    <row r="137" spans="1:1" ht="15.75" customHeight="1" x14ac:dyDescent="0.2">
      <c r="A137" s="3"/>
    </row>
    <row r="138" spans="1:1" ht="15.75" customHeight="1" x14ac:dyDescent="0.2">
      <c r="A138" s="3"/>
    </row>
    <row r="139" spans="1:1" ht="15.75" customHeight="1" x14ac:dyDescent="0.2">
      <c r="A139" s="3"/>
    </row>
    <row r="140" spans="1:1" ht="15.75" customHeight="1" x14ac:dyDescent="0.2">
      <c r="A140" s="3"/>
    </row>
    <row r="141" spans="1:1" ht="15.75" customHeight="1" x14ac:dyDescent="0.2">
      <c r="A141" s="3"/>
    </row>
    <row r="142" spans="1:1" ht="15.75" customHeight="1" x14ac:dyDescent="0.2">
      <c r="A142" s="3"/>
    </row>
    <row r="143" spans="1:1" ht="15.75" customHeight="1" x14ac:dyDescent="0.2">
      <c r="A143" s="3"/>
    </row>
    <row r="144" spans="1:1" ht="15.75" customHeight="1" x14ac:dyDescent="0.2">
      <c r="A144" s="3"/>
    </row>
    <row r="145" spans="1:1" ht="15.75" customHeight="1" x14ac:dyDescent="0.2">
      <c r="A145" s="3"/>
    </row>
    <row r="146" spans="1:1" ht="15.75" customHeight="1" x14ac:dyDescent="0.2">
      <c r="A146" s="3"/>
    </row>
    <row r="147" spans="1:1" ht="15.75" customHeight="1" x14ac:dyDescent="0.2">
      <c r="A147" s="3"/>
    </row>
    <row r="148" spans="1:1" ht="15.75" customHeight="1" x14ac:dyDescent="0.2">
      <c r="A148" s="3"/>
    </row>
    <row r="149" spans="1:1" ht="15.75" customHeight="1" x14ac:dyDescent="0.2">
      <c r="A149" s="3"/>
    </row>
    <row r="150" spans="1:1" ht="15.75" customHeight="1" x14ac:dyDescent="0.2">
      <c r="A150" s="3"/>
    </row>
    <row r="151" spans="1:1" ht="15.75" customHeight="1" x14ac:dyDescent="0.2">
      <c r="A151" s="3"/>
    </row>
    <row r="152" spans="1:1" ht="15.75" customHeight="1" x14ac:dyDescent="0.2">
      <c r="A152" s="3"/>
    </row>
    <row r="153" spans="1:1" ht="15.75" customHeight="1" x14ac:dyDescent="0.2">
      <c r="A153" s="3"/>
    </row>
    <row r="154" spans="1:1" ht="15.75" customHeight="1" x14ac:dyDescent="0.2">
      <c r="A154" s="3"/>
    </row>
    <row r="155" spans="1:1" ht="15.75" customHeight="1" x14ac:dyDescent="0.2">
      <c r="A155" s="3"/>
    </row>
    <row r="156" spans="1:1" ht="15.75" customHeight="1" x14ac:dyDescent="0.2">
      <c r="A156" s="3"/>
    </row>
    <row r="157" spans="1:1" ht="15.75" customHeight="1" x14ac:dyDescent="0.2">
      <c r="A157" s="3"/>
    </row>
    <row r="158" spans="1:1" ht="15.75" customHeight="1" x14ac:dyDescent="0.2">
      <c r="A158" s="3"/>
    </row>
    <row r="159" spans="1:1" ht="15.75" customHeight="1" x14ac:dyDescent="0.2">
      <c r="A159" s="3"/>
    </row>
    <row r="160" spans="1:1" ht="15.75" customHeight="1" x14ac:dyDescent="0.2">
      <c r="A160" s="3"/>
    </row>
    <row r="161" spans="1:1" ht="15.75" customHeight="1" x14ac:dyDescent="0.2">
      <c r="A161" s="3"/>
    </row>
    <row r="162" spans="1:1" ht="15.75" customHeight="1" x14ac:dyDescent="0.2">
      <c r="A162" s="3"/>
    </row>
    <row r="163" spans="1:1" ht="15.75" customHeight="1" x14ac:dyDescent="0.2">
      <c r="A163" s="3"/>
    </row>
    <row r="164" spans="1:1" ht="15.75" customHeight="1" x14ac:dyDescent="0.2">
      <c r="A164" s="3"/>
    </row>
    <row r="165" spans="1:1" ht="15.75" customHeight="1" x14ac:dyDescent="0.2">
      <c r="A165" s="3"/>
    </row>
    <row r="166" spans="1:1" ht="15.75" customHeight="1" x14ac:dyDescent="0.2">
      <c r="A166" s="3"/>
    </row>
    <row r="167" spans="1:1" ht="15.75" customHeight="1" x14ac:dyDescent="0.2">
      <c r="A167" s="3"/>
    </row>
    <row r="168" spans="1:1" ht="15.75" customHeight="1" x14ac:dyDescent="0.2">
      <c r="A168" s="3"/>
    </row>
    <row r="169" spans="1:1" ht="15.75" customHeight="1" x14ac:dyDescent="0.2">
      <c r="A169" s="3"/>
    </row>
    <row r="170" spans="1:1" ht="15.75" customHeight="1" x14ac:dyDescent="0.2">
      <c r="A170" s="3"/>
    </row>
    <row r="171" spans="1:1" ht="15.75" customHeight="1" x14ac:dyDescent="0.2">
      <c r="A171" s="3"/>
    </row>
    <row r="172" spans="1:1" ht="15.75" customHeight="1" x14ac:dyDescent="0.2">
      <c r="A172" s="3"/>
    </row>
    <row r="173" spans="1:1" ht="15.75" customHeight="1" x14ac:dyDescent="0.2">
      <c r="A173" s="3"/>
    </row>
    <row r="174" spans="1:1" ht="15.75" customHeight="1" x14ac:dyDescent="0.2">
      <c r="A174" s="3"/>
    </row>
    <row r="175" spans="1:1" ht="15.75" customHeight="1" x14ac:dyDescent="0.2">
      <c r="A175" s="3"/>
    </row>
    <row r="176" spans="1:1" ht="15.75" customHeight="1" x14ac:dyDescent="0.2">
      <c r="A176" s="3"/>
    </row>
    <row r="177" spans="1:1" ht="15.75" customHeight="1" x14ac:dyDescent="0.2">
      <c r="A177" s="3"/>
    </row>
    <row r="178" spans="1:1" ht="15.75" customHeight="1" x14ac:dyDescent="0.2">
      <c r="A178" s="3"/>
    </row>
    <row r="179" spans="1:1" ht="15.75" customHeight="1" x14ac:dyDescent="0.2">
      <c r="A179" s="3"/>
    </row>
    <row r="180" spans="1:1" ht="15.75" customHeight="1" x14ac:dyDescent="0.2">
      <c r="A180" s="3"/>
    </row>
    <row r="181" spans="1:1" ht="15.75" customHeight="1" x14ac:dyDescent="0.2">
      <c r="A181" s="3"/>
    </row>
    <row r="182" spans="1:1" ht="15.75" customHeight="1" x14ac:dyDescent="0.2">
      <c r="A182" s="3"/>
    </row>
    <row r="183" spans="1:1" ht="15.75" customHeight="1" x14ac:dyDescent="0.2">
      <c r="A183" s="3"/>
    </row>
    <row r="184" spans="1:1" ht="15.75" customHeight="1" x14ac:dyDescent="0.2">
      <c r="A184" s="3"/>
    </row>
    <row r="185" spans="1:1" ht="15.75" customHeight="1" x14ac:dyDescent="0.2">
      <c r="A185" s="3"/>
    </row>
    <row r="186" spans="1:1" ht="15.75" customHeight="1" x14ac:dyDescent="0.2">
      <c r="A186" s="3"/>
    </row>
    <row r="187" spans="1:1" ht="15.75" customHeight="1" x14ac:dyDescent="0.2">
      <c r="A187" s="3"/>
    </row>
    <row r="188" spans="1:1" ht="15.75" customHeight="1" x14ac:dyDescent="0.2">
      <c r="A188" s="3"/>
    </row>
    <row r="189" spans="1:1" ht="15.75" customHeight="1" x14ac:dyDescent="0.2">
      <c r="A189" s="3"/>
    </row>
    <row r="190" spans="1:1" ht="15.75" customHeight="1" x14ac:dyDescent="0.2">
      <c r="A190" s="3"/>
    </row>
    <row r="191" spans="1:1" ht="15.75" customHeight="1" x14ac:dyDescent="0.2">
      <c r="A191" s="3"/>
    </row>
    <row r="192" spans="1:1" ht="15.75" customHeight="1" x14ac:dyDescent="0.2">
      <c r="A192" s="3"/>
    </row>
    <row r="193" spans="1:1" ht="15.75" customHeight="1" x14ac:dyDescent="0.2">
      <c r="A193" s="3"/>
    </row>
    <row r="194" spans="1:1" ht="15.75" customHeight="1" x14ac:dyDescent="0.2">
      <c r="A194" s="3"/>
    </row>
    <row r="195" spans="1:1" ht="15.75" customHeight="1" x14ac:dyDescent="0.2">
      <c r="A195" s="3"/>
    </row>
    <row r="196" spans="1:1" ht="15.75" customHeight="1" x14ac:dyDescent="0.2">
      <c r="A196" s="3"/>
    </row>
    <row r="197" spans="1:1" ht="15.75" customHeight="1" x14ac:dyDescent="0.2">
      <c r="A197" s="3"/>
    </row>
    <row r="198" spans="1:1" ht="15.75" customHeight="1" x14ac:dyDescent="0.2">
      <c r="A198" s="3"/>
    </row>
    <row r="199" spans="1:1" ht="15.75" customHeight="1" x14ac:dyDescent="0.2">
      <c r="A199" s="3"/>
    </row>
    <row r="200" spans="1:1" ht="15.75" customHeight="1" x14ac:dyDescent="0.2">
      <c r="A200" s="3"/>
    </row>
    <row r="201" spans="1:1" ht="15.75" customHeight="1" x14ac:dyDescent="0.2">
      <c r="A201" s="3"/>
    </row>
    <row r="202" spans="1:1" ht="15.75" customHeight="1" x14ac:dyDescent="0.2">
      <c r="A202" s="3"/>
    </row>
    <row r="203" spans="1:1" ht="15.75" customHeight="1" x14ac:dyDescent="0.2">
      <c r="A203" s="3"/>
    </row>
    <row r="204" spans="1:1" ht="15.75" customHeight="1" x14ac:dyDescent="0.2">
      <c r="A204" s="3"/>
    </row>
    <row r="205" spans="1:1" ht="15.75" customHeight="1" x14ac:dyDescent="0.2">
      <c r="A205" s="3"/>
    </row>
    <row r="206" spans="1:1" ht="15.75" customHeight="1" x14ac:dyDescent="0.2">
      <c r="A206" s="3"/>
    </row>
    <row r="207" spans="1:1" ht="15.75" customHeight="1" x14ac:dyDescent="0.2">
      <c r="A207" s="3"/>
    </row>
    <row r="208" spans="1:1" ht="15.75" customHeight="1" x14ac:dyDescent="0.2">
      <c r="A208" s="3"/>
    </row>
    <row r="209" spans="1:1" ht="15.75" customHeight="1" x14ac:dyDescent="0.2">
      <c r="A209" s="3"/>
    </row>
    <row r="210" spans="1:1" ht="15.75" customHeight="1" x14ac:dyDescent="0.2">
      <c r="A210" s="3"/>
    </row>
    <row r="211" spans="1:1" ht="15.75" customHeight="1" x14ac:dyDescent="0.2">
      <c r="A211" s="3"/>
    </row>
    <row r="212" spans="1:1" ht="15.75" customHeight="1" x14ac:dyDescent="0.2">
      <c r="A212" s="3"/>
    </row>
    <row r="213" spans="1:1" ht="15.75" customHeight="1" x14ac:dyDescent="0.2">
      <c r="A213" s="3"/>
    </row>
    <row r="214" spans="1:1" ht="15.75" customHeight="1" x14ac:dyDescent="0.2">
      <c r="A214" s="3"/>
    </row>
    <row r="215" spans="1:1" ht="15.75" customHeight="1" x14ac:dyDescent="0.2">
      <c r="A215" s="3"/>
    </row>
    <row r="216" spans="1:1" ht="15.75" customHeight="1" x14ac:dyDescent="0.2">
      <c r="A216" s="3"/>
    </row>
    <row r="217" spans="1:1" ht="15.75" customHeight="1" x14ac:dyDescent="0.2">
      <c r="A217" s="3"/>
    </row>
    <row r="218" spans="1:1" ht="15.75" customHeight="1" x14ac:dyDescent="0.2">
      <c r="A218" s="3"/>
    </row>
    <row r="219" spans="1:1" ht="15.75" customHeight="1" x14ac:dyDescent="0.2">
      <c r="A219" s="3"/>
    </row>
    <row r="220" spans="1:1" ht="15.75" customHeight="1" x14ac:dyDescent="0.2">
      <c r="A220" s="3"/>
    </row>
    <row r="221" spans="1:1" ht="15.75" customHeight="1" x14ac:dyDescent="0.2">
      <c r="A221" s="3"/>
    </row>
    <row r="222" spans="1:1" ht="15.75" customHeight="1" x14ac:dyDescent="0.2">
      <c r="A222" s="3"/>
    </row>
    <row r="223" spans="1:1" ht="15.75" customHeight="1" x14ac:dyDescent="0.2">
      <c r="A223" s="3"/>
    </row>
    <row r="224" spans="1:1" ht="15.75" customHeight="1" x14ac:dyDescent="0.2">
      <c r="A224" s="3"/>
    </row>
    <row r="225" spans="1:1" ht="15.75" customHeight="1" x14ac:dyDescent="0.2">
      <c r="A225" s="3"/>
    </row>
    <row r="226" spans="1:1" ht="15.75" customHeight="1" x14ac:dyDescent="0.2">
      <c r="A226" s="3"/>
    </row>
    <row r="227" spans="1:1" ht="15.75" customHeight="1" x14ac:dyDescent="0.2">
      <c r="A227" s="3"/>
    </row>
    <row r="228" spans="1:1" ht="15.75" customHeight="1" x14ac:dyDescent="0.2">
      <c r="A228" s="3"/>
    </row>
    <row r="229" spans="1:1" ht="15.75" customHeight="1" x14ac:dyDescent="0.2">
      <c r="A229" s="3"/>
    </row>
    <row r="230" spans="1:1" ht="15.75" customHeight="1" x14ac:dyDescent="0.2">
      <c r="A230" s="3"/>
    </row>
    <row r="231" spans="1:1" ht="15.75" customHeight="1" x14ac:dyDescent="0.2">
      <c r="A231" s="3"/>
    </row>
    <row r="232" spans="1:1" ht="15.75" customHeight="1" x14ac:dyDescent="0.2">
      <c r="A232" s="3"/>
    </row>
    <row r="233" spans="1:1" ht="15.75" customHeight="1" x14ac:dyDescent="0.2">
      <c r="A233" s="3"/>
    </row>
    <row r="234" spans="1:1" ht="15.75" customHeight="1" x14ac:dyDescent="0.2">
      <c r="A234" s="3"/>
    </row>
    <row r="235" spans="1:1" ht="15.75" customHeight="1" x14ac:dyDescent="0.2">
      <c r="A235" s="3"/>
    </row>
    <row r="236" spans="1:1" ht="15.75" customHeight="1" x14ac:dyDescent="0.2">
      <c r="A236" s="3"/>
    </row>
    <row r="237" spans="1:1" ht="15.75" customHeight="1" x14ac:dyDescent="0.2">
      <c r="A237" s="3"/>
    </row>
    <row r="238" spans="1:1" ht="15.75" customHeight="1" x14ac:dyDescent="0.2">
      <c r="A238" s="3"/>
    </row>
    <row r="239" spans="1:1" ht="15.75" customHeight="1" x14ac:dyDescent="0.2">
      <c r="A239" s="3"/>
    </row>
    <row r="240" spans="1:1" ht="15.75" customHeight="1" x14ac:dyDescent="0.2">
      <c r="A240" s="3"/>
    </row>
    <row r="241" spans="1:1" ht="15.75" customHeight="1" x14ac:dyDescent="0.2">
      <c r="A241" s="3"/>
    </row>
    <row r="242" spans="1:1" ht="15.75" customHeight="1" x14ac:dyDescent="0.2">
      <c r="A242" s="3"/>
    </row>
    <row r="243" spans="1:1" ht="15.75" customHeight="1" x14ac:dyDescent="0.2">
      <c r="A243" s="3"/>
    </row>
    <row r="244" spans="1:1" ht="15.75" customHeight="1" x14ac:dyDescent="0.2">
      <c r="A244" s="3"/>
    </row>
    <row r="245" spans="1:1" ht="15.75" customHeight="1" x14ac:dyDescent="0.2">
      <c r="A245" s="3"/>
    </row>
    <row r="246" spans="1:1" ht="15.75" customHeight="1" x14ac:dyDescent="0.2">
      <c r="A246" s="3"/>
    </row>
    <row r="247" spans="1:1" ht="15.75" customHeight="1" x14ac:dyDescent="0.2">
      <c r="A247" s="3"/>
    </row>
    <row r="248" spans="1:1" ht="15.75" customHeight="1" x14ac:dyDescent="0.2">
      <c r="A248" s="3"/>
    </row>
    <row r="249" spans="1:1" ht="15.75" customHeight="1" x14ac:dyDescent="0.2">
      <c r="A249" s="3"/>
    </row>
    <row r="250" spans="1:1" ht="15.75" customHeight="1" x14ac:dyDescent="0.2">
      <c r="A250" s="3"/>
    </row>
    <row r="251" spans="1:1" ht="15.75" customHeight="1" x14ac:dyDescent="0.2">
      <c r="A251" s="3"/>
    </row>
    <row r="252" spans="1:1" ht="15.75" customHeight="1" x14ac:dyDescent="0.2">
      <c r="A252" s="3"/>
    </row>
    <row r="253" spans="1:1" ht="15.75" customHeight="1" x14ac:dyDescent="0.2">
      <c r="A253" s="3"/>
    </row>
    <row r="254" spans="1:1" ht="15.75" customHeight="1" x14ac:dyDescent="0.2">
      <c r="A254" s="3"/>
    </row>
    <row r="255" spans="1:1" ht="15.75" customHeight="1" x14ac:dyDescent="0.2">
      <c r="A255" s="3"/>
    </row>
    <row r="256" spans="1:1" ht="15.75" customHeight="1" x14ac:dyDescent="0.2">
      <c r="A256" s="3"/>
    </row>
    <row r="257" spans="1:1" ht="15.75" customHeight="1" x14ac:dyDescent="0.2">
      <c r="A257" s="3"/>
    </row>
    <row r="258" spans="1:1" ht="15.75" customHeight="1" x14ac:dyDescent="0.2">
      <c r="A258" s="3"/>
    </row>
    <row r="259" spans="1:1" ht="15.75" customHeight="1" x14ac:dyDescent="0.2">
      <c r="A259" s="3"/>
    </row>
    <row r="260" spans="1:1" ht="15.75" customHeight="1" x14ac:dyDescent="0.2">
      <c r="A260" s="3"/>
    </row>
    <row r="261" spans="1:1" ht="15.75" customHeight="1" x14ac:dyDescent="0.2">
      <c r="A261" s="3"/>
    </row>
    <row r="262" spans="1:1" ht="15.75" customHeight="1" x14ac:dyDescent="0.2">
      <c r="A262" s="3"/>
    </row>
    <row r="263" spans="1:1" ht="15.75" customHeight="1" x14ac:dyDescent="0.2">
      <c r="A263" s="3"/>
    </row>
    <row r="264" spans="1:1" ht="15.75" customHeight="1" x14ac:dyDescent="0.2">
      <c r="A264" s="3"/>
    </row>
    <row r="265" spans="1:1" ht="15.75" customHeight="1" x14ac:dyDescent="0.2">
      <c r="A265" s="3"/>
    </row>
    <row r="266" spans="1:1" ht="15.75" customHeight="1" x14ac:dyDescent="0.2">
      <c r="A266" s="3"/>
    </row>
    <row r="267" spans="1:1" ht="15.75" customHeight="1" x14ac:dyDescent="0.2">
      <c r="A267" s="3"/>
    </row>
    <row r="268" spans="1:1" ht="15.75" customHeight="1" x14ac:dyDescent="0.2">
      <c r="A268" s="3"/>
    </row>
    <row r="269" spans="1:1" ht="15.75" customHeight="1" x14ac:dyDescent="0.2">
      <c r="A269" s="3"/>
    </row>
    <row r="270" spans="1:1" ht="15.75" customHeight="1" x14ac:dyDescent="0.2">
      <c r="A270" s="3"/>
    </row>
    <row r="271" spans="1:1" ht="15.75" customHeight="1" x14ac:dyDescent="0.2">
      <c r="A271" s="3"/>
    </row>
    <row r="272" spans="1:1" ht="15.75" customHeight="1" x14ac:dyDescent="0.2">
      <c r="A272" s="3"/>
    </row>
    <row r="273" spans="1:1" ht="15.75" customHeight="1" x14ac:dyDescent="0.2">
      <c r="A273" s="3"/>
    </row>
    <row r="274" spans="1:1" ht="15.75" customHeight="1" x14ac:dyDescent="0.2">
      <c r="A274" s="3"/>
    </row>
    <row r="275" spans="1:1" ht="15.75" customHeight="1" x14ac:dyDescent="0.2">
      <c r="A275" s="3"/>
    </row>
    <row r="276" spans="1:1" ht="15.75" customHeight="1" x14ac:dyDescent="0.2">
      <c r="A276" s="3"/>
    </row>
    <row r="277" spans="1:1" ht="15.75" customHeight="1" x14ac:dyDescent="0.2">
      <c r="A277" s="3"/>
    </row>
    <row r="278" spans="1:1" ht="15.75" customHeight="1" x14ac:dyDescent="0.2">
      <c r="A278" s="3"/>
    </row>
    <row r="279" spans="1:1" ht="15.75" customHeight="1" x14ac:dyDescent="0.2">
      <c r="A279" s="3"/>
    </row>
    <row r="280" spans="1:1" ht="15.75" customHeight="1" x14ac:dyDescent="0.2">
      <c r="A280" s="3"/>
    </row>
    <row r="281" spans="1:1" ht="15.75" customHeight="1" x14ac:dyDescent="0.2">
      <c r="A281" s="3"/>
    </row>
    <row r="282" spans="1:1" ht="15.75" customHeight="1" x14ac:dyDescent="0.2">
      <c r="A282" s="3"/>
    </row>
    <row r="283" spans="1:1" ht="15.75" customHeight="1" x14ac:dyDescent="0.2">
      <c r="A283" s="3"/>
    </row>
    <row r="284" spans="1:1" ht="15.75" customHeight="1" x14ac:dyDescent="0.2">
      <c r="A284" s="3"/>
    </row>
    <row r="285" spans="1:1" ht="15.75" customHeight="1" x14ac:dyDescent="0.2">
      <c r="A285" s="3"/>
    </row>
    <row r="286" spans="1:1" ht="15.75" customHeight="1" x14ac:dyDescent="0.2">
      <c r="A286" s="3"/>
    </row>
    <row r="287" spans="1:1" ht="15.75" customHeight="1" x14ac:dyDescent="0.2">
      <c r="A287" s="3"/>
    </row>
    <row r="288" spans="1:1" ht="15.75" customHeight="1" x14ac:dyDescent="0.2">
      <c r="A288" s="3"/>
    </row>
    <row r="289" spans="1:1" ht="15.75" customHeight="1" x14ac:dyDescent="0.2">
      <c r="A289" s="3"/>
    </row>
    <row r="290" spans="1:1" ht="15.75" customHeight="1" x14ac:dyDescent="0.2">
      <c r="A290" s="3"/>
    </row>
    <row r="291" spans="1:1" ht="15.75" customHeight="1" x14ac:dyDescent="0.2">
      <c r="A291" s="3"/>
    </row>
    <row r="292" spans="1:1" ht="15.75" customHeight="1" x14ac:dyDescent="0.2">
      <c r="A292" s="3"/>
    </row>
    <row r="293" spans="1:1" ht="15.75" customHeight="1" x14ac:dyDescent="0.2">
      <c r="A293" s="3"/>
    </row>
    <row r="294" spans="1:1" ht="15.75" customHeight="1" x14ac:dyDescent="0.2">
      <c r="A294" s="3"/>
    </row>
    <row r="295" spans="1:1" ht="15.75" customHeight="1" x14ac:dyDescent="0.2">
      <c r="A295" s="3"/>
    </row>
    <row r="296" spans="1:1" ht="15.75" customHeight="1" x14ac:dyDescent="0.2">
      <c r="A296" s="3"/>
    </row>
    <row r="297" spans="1:1" ht="15.75" customHeight="1" x14ac:dyDescent="0.2">
      <c r="A297" s="3"/>
    </row>
    <row r="298" spans="1:1" ht="15.75" customHeight="1" x14ac:dyDescent="0.2">
      <c r="A298" s="3"/>
    </row>
    <row r="299" spans="1:1" ht="15.75" customHeight="1" x14ac:dyDescent="0.2">
      <c r="A299" s="3"/>
    </row>
    <row r="300" spans="1:1" ht="15.75" customHeight="1" x14ac:dyDescent="0.2">
      <c r="A300" s="3"/>
    </row>
    <row r="301" spans="1:1" ht="15.75" customHeight="1" x14ac:dyDescent="0.2">
      <c r="A301" s="3"/>
    </row>
    <row r="302" spans="1:1" ht="15.75" customHeight="1" x14ac:dyDescent="0.2">
      <c r="A302" s="3"/>
    </row>
    <row r="303" spans="1:1" ht="15.75" customHeight="1" x14ac:dyDescent="0.2">
      <c r="A303" s="3"/>
    </row>
    <row r="304" spans="1:1" ht="15.75" customHeight="1" x14ac:dyDescent="0.2">
      <c r="A304" s="3"/>
    </row>
    <row r="305" spans="1:1" ht="15.75" customHeight="1" x14ac:dyDescent="0.2">
      <c r="A305" s="3"/>
    </row>
    <row r="306" spans="1:1" ht="15.75" customHeight="1" x14ac:dyDescent="0.2">
      <c r="A306" s="3"/>
    </row>
    <row r="307" spans="1:1" ht="15.75" customHeight="1" x14ac:dyDescent="0.2">
      <c r="A307" s="3"/>
    </row>
    <row r="308" spans="1:1" ht="15.75" customHeight="1" x14ac:dyDescent="0.2">
      <c r="A308" s="3"/>
    </row>
    <row r="309" spans="1:1" ht="15.75" customHeight="1" x14ac:dyDescent="0.2">
      <c r="A309" s="3"/>
    </row>
    <row r="310" spans="1:1" ht="15.75" customHeight="1" x14ac:dyDescent="0.2">
      <c r="A310" s="3"/>
    </row>
    <row r="311" spans="1:1" ht="15.75" customHeight="1" x14ac:dyDescent="0.2">
      <c r="A311" s="3"/>
    </row>
    <row r="312" spans="1:1" ht="15.75" customHeight="1" x14ac:dyDescent="0.2">
      <c r="A312" s="3"/>
    </row>
    <row r="313" spans="1:1" ht="15.75" customHeight="1" x14ac:dyDescent="0.2">
      <c r="A313" s="3"/>
    </row>
    <row r="314" spans="1:1" ht="15.75" customHeight="1" x14ac:dyDescent="0.2">
      <c r="A314" s="3"/>
    </row>
    <row r="315" spans="1:1" ht="15.75" customHeight="1" x14ac:dyDescent="0.2">
      <c r="A315" s="3"/>
    </row>
    <row r="316" spans="1:1" ht="15.75" customHeight="1" x14ac:dyDescent="0.2">
      <c r="A316" s="3"/>
    </row>
    <row r="317" spans="1:1" ht="15.75" customHeight="1" x14ac:dyDescent="0.2">
      <c r="A317" s="3"/>
    </row>
    <row r="318" spans="1:1" ht="15.75" customHeight="1" x14ac:dyDescent="0.2">
      <c r="A318" s="3"/>
    </row>
    <row r="319" spans="1:1" ht="15.75" customHeight="1" x14ac:dyDescent="0.2">
      <c r="A319" s="3"/>
    </row>
    <row r="320" spans="1:1" ht="15.75" customHeight="1" x14ac:dyDescent="0.2">
      <c r="A320" s="3"/>
    </row>
    <row r="321" spans="1:1" ht="15.75" customHeight="1" x14ac:dyDescent="0.2">
      <c r="A321" s="3"/>
    </row>
    <row r="322" spans="1:1" ht="15.75" customHeight="1" x14ac:dyDescent="0.2">
      <c r="A322" s="3"/>
    </row>
    <row r="323" spans="1:1" ht="15.75" customHeight="1" x14ac:dyDescent="0.2">
      <c r="A323" s="3"/>
    </row>
    <row r="324" spans="1:1" ht="15.75" customHeight="1" x14ac:dyDescent="0.2">
      <c r="A324" s="3"/>
    </row>
    <row r="325" spans="1:1" ht="15.75" customHeight="1" x14ac:dyDescent="0.2">
      <c r="A325" s="3"/>
    </row>
    <row r="326" spans="1:1" ht="15.75" customHeight="1" x14ac:dyDescent="0.2">
      <c r="A326" s="3"/>
    </row>
    <row r="327" spans="1:1" ht="15.75" customHeight="1" x14ac:dyDescent="0.2">
      <c r="A327" s="3"/>
    </row>
    <row r="328" spans="1:1" ht="15.75" customHeight="1" x14ac:dyDescent="0.2">
      <c r="A328" s="3"/>
    </row>
    <row r="329" spans="1:1" ht="15.75" customHeight="1" x14ac:dyDescent="0.2">
      <c r="A329" s="3"/>
    </row>
    <row r="330" spans="1:1" ht="15.75" customHeight="1" x14ac:dyDescent="0.2">
      <c r="A330" s="3"/>
    </row>
    <row r="331" spans="1:1" ht="15.75" customHeight="1" x14ac:dyDescent="0.2">
      <c r="A331" s="3"/>
    </row>
    <row r="332" spans="1:1" ht="15.75" customHeight="1" x14ac:dyDescent="0.2">
      <c r="A332" s="3"/>
    </row>
    <row r="333" spans="1:1" ht="15.75" customHeight="1" x14ac:dyDescent="0.2">
      <c r="A333" s="3"/>
    </row>
    <row r="334" spans="1:1" ht="15.75" customHeight="1" x14ac:dyDescent="0.2">
      <c r="A334" s="3"/>
    </row>
    <row r="335" spans="1:1" ht="15.75" customHeight="1" x14ac:dyDescent="0.2">
      <c r="A335" s="3"/>
    </row>
    <row r="336" spans="1:1" ht="15.75" customHeight="1" x14ac:dyDescent="0.2">
      <c r="A336" s="3"/>
    </row>
    <row r="337" spans="1:1" ht="15.75" customHeight="1" x14ac:dyDescent="0.2">
      <c r="A337" s="3"/>
    </row>
    <row r="338" spans="1:1" ht="15.75" customHeight="1" x14ac:dyDescent="0.2">
      <c r="A338" s="3"/>
    </row>
    <row r="339" spans="1:1" ht="15.75" customHeight="1" x14ac:dyDescent="0.2">
      <c r="A339" s="3"/>
    </row>
    <row r="340" spans="1:1" ht="15.75" customHeight="1" x14ac:dyDescent="0.2">
      <c r="A340" s="3"/>
    </row>
    <row r="341" spans="1:1" ht="15.75" customHeight="1" x14ac:dyDescent="0.2">
      <c r="A341" s="3"/>
    </row>
    <row r="342" spans="1:1" ht="15.75" customHeight="1" x14ac:dyDescent="0.2">
      <c r="A342" s="3"/>
    </row>
    <row r="343" spans="1:1" ht="15.75" customHeight="1" x14ac:dyDescent="0.2">
      <c r="A343" s="3"/>
    </row>
    <row r="344" spans="1:1" ht="15.75" customHeight="1" x14ac:dyDescent="0.2">
      <c r="A344" s="3"/>
    </row>
    <row r="345" spans="1:1" ht="15.75" customHeight="1" x14ac:dyDescent="0.2">
      <c r="A345" s="3"/>
    </row>
    <row r="346" spans="1:1" ht="15.75" customHeight="1" x14ac:dyDescent="0.2">
      <c r="A346" s="3"/>
    </row>
    <row r="347" spans="1:1" ht="15.75" customHeight="1" x14ac:dyDescent="0.2">
      <c r="A347" s="3"/>
    </row>
    <row r="348" spans="1:1" ht="15.75" customHeight="1" x14ac:dyDescent="0.2">
      <c r="A348" s="3"/>
    </row>
    <row r="349" spans="1:1" ht="15.75" customHeight="1" x14ac:dyDescent="0.2">
      <c r="A349" s="3"/>
    </row>
    <row r="350" spans="1:1" ht="15.75" customHeight="1" x14ac:dyDescent="0.2">
      <c r="A350" s="3"/>
    </row>
    <row r="351" spans="1:1" ht="15.75" customHeight="1" x14ac:dyDescent="0.2">
      <c r="A351" s="3"/>
    </row>
    <row r="352" spans="1:1" ht="15.75" customHeight="1" x14ac:dyDescent="0.2">
      <c r="A352" s="3"/>
    </row>
    <row r="353" spans="1:1" ht="15.75" customHeight="1" x14ac:dyDescent="0.2">
      <c r="A353" s="3"/>
    </row>
    <row r="354" spans="1:1" ht="15.75" customHeight="1" x14ac:dyDescent="0.2">
      <c r="A354" s="3"/>
    </row>
    <row r="355" spans="1:1" ht="15.75" customHeight="1" x14ac:dyDescent="0.2">
      <c r="A355" s="3"/>
    </row>
    <row r="356" spans="1:1" ht="15.75" customHeight="1" x14ac:dyDescent="0.2">
      <c r="A356" s="3"/>
    </row>
    <row r="357" spans="1:1" ht="15.75" customHeight="1" x14ac:dyDescent="0.2">
      <c r="A357" s="3"/>
    </row>
    <row r="358" spans="1:1" ht="15.75" customHeight="1" x14ac:dyDescent="0.2">
      <c r="A358" s="3"/>
    </row>
    <row r="359" spans="1:1" ht="15.75" customHeight="1" x14ac:dyDescent="0.2">
      <c r="A359" s="3"/>
    </row>
    <row r="360" spans="1:1" ht="15.75" customHeight="1" x14ac:dyDescent="0.2">
      <c r="A360" s="3"/>
    </row>
    <row r="361" spans="1:1" ht="15.75" customHeight="1" x14ac:dyDescent="0.2">
      <c r="A361" s="3"/>
    </row>
    <row r="362" spans="1:1" ht="15.75" customHeight="1" x14ac:dyDescent="0.2">
      <c r="A362" s="3"/>
    </row>
    <row r="363" spans="1:1" ht="15.75" customHeight="1" x14ac:dyDescent="0.2">
      <c r="A363" s="3"/>
    </row>
    <row r="364" spans="1:1" ht="15.75" customHeight="1" x14ac:dyDescent="0.2">
      <c r="A364" s="3"/>
    </row>
    <row r="365" spans="1:1" ht="15.75" customHeight="1" x14ac:dyDescent="0.2">
      <c r="A365" s="3"/>
    </row>
    <row r="366" spans="1:1" ht="15.75" customHeight="1" x14ac:dyDescent="0.2">
      <c r="A366" s="3"/>
    </row>
    <row r="367" spans="1:1" ht="15.75" customHeight="1" x14ac:dyDescent="0.2">
      <c r="A367" s="3"/>
    </row>
    <row r="368" spans="1:1" ht="15.75" customHeight="1" x14ac:dyDescent="0.2">
      <c r="A368" s="3"/>
    </row>
    <row r="369" spans="1:1" ht="15.75" customHeight="1" x14ac:dyDescent="0.2">
      <c r="A369" s="3"/>
    </row>
    <row r="370" spans="1:1" ht="15.75" customHeight="1" x14ac:dyDescent="0.2">
      <c r="A370" s="3"/>
    </row>
    <row r="371" spans="1:1" ht="15.75" customHeight="1" x14ac:dyDescent="0.2">
      <c r="A371" s="3"/>
    </row>
    <row r="372" spans="1:1" ht="15.75" customHeight="1" x14ac:dyDescent="0.2">
      <c r="A372" s="3"/>
    </row>
    <row r="373" spans="1:1" ht="15.75" customHeight="1" x14ac:dyDescent="0.2">
      <c r="A373" s="3"/>
    </row>
    <row r="374" spans="1:1" ht="15.75" customHeight="1" x14ac:dyDescent="0.2">
      <c r="A374" s="3"/>
    </row>
    <row r="375" spans="1:1" ht="15.75" customHeight="1" x14ac:dyDescent="0.2">
      <c r="A375" s="3"/>
    </row>
    <row r="376" spans="1:1" ht="15.75" customHeight="1" x14ac:dyDescent="0.2">
      <c r="A376" s="3"/>
    </row>
    <row r="377" spans="1:1" ht="15.75" customHeight="1" x14ac:dyDescent="0.2">
      <c r="A377" s="3"/>
    </row>
    <row r="378" spans="1:1" ht="15.75" customHeight="1" x14ac:dyDescent="0.2">
      <c r="A378" s="3"/>
    </row>
    <row r="379" spans="1:1" ht="15.75" customHeight="1" x14ac:dyDescent="0.2">
      <c r="A379" s="3"/>
    </row>
    <row r="380" spans="1:1" ht="15.75" customHeight="1" x14ac:dyDescent="0.2">
      <c r="A380" s="3"/>
    </row>
    <row r="381" spans="1:1" ht="15.75" customHeight="1" x14ac:dyDescent="0.2">
      <c r="A381" s="3"/>
    </row>
    <row r="382" spans="1:1" ht="15.75" customHeight="1" x14ac:dyDescent="0.2">
      <c r="A382" s="3"/>
    </row>
    <row r="383" spans="1:1" ht="15.75" customHeight="1" x14ac:dyDescent="0.2">
      <c r="A383" s="3"/>
    </row>
    <row r="384" spans="1:1" ht="15.75" customHeight="1" x14ac:dyDescent="0.2">
      <c r="A384" s="3"/>
    </row>
    <row r="385" spans="1:1" ht="15.75" customHeight="1" x14ac:dyDescent="0.2">
      <c r="A385" s="3"/>
    </row>
    <row r="386" spans="1:1" ht="15.75" customHeight="1" x14ac:dyDescent="0.2">
      <c r="A386" s="3"/>
    </row>
    <row r="387" spans="1:1" ht="15.75" customHeight="1" x14ac:dyDescent="0.2">
      <c r="A387" s="3"/>
    </row>
    <row r="388" spans="1:1" ht="15.75" customHeight="1" x14ac:dyDescent="0.2">
      <c r="A388" s="3"/>
    </row>
    <row r="389" spans="1:1" ht="15.75" customHeight="1" x14ac:dyDescent="0.2">
      <c r="A389" s="3"/>
    </row>
    <row r="390" spans="1:1" ht="15.75" customHeight="1" x14ac:dyDescent="0.2">
      <c r="A390" s="3"/>
    </row>
    <row r="391" spans="1:1" ht="15.75" customHeight="1" x14ac:dyDescent="0.2">
      <c r="A391" s="3"/>
    </row>
    <row r="392" spans="1:1" ht="15.75" customHeight="1" x14ac:dyDescent="0.2">
      <c r="A392" s="3"/>
    </row>
    <row r="393" spans="1:1" ht="15.75" customHeight="1" x14ac:dyDescent="0.2">
      <c r="A393" s="3"/>
    </row>
    <row r="394" spans="1:1" ht="15.75" customHeight="1" x14ac:dyDescent="0.2">
      <c r="A394" s="3"/>
    </row>
    <row r="395" spans="1:1" ht="15.75" customHeight="1" x14ac:dyDescent="0.2">
      <c r="A395" s="3"/>
    </row>
    <row r="396" spans="1:1" ht="15.75" customHeight="1" x14ac:dyDescent="0.2">
      <c r="A396" s="3"/>
    </row>
    <row r="397" spans="1:1" ht="15.75" customHeight="1" x14ac:dyDescent="0.2">
      <c r="A397" s="3"/>
    </row>
    <row r="398" spans="1:1" ht="15.75" customHeight="1" x14ac:dyDescent="0.2">
      <c r="A398" s="3"/>
    </row>
    <row r="399" spans="1:1" ht="15.75" customHeight="1" x14ac:dyDescent="0.2">
      <c r="A399" s="3"/>
    </row>
    <row r="400" spans="1:1" ht="15.75" customHeight="1" x14ac:dyDescent="0.2">
      <c r="A400" s="3"/>
    </row>
    <row r="401" spans="1:1" ht="15.75" customHeight="1" x14ac:dyDescent="0.2">
      <c r="A401" s="3"/>
    </row>
    <row r="402" spans="1:1" ht="15.75" customHeight="1" x14ac:dyDescent="0.2">
      <c r="A402" s="3"/>
    </row>
    <row r="403" spans="1:1" ht="15.75" customHeight="1" x14ac:dyDescent="0.2">
      <c r="A403" s="3"/>
    </row>
    <row r="404" spans="1:1" ht="15.75" customHeight="1" x14ac:dyDescent="0.2">
      <c r="A404" s="3"/>
    </row>
    <row r="405" spans="1:1" ht="15.75" customHeight="1" x14ac:dyDescent="0.2">
      <c r="A405" s="3"/>
    </row>
    <row r="406" spans="1:1" ht="15.75" customHeight="1" x14ac:dyDescent="0.2">
      <c r="A406" s="3"/>
    </row>
    <row r="407" spans="1:1" ht="15.75" customHeight="1" x14ac:dyDescent="0.2">
      <c r="A407" s="3"/>
    </row>
    <row r="408" spans="1:1" ht="15.75" customHeight="1" x14ac:dyDescent="0.2">
      <c r="A408" s="3"/>
    </row>
    <row r="409" spans="1:1" ht="15.75" customHeight="1" x14ac:dyDescent="0.2">
      <c r="A409" s="3"/>
    </row>
    <row r="410" spans="1:1" ht="15.75" customHeight="1" x14ac:dyDescent="0.2">
      <c r="A410" s="3"/>
    </row>
    <row r="411" spans="1:1" ht="15.75" customHeight="1" x14ac:dyDescent="0.2">
      <c r="A411" s="3"/>
    </row>
    <row r="412" spans="1:1" ht="15.75" customHeight="1" x14ac:dyDescent="0.2">
      <c r="A412" s="3"/>
    </row>
    <row r="413" spans="1:1" ht="15.75" customHeight="1" x14ac:dyDescent="0.2">
      <c r="A413" s="3"/>
    </row>
    <row r="414" spans="1:1" ht="15.75" customHeight="1" x14ac:dyDescent="0.2">
      <c r="A414" s="3"/>
    </row>
    <row r="415" spans="1:1" ht="15.75" customHeight="1" x14ac:dyDescent="0.2">
      <c r="A415" s="3"/>
    </row>
    <row r="416" spans="1:1" ht="15.75" customHeight="1" x14ac:dyDescent="0.2">
      <c r="A416" s="3"/>
    </row>
    <row r="417" spans="1:1" ht="15.75" customHeight="1" x14ac:dyDescent="0.2">
      <c r="A417" s="3"/>
    </row>
    <row r="418" spans="1:1" ht="15.75" customHeight="1" x14ac:dyDescent="0.2">
      <c r="A418" s="3"/>
    </row>
    <row r="419" spans="1:1" ht="15.75" customHeight="1" x14ac:dyDescent="0.2">
      <c r="A419" s="3"/>
    </row>
    <row r="420" spans="1:1" ht="15.75" customHeight="1" x14ac:dyDescent="0.2">
      <c r="A420" s="3"/>
    </row>
    <row r="421" spans="1:1" ht="15.75" customHeight="1" x14ac:dyDescent="0.2">
      <c r="A421" s="3"/>
    </row>
    <row r="422" spans="1:1" ht="15.75" customHeight="1" x14ac:dyDescent="0.2">
      <c r="A422" s="3"/>
    </row>
    <row r="423" spans="1:1" ht="15.75" customHeight="1" x14ac:dyDescent="0.2">
      <c r="A423" s="3"/>
    </row>
    <row r="424" spans="1:1" ht="15.75" customHeight="1" x14ac:dyDescent="0.2">
      <c r="A424" s="3"/>
    </row>
    <row r="425" spans="1:1" ht="15.75" customHeight="1" x14ac:dyDescent="0.2">
      <c r="A425" s="3"/>
    </row>
    <row r="426" spans="1:1" ht="15.75" customHeight="1" x14ac:dyDescent="0.2">
      <c r="A426" s="3"/>
    </row>
    <row r="427" spans="1:1" ht="15.75" customHeight="1" x14ac:dyDescent="0.2">
      <c r="A427" s="3"/>
    </row>
    <row r="428" spans="1:1" ht="15.75" customHeight="1" x14ac:dyDescent="0.2">
      <c r="A428" s="3"/>
    </row>
    <row r="429" spans="1:1" ht="15.75" customHeight="1" x14ac:dyDescent="0.2">
      <c r="A429" s="3"/>
    </row>
    <row r="430" spans="1:1" ht="15.75" customHeight="1" x14ac:dyDescent="0.2">
      <c r="A430" s="3"/>
    </row>
    <row r="431" spans="1:1" ht="15.75" customHeight="1" x14ac:dyDescent="0.2">
      <c r="A431" s="3"/>
    </row>
    <row r="432" spans="1:1" ht="15.75" customHeight="1" x14ac:dyDescent="0.2">
      <c r="A432" s="3"/>
    </row>
    <row r="433" spans="1:1" ht="15.75" customHeight="1" x14ac:dyDescent="0.2">
      <c r="A433" s="3"/>
    </row>
    <row r="434" spans="1:1" ht="15.75" customHeight="1" x14ac:dyDescent="0.2">
      <c r="A434" s="3"/>
    </row>
    <row r="435" spans="1:1" ht="15.75" customHeight="1" x14ac:dyDescent="0.2">
      <c r="A435" s="3"/>
    </row>
    <row r="436" spans="1:1" ht="15.75" customHeight="1" x14ac:dyDescent="0.2">
      <c r="A436" s="3"/>
    </row>
    <row r="437" spans="1:1" ht="15.75" customHeight="1" x14ac:dyDescent="0.2">
      <c r="A437" s="3"/>
    </row>
    <row r="438" spans="1:1" ht="15.75" customHeight="1" x14ac:dyDescent="0.2">
      <c r="A438" s="3"/>
    </row>
    <row r="439" spans="1:1" ht="15.75" customHeight="1" x14ac:dyDescent="0.2">
      <c r="A439" s="3"/>
    </row>
    <row r="440" spans="1:1" ht="15.75" customHeight="1" x14ac:dyDescent="0.2">
      <c r="A440" s="3"/>
    </row>
    <row r="441" spans="1:1" ht="15.75" customHeight="1" x14ac:dyDescent="0.2">
      <c r="A441" s="3"/>
    </row>
    <row r="442" spans="1:1" ht="15.75" customHeight="1" x14ac:dyDescent="0.2">
      <c r="A442" s="3"/>
    </row>
    <row r="443" spans="1:1" ht="15.75" customHeight="1" x14ac:dyDescent="0.2">
      <c r="A443" s="3"/>
    </row>
    <row r="444" spans="1:1" ht="15.75" customHeight="1" x14ac:dyDescent="0.2">
      <c r="A444" s="3"/>
    </row>
    <row r="445" spans="1:1" ht="15.75" customHeight="1" x14ac:dyDescent="0.2">
      <c r="A445" s="3"/>
    </row>
    <row r="446" spans="1:1" ht="15.75" customHeight="1" x14ac:dyDescent="0.2">
      <c r="A446" s="3"/>
    </row>
    <row r="447" spans="1:1" ht="15.75" customHeight="1" x14ac:dyDescent="0.2">
      <c r="A447" s="3"/>
    </row>
    <row r="448" spans="1:1" ht="15.75" customHeight="1" x14ac:dyDescent="0.2">
      <c r="A448" s="3"/>
    </row>
    <row r="449" spans="1:1" ht="15.75" customHeight="1" x14ac:dyDescent="0.2">
      <c r="A449" s="3"/>
    </row>
    <row r="450" spans="1:1" ht="15.75" customHeight="1" x14ac:dyDescent="0.2">
      <c r="A450" s="3"/>
    </row>
    <row r="451" spans="1:1" ht="15.75" customHeight="1" x14ac:dyDescent="0.2">
      <c r="A451" s="3"/>
    </row>
    <row r="452" spans="1:1" ht="15.75" customHeight="1" x14ac:dyDescent="0.2">
      <c r="A452" s="3"/>
    </row>
    <row r="453" spans="1:1" ht="15.75" customHeight="1" x14ac:dyDescent="0.2">
      <c r="A453" s="3"/>
    </row>
    <row r="454" spans="1:1" ht="15.75" customHeight="1" x14ac:dyDescent="0.2">
      <c r="A454" s="3"/>
    </row>
    <row r="455" spans="1:1" ht="15.75" customHeight="1" x14ac:dyDescent="0.2">
      <c r="A455" s="3"/>
    </row>
    <row r="456" spans="1:1" ht="15.75" customHeight="1" x14ac:dyDescent="0.2">
      <c r="A456" s="3"/>
    </row>
    <row r="457" spans="1:1" ht="15.75" customHeight="1" x14ac:dyDescent="0.2">
      <c r="A457" s="3"/>
    </row>
    <row r="458" spans="1:1" ht="15.75" customHeight="1" x14ac:dyDescent="0.2">
      <c r="A458" s="3"/>
    </row>
    <row r="459" spans="1:1" ht="15.75" customHeight="1" x14ac:dyDescent="0.2">
      <c r="A459" s="3"/>
    </row>
    <row r="460" spans="1:1" ht="15.75" customHeight="1" x14ac:dyDescent="0.2">
      <c r="A460" s="3"/>
    </row>
    <row r="461" spans="1:1" ht="15.75" customHeight="1" x14ac:dyDescent="0.2">
      <c r="A461" s="3"/>
    </row>
    <row r="462" spans="1:1" ht="15.75" customHeight="1" x14ac:dyDescent="0.2">
      <c r="A462" s="3"/>
    </row>
    <row r="463" spans="1:1" ht="15.75" customHeight="1" x14ac:dyDescent="0.2">
      <c r="A463" s="3"/>
    </row>
    <row r="464" spans="1:1" ht="15.75" customHeight="1" x14ac:dyDescent="0.2">
      <c r="A464" s="3"/>
    </row>
    <row r="465" spans="1:1" ht="15.75" customHeight="1" x14ac:dyDescent="0.2">
      <c r="A465" s="3"/>
    </row>
    <row r="466" spans="1:1" ht="15.75" customHeight="1" x14ac:dyDescent="0.2">
      <c r="A466" s="3"/>
    </row>
    <row r="467" spans="1:1" ht="15.75" customHeight="1" x14ac:dyDescent="0.2">
      <c r="A467" s="3"/>
    </row>
    <row r="468" spans="1:1" ht="15.75" customHeight="1" x14ac:dyDescent="0.2">
      <c r="A468" s="3"/>
    </row>
    <row r="469" spans="1:1" ht="15.75" customHeight="1" x14ac:dyDescent="0.2">
      <c r="A469" s="3"/>
    </row>
    <row r="470" spans="1:1" ht="15.75" customHeight="1" x14ac:dyDescent="0.2">
      <c r="A470" s="3"/>
    </row>
    <row r="471" spans="1:1" ht="15.75" customHeight="1" x14ac:dyDescent="0.2">
      <c r="A471" s="3"/>
    </row>
    <row r="472" spans="1:1" ht="15.75" customHeight="1" x14ac:dyDescent="0.2">
      <c r="A472" s="3"/>
    </row>
    <row r="473" spans="1:1" ht="15.75" customHeight="1" x14ac:dyDescent="0.2">
      <c r="A473" s="3"/>
    </row>
    <row r="474" spans="1:1" ht="15.75" customHeight="1" x14ac:dyDescent="0.2">
      <c r="A474" s="3"/>
    </row>
    <row r="475" spans="1:1" ht="15.75" customHeight="1" x14ac:dyDescent="0.2">
      <c r="A475" s="3"/>
    </row>
    <row r="476" spans="1:1" ht="15.75" customHeight="1" x14ac:dyDescent="0.2">
      <c r="A476" s="3"/>
    </row>
    <row r="477" spans="1:1" ht="15.75" customHeight="1" x14ac:dyDescent="0.2">
      <c r="A477" s="3"/>
    </row>
    <row r="478" spans="1:1" ht="15.75" customHeight="1" x14ac:dyDescent="0.2">
      <c r="A478" s="3"/>
    </row>
    <row r="479" spans="1:1" ht="15.75" customHeight="1" x14ac:dyDescent="0.2">
      <c r="A479" s="3"/>
    </row>
    <row r="480" spans="1:1" ht="15.75" customHeight="1" x14ac:dyDescent="0.2">
      <c r="A480" s="3"/>
    </row>
    <row r="481" spans="1:1" ht="15.75" customHeight="1" x14ac:dyDescent="0.2">
      <c r="A481" s="3"/>
    </row>
    <row r="482" spans="1:1" ht="15.75" customHeight="1" x14ac:dyDescent="0.2">
      <c r="A482" s="3"/>
    </row>
    <row r="483" spans="1:1" ht="15.75" customHeight="1" x14ac:dyDescent="0.2">
      <c r="A483" s="3"/>
    </row>
    <row r="484" spans="1:1" ht="15.75" customHeight="1" x14ac:dyDescent="0.2">
      <c r="A484" s="3"/>
    </row>
    <row r="485" spans="1:1" ht="15.75" customHeight="1" x14ac:dyDescent="0.2">
      <c r="A485" s="3"/>
    </row>
    <row r="486" spans="1:1" ht="15.75" customHeight="1" x14ac:dyDescent="0.2">
      <c r="A486" s="3"/>
    </row>
    <row r="487" spans="1:1" ht="15.75" customHeight="1" x14ac:dyDescent="0.2">
      <c r="A487" s="3"/>
    </row>
    <row r="488" spans="1:1" ht="15.75" customHeight="1" x14ac:dyDescent="0.2">
      <c r="A488" s="3"/>
    </row>
    <row r="489" spans="1:1" ht="15.75" customHeight="1" x14ac:dyDescent="0.2">
      <c r="A489" s="3"/>
    </row>
    <row r="490" spans="1:1" ht="15.75" customHeight="1" x14ac:dyDescent="0.2">
      <c r="A490" s="3"/>
    </row>
    <row r="491" spans="1:1" ht="15.75" customHeight="1" x14ac:dyDescent="0.2">
      <c r="A491" s="3"/>
    </row>
    <row r="492" spans="1:1" ht="15.75" customHeight="1" x14ac:dyDescent="0.2">
      <c r="A492" s="3"/>
    </row>
    <row r="493" spans="1:1" ht="15.75" customHeight="1" x14ac:dyDescent="0.2">
      <c r="A493" s="3"/>
    </row>
    <row r="494" spans="1:1" ht="15.75" customHeight="1" x14ac:dyDescent="0.2">
      <c r="A494" s="3"/>
    </row>
    <row r="495" spans="1:1" ht="15.75" customHeight="1" x14ac:dyDescent="0.2">
      <c r="A495" s="3"/>
    </row>
    <row r="496" spans="1:1" ht="15.75" customHeight="1" x14ac:dyDescent="0.2">
      <c r="A496" s="3"/>
    </row>
    <row r="497" spans="1:1" ht="15.75" customHeight="1" x14ac:dyDescent="0.2">
      <c r="A497" s="3"/>
    </row>
    <row r="498" spans="1:1" ht="15.75" customHeight="1" x14ac:dyDescent="0.2">
      <c r="A498" s="3"/>
    </row>
    <row r="499" spans="1:1" ht="15.75" customHeight="1" x14ac:dyDescent="0.2">
      <c r="A499" s="3"/>
    </row>
    <row r="500" spans="1:1" ht="15.75" customHeight="1" x14ac:dyDescent="0.2">
      <c r="A500" s="3"/>
    </row>
    <row r="501" spans="1:1" ht="15.75" customHeight="1" x14ac:dyDescent="0.2">
      <c r="A501" s="3"/>
    </row>
    <row r="502" spans="1:1" ht="15.75" customHeight="1" x14ac:dyDescent="0.2">
      <c r="A502" s="3"/>
    </row>
    <row r="503" spans="1:1" ht="15.75" customHeight="1" x14ac:dyDescent="0.2">
      <c r="A503" s="3"/>
    </row>
    <row r="504" spans="1:1" ht="15.75" customHeight="1" x14ac:dyDescent="0.2">
      <c r="A504" s="3"/>
    </row>
    <row r="505" spans="1:1" ht="15.75" customHeight="1" x14ac:dyDescent="0.2">
      <c r="A505" s="3"/>
    </row>
    <row r="506" spans="1:1" ht="15.75" customHeight="1" x14ac:dyDescent="0.2">
      <c r="A506" s="3"/>
    </row>
    <row r="507" spans="1:1" ht="15.75" customHeight="1" x14ac:dyDescent="0.2">
      <c r="A507" s="3"/>
    </row>
    <row r="508" spans="1:1" ht="15.75" customHeight="1" x14ac:dyDescent="0.2">
      <c r="A508" s="3"/>
    </row>
    <row r="509" spans="1:1" ht="15.75" customHeight="1" x14ac:dyDescent="0.2">
      <c r="A509" s="3"/>
    </row>
    <row r="510" spans="1:1" ht="15.75" customHeight="1" x14ac:dyDescent="0.2">
      <c r="A510" s="3"/>
    </row>
    <row r="511" spans="1:1" ht="15.75" customHeight="1" x14ac:dyDescent="0.2">
      <c r="A511" s="3"/>
    </row>
    <row r="512" spans="1:1" ht="15.75" customHeight="1" x14ac:dyDescent="0.2">
      <c r="A512" s="3"/>
    </row>
    <row r="513" spans="1:1" ht="15.75" customHeight="1" x14ac:dyDescent="0.2">
      <c r="A513" s="3"/>
    </row>
    <row r="514" spans="1:1" ht="15.75" customHeight="1" x14ac:dyDescent="0.2">
      <c r="A514" s="3"/>
    </row>
    <row r="515" spans="1:1" ht="15.75" customHeight="1" x14ac:dyDescent="0.2">
      <c r="A515" s="3"/>
    </row>
    <row r="516" spans="1:1" ht="15.75" customHeight="1" x14ac:dyDescent="0.2">
      <c r="A516" s="3"/>
    </row>
    <row r="517" spans="1:1" ht="15.75" customHeight="1" x14ac:dyDescent="0.2">
      <c r="A517" s="3"/>
    </row>
    <row r="518" spans="1:1" ht="15.75" customHeight="1" x14ac:dyDescent="0.2">
      <c r="A518" s="3"/>
    </row>
    <row r="519" spans="1:1" ht="15.75" customHeight="1" x14ac:dyDescent="0.2">
      <c r="A519" s="3"/>
    </row>
    <row r="520" spans="1:1" ht="15.75" customHeight="1" x14ac:dyDescent="0.2">
      <c r="A520" s="3"/>
    </row>
    <row r="521" spans="1:1" ht="15.75" customHeight="1" x14ac:dyDescent="0.2">
      <c r="A521" s="3"/>
    </row>
    <row r="522" spans="1:1" ht="15.75" customHeight="1" x14ac:dyDescent="0.2">
      <c r="A522" s="3"/>
    </row>
    <row r="523" spans="1:1" ht="15.75" customHeight="1" x14ac:dyDescent="0.2">
      <c r="A523" s="3"/>
    </row>
    <row r="524" spans="1:1" ht="15.75" customHeight="1" x14ac:dyDescent="0.2">
      <c r="A524" s="3"/>
    </row>
    <row r="525" spans="1:1" ht="15.75" customHeight="1" x14ac:dyDescent="0.2">
      <c r="A525" s="3"/>
    </row>
    <row r="526" spans="1:1" ht="15.75" customHeight="1" x14ac:dyDescent="0.2">
      <c r="A526" s="3"/>
    </row>
    <row r="527" spans="1:1" ht="15.75" customHeight="1" x14ac:dyDescent="0.2">
      <c r="A527" s="3"/>
    </row>
    <row r="528" spans="1:1" ht="15.75" customHeight="1" x14ac:dyDescent="0.2">
      <c r="A528" s="3"/>
    </row>
    <row r="529" spans="1:1" ht="15.75" customHeight="1" x14ac:dyDescent="0.2">
      <c r="A529" s="3"/>
    </row>
    <row r="530" spans="1:1" ht="15.75" customHeight="1" x14ac:dyDescent="0.2">
      <c r="A530" s="3"/>
    </row>
    <row r="531" spans="1:1" ht="15.75" customHeight="1" x14ac:dyDescent="0.2">
      <c r="A531" s="3"/>
    </row>
    <row r="532" spans="1:1" ht="15.75" customHeight="1" x14ac:dyDescent="0.2">
      <c r="A532" s="3"/>
    </row>
    <row r="533" spans="1:1" ht="15.75" customHeight="1" x14ac:dyDescent="0.2">
      <c r="A533" s="3"/>
    </row>
    <row r="534" spans="1:1" ht="15.75" customHeight="1" x14ac:dyDescent="0.2">
      <c r="A534" s="3"/>
    </row>
    <row r="535" spans="1:1" ht="15.75" customHeight="1" x14ac:dyDescent="0.2">
      <c r="A535" s="3"/>
    </row>
    <row r="536" spans="1:1" ht="15.75" customHeight="1" x14ac:dyDescent="0.2">
      <c r="A536" s="3"/>
    </row>
    <row r="537" spans="1:1" ht="15.75" customHeight="1" x14ac:dyDescent="0.2">
      <c r="A537" s="3"/>
    </row>
    <row r="538" spans="1:1" ht="15.75" customHeight="1" x14ac:dyDescent="0.2">
      <c r="A538" s="3"/>
    </row>
    <row r="539" spans="1:1" ht="15.75" customHeight="1" x14ac:dyDescent="0.2">
      <c r="A539" s="3"/>
    </row>
    <row r="540" spans="1:1" ht="15.75" customHeight="1" x14ac:dyDescent="0.2">
      <c r="A540" s="3"/>
    </row>
    <row r="541" spans="1:1" ht="15.75" customHeight="1" x14ac:dyDescent="0.2">
      <c r="A541" s="3"/>
    </row>
    <row r="542" spans="1:1" ht="15.75" customHeight="1" x14ac:dyDescent="0.2">
      <c r="A542" s="3"/>
    </row>
    <row r="543" spans="1:1" ht="15.75" customHeight="1" x14ac:dyDescent="0.2">
      <c r="A543" s="3"/>
    </row>
    <row r="544" spans="1:1" ht="15.75" customHeight="1" x14ac:dyDescent="0.2">
      <c r="A544" s="3"/>
    </row>
    <row r="545" spans="1:1" ht="15.75" customHeight="1" x14ac:dyDescent="0.2">
      <c r="A545" s="3"/>
    </row>
    <row r="546" spans="1:1" ht="15.75" customHeight="1" x14ac:dyDescent="0.2">
      <c r="A546" s="3"/>
    </row>
    <row r="547" spans="1:1" ht="15.75" customHeight="1" x14ac:dyDescent="0.2">
      <c r="A547" s="3"/>
    </row>
    <row r="548" spans="1:1" ht="15.75" customHeight="1" x14ac:dyDescent="0.2">
      <c r="A548" s="3"/>
    </row>
    <row r="549" spans="1:1" ht="15.75" customHeight="1" x14ac:dyDescent="0.2">
      <c r="A549" s="3"/>
    </row>
    <row r="550" spans="1:1" ht="15.75" customHeight="1" x14ac:dyDescent="0.2">
      <c r="A550" s="3"/>
    </row>
    <row r="551" spans="1:1" ht="15.75" customHeight="1" x14ac:dyDescent="0.2">
      <c r="A551" s="3"/>
    </row>
    <row r="552" spans="1:1" ht="15.75" customHeight="1" x14ac:dyDescent="0.2">
      <c r="A552" s="3"/>
    </row>
    <row r="553" spans="1:1" ht="15.75" customHeight="1" x14ac:dyDescent="0.2">
      <c r="A553" s="3"/>
    </row>
    <row r="554" spans="1:1" ht="15.75" customHeight="1" x14ac:dyDescent="0.2">
      <c r="A554" s="3"/>
    </row>
    <row r="555" spans="1:1" ht="15.75" customHeight="1" x14ac:dyDescent="0.2">
      <c r="A555" s="3"/>
    </row>
    <row r="556" spans="1:1" ht="15.75" customHeight="1" x14ac:dyDescent="0.2">
      <c r="A556" s="3"/>
    </row>
    <row r="557" spans="1:1" ht="15.75" customHeight="1" x14ac:dyDescent="0.2">
      <c r="A557" s="3"/>
    </row>
    <row r="558" spans="1:1" ht="15.75" customHeight="1" x14ac:dyDescent="0.2">
      <c r="A558" s="3"/>
    </row>
    <row r="559" spans="1:1" ht="15.75" customHeight="1" x14ac:dyDescent="0.2">
      <c r="A559" s="3"/>
    </row>
    <row r="560" spans="1:1" ht="15.75" customHeight="1" x14ac:dyDescent="0.2">
      <c r="A560" s="3"/>
    </row>
    <row r="561" spans="1:1" ht="15.75" customHeight="1" x14ac:dyDescent="0.2">
      <c r="A561" s="3"/>
    </row>
    <row r="562" spans="1:1" ht="15.75" customHeight="1" x14ac:dyDescent="0.2">
      <c r="A562" s="3"/>
    </row>
    <row r="563" spans="1:1" ht="15.75" customHeight="1" x14ac:dyDescent="0.2">
      <c r="A563" s="3"/>
    </row>
    <row r="564" spans="1:1" ht="15.75" customHeight="1" x14ac:dyDescent="0.2">
      <c r="A564" s="3"/>
    </row>
    <row r="565" spans="1:1" ht="15.75" customHeight="1" x14ac:dyDescent="0.2">
      <c r="A565" s="3"/>
    </row>
    <row r="566" spans="1:1" ht="15.75" customHeight="1" x14ac:dyDescent="0.2">
      <c r="A566" s="3"/>
    </row>
    <row r="567" spans="1:1" ht="15.75" customHeight="1" x14ac:dyDescent="0.2">
      <c r="A567" s="3"/>
    </row>
    <row r="568" spans="1:1" ht="15.75" customHeight="1" x14ac:dyDescent="0.2">
      <c r="A568" s="3"/>
    </row>
    <row r="569" spans="1:1" ht="15.75" customHeight="1" x14ac:dyDescent="0.2">
      <c r="A569" s="3"/>
    </row>
    <row r="570" spans="1:1" ht="15.75" customHeight="1" x14ac:dyDescent="0.2">
      <c r="A570" s="3"/>
    </row>
    <row r="571" spans="1:1" ht="15.75" customHeight="1" x14ac:dyDescent="0.2">
      <c r="A571" s="3"/>
    </row>
    <row r="572" spans="1:1" ht="15.75" customHeight="1" x14ac:dyDescent="0.2">
      <c r="A572" s="3"/>
    </row>
    <row r="573" spans="1:1" ht="15.75" customHeight="1" x14ac:dyDescent="0.2">
      <c r="A573" s="3"/>
    </row>
    <row r="574" spans="1:1" ht="15.75" customHeight="1" x14ac:dyDescent="0.2">
      <c r="A574" s="3"/>
    </row>
    <row r="575" spans="1:1" ht="15.75" customHeight="1" x14ac:dyDescent="0.2">
      <c r="A575" s="3"/>
    </row>
    <row r="576" spans="1:1" ht="15.75" customHeight="1" x14ac:dyDescent="0.2">
      <c r="A576" s="3"/>
    </row>
    <row r="577" spans="1:1" ht="15.75" customHeight="1" x14ac:dyDescent="0.2">
      <c r="A577" s="3"/>
    </row>
    <row r="578" spans="1:1" ht="15.75" customHeight="1" x14ac:dyDescent="0.2">
      <c r="A578" s="3"/>
    </row>
    <row r="579" spans="1:1" ht="15.75" customHeight="1" x14ac:dyDescent="0.2">
      <c r="A579" s="3"/>
    </row>
    <row r="580" spans="1:1" ht="15.75" customHeight="1" x14ac:dyDescent="0.2">
      <c r="A580" s="3"/>
    </row>
    <row r="581" spans="1:1" ht="15.75" customHeight="1" x14ac:dyDescent="0.2">
      <c r="A581" s="3"/>
    </row>
    <row r="582" spans="1:1" ht="15.75" customHeight="1" x14ac:dyDescent="0.2">
      <c r="A582" s="3"/>
    </row>
    <row r="583" spans="1:1" ht="15.75" customHeight="1" x14ac:dyDescent="0.2">
      <c r="A583" s="3"/>
    </row>
    <row r="584" spans="1:1" ht="15.75" customHeight="1" x14ac:dyDescent="0.2">
      <c r="A584" s="3"/>
    </row>
    <row r="585" spans="1:1" ht="15.75" customHeight="1" x14ac:dyDescent="0.2">
      <c r="A585" s="3"/>
    </row>
    <row r="586" spans="1:1" ht="15.75" customHeight="1" x14ac:dyDescent="0.2">
      <c r="A586" s="3"/>
    </row>
    <row r="587" spans="1:1" ht="15.75" customHeight="1" x14ac:dyDescent="0.2">
      <c r="A587" s="3"/>
    </row>
    <row r="588" spans="1:1" ht="15.75" customHeight="1" x14ac:dyDescent="0.2">
      <c r="A588" s="3"/>
    </row>
    <row r="589" spans="1:1" ht="15.75" customHeight="1" x14ac:dyDescent="0.2">
      <c r="A589" s="3"/>
    </row>
    <row r="590" spans="1:1" ht="15.75" customHeight="1" x14ac:dyDescent="0.2">
      <c r="A590" s="3"/>
    </row>
    <row r="591" spans="1:1" ht="15.75" customHeight="1" x14ac:dyDescent="0.2">
      <c r="A591" s="3"/>
    </row>
    <row r="592" spans="1:1" ht="15.75" customHeight="1" x14ac:dyDescent="0.2">
      <c r="A592" s="3"/>
    </row>
    <row r="593" spans="1:1" ht="15.75" customHeight="1" x14ac:dyDescent="0.2">
      <c r="A593" s="3"/>
    </row>
    <row r="594" spans="1:1" ht="15.75" customHeight="1" x14ac:dyDescent="0.2">
      <c r="A594" s="3"/>
    </row>
    <row r="595" spans="1:1" ht="15.75" customHeight="1" x14ac:dyDescent="0.2">
      <c r="A595" s="3"/>
    </row>
    <row r="596" spans="1:1" ht="15.75" customHeight="1" x14ac:dyDescent="0.2">
      <c r="A596" s="3"/>
    </row>
    <row r="597" spans="1:1" ht="15.75" customHeight="1" x14ac:dyDescent="0.2">
      <c r="A597" s="3"/>
    </row>
    <row r="598" spans="1:1" ht="15.75" customHeight="1" x14ac:dyDescent="0.2">
      <c r="A598" s="3"/>
    </row>
    <row r="599" spans="1:1" ht="15.75" customHeight="1" x14ac:dyDescent="0.2">
      <c r="A599" s="3"/>
    </row>
    <row r="600" spans="1:1" ht="15.75" customHeight="1" x14ac:dyDescent="0.2">
      <c r="A600" s="3"/>
    </row>
    <row r="601" spans="1:1" ht="15.75" customHeight="1" x14ac:dyDescent="0.2">
      <c r="A601" s="3"/>
    </row>
    <row r="602" spans="1:1" ht="15.75" customHeight="1" x14ac:dyDescent="0.2">
      <c r="A602" s="3"/>
    </row>
    <row r="603" spans="1:1" ht="15.75" customHeight="1" x14ac:dyDescent="0.2">
      <c r="A603" s="3"/>
    </row>
    <row r="604" spans="1:1" ht="15.75" customHeight="1" x14ac:dyDescent="0.2">
      <c r="A604" s="3"/>
    </row>
    <row r="605" spans="1:1" ht="15.75" customHeight="1" x14ac:dyDescent="0.2">
      <c r="A605" s="3"/>
    </row>
    <row r="606" spans="1:1" ht="15.75" customHeight="1" x14ac:dyDescent="0.2">
      <c r="A606" s="3"/>
    </row>
    <row r="607" spans="1:1" ht="15.75" customHeight="1" x14ac:dyDescent="0.2">
      <c r="A607" s="3"/>
    </row>
    <row r="608" spans="1:1" ht="15.75" customHeight="1" x14ac:dyDescent="0.2">
      <c r="A608" s="3"/>
    </row>
    <row r="609" spans="1:1" ht="15.75" customHeight="1" x14ac:dyDescent="0.2">
      <c r="A609" s="3"/>
    </row>
    <row r="610" spans="1:1" ht="15.75" customHeight="1" x14ac:dyDescent="0.2">
      <c r="A610" s="3"/>
    </row>
    <row r="611" spans="1:1" ht="15.75" customHeight="1" x14ac:dyDescent="0.2">
      <c r="A611" s="3"/>
    </row>
    <row r="612" spans="1:1" ht="15.75" customHeight="1" x14ac:dyDescent="0.2">
      <c r="A612" s="3"/>
    </row>
    <row r="613" spans="1:1" ht="15.75" customHeight="1" x14ac:dyDescent="0.2">
      <c r="A613" s="3"/>
    </row>
    <row r="614" spans="1:1" ht="15.75" customHeight="1" x14ac:dyDescent="0.2">
      <c r="A614" s="3"/>
    </row>
    <row r="615" spans="1:1" ht="15.75" customHeight="1" x14ac:dyDescent="0.2">
      <c r="A615" s="3"/>
    </row>
    <row r="616" spans="1:1" ht="15.75" customHeight="1" x14ac:dyDescent="0.2">
      <c r="A616" s="3"/>
    </row>
    <row r="617" spans="1:1" ht="15.75" customHeight="1" x14ac:dyDescent="0.2">
      <c r="A617" s="3"/>
    </row>
    <row r="618" spans="1:1" ht="15.75" customHeight="1" x14ac:dyDescent="0.2">
      <c r="A618" s="3"/>
    </row>
    <row r="619" spans="1:1" ht="15.75" customHeight="1" x14ac:dyDescent="0.2">
      <c r="A619" s="3"/>
    </row>
    <row r="620" spans="1:1" ht="15.75" customHeight="1" x14ac:dyDescent="0.2">
      <c r="A620" s="3"/>
    </row>
    <row r="621" spans="1:1" ht="15.75" customHeight="1" x14ac:dyDescent="0.2">
      <c r="A621" s="3"/>
    </row>
    <row r="622" spans="1:1" ht="15.75" customHeight="1" x14ac:dyDescent="0.2">
      <c r="A622" s="3"/>
    </row>
    <row r="623" spans="1:1" ht="15.75" customHeight="1" x14ac:dyDescent="0.2">
      <c r="A623" s="3"/>
    </row>
    <row r="624" spans="1:1" ht="15.75" customHeight="1" x14ac:dyDescent="0.2">
      <c r="A624" s="3"/>
    </row>
    <row r="625" spans="1:1" ht="15.75" customHeight="1" x14ac:dyDescent="0.2">
      <c r="A625" s="3"/>
    </row>
    <row r="626" spans="1:1" ht="15.75" customHeight="1" x14ac:dyDescent="0.2">
      <c r="A626" s="3"/>
    </row>
    <row r="627" spans="1:1" ht="15.75" customHeight="1" x14ac:dyDescent="0.2">
      <c r="A627" s="3"/>
    </row>
    <row r="628" spans="1:1" ht="15.75" customHeight="1" x14ac:dyDescent="0.2">
      <c r="A628" s="3"/>
    </row>
    <row r="629" spans="1:1" ht="15.75" customHeight="1" x14ac:dyDescent="0.2">
      <c r="A629" s="3"/>
    </row>
    <row r="630" spans="1:1" ht="15.75" customHeight="1" x14ac:dyDescent="0.2">
      <c r="A630" s="3"/>
    </row>
    <row r="631" spans="1:1" ht="15.75" customHeight="1" x14ac:dyDescent="0.2">
      <c r="A631" s="3"/>
    </row>
    <row r="632" spans="1:1" ht="15.75" customHeight="1" x14ac:dyDescent="0.2">
      <c r="A632" s="3"/>
    </row>
    <row r="633" spans="1:1" ht="15.75" customHeight="1" x14ac:dyDescent="0.2">
      <c r="A633" s="3"/>
    </row>
    <row r="634" spans="1:1" ht="15.75" customHeight="1" x14ac:dyDescent="0.2">
      <c r="A634" s="3"/>
    </row>
    <row r="635" spans="1:1" ht="15.75" customHeight="1" x14ac:dyDescent="0.2">
      <c r="A635" s="3"/>
    </row>
    <row r="636" spans="1:1" ht="15.75" customHeight="1" x14ac:dyDescent="0.2">
      <c r="A636" s="3"/>
    </row>
    <row r="637" spans="1:1" ht="15.75" customHeight="1" x14ac:dyDescent="0.2">
      <c r="A637" s="3"/>
    </row>
    <row r="638" spans="1:1" ht="15.75" customHeight="1" x14ac:dyDescent="0.2">
      <c r="A638" s="3"/>
    </row>
    <row r="639" spans="1:1" ht="15.75" customHeight="1" x14ac:dyDescent="0.2">
      <c r="A639" s="3"/>
    </row>
    <row r="640" spans="1:1" ht="15.75" customHeight="1" x14ac:dyDescent="0.2">
      <c r="A640" s="3"/>
    </row>
    <row r="641" spans="1:1" ht="15.75" customHeight="1" x14ac:dyDescent="0.2">
      <c r="A641" s="3"/>
    </row>
    <row r="642" spans="1:1" ht="15.75" customHeight="1" x14ac:dyDescent="0.2">
      <c r="A642" s="3"/>
    </row>
    <row r="643" spans="1:1" ht="15.75" customHeight="1" x14ac:dyDescent="0.2">
      <c r="A643" s="3"/>
    </row>
    <row r="644" spans="1:1" ht="15.75" customHeight="1" x14ac:dyDescent="0.2">
      <c r="A644" s="3"/>
    </row>
    <row r="645" spans="1:1" ht="15.75" customHeight="1" x14ac:dyDescent="0.2">
      <c r="A645" s="3"/>
    </row>
    <row r="646" spans="1:1" ht="15.75" customHeight="1" x14ac:dyDescent="0.2">
      <c r="A646" s="3"/>
    </row>
    <row r="647" spans="1:1" ht="15.75" customHeight="1" x14ac:dyDescent="0.2">
      <c r="A647" s="3"/>
    </row>
    <row r="648" spans="1:1" ht="15.75" customHeight="1" x14ac:dyDescent="0.2">
      <c r="A648" s="3"/>
    </row>
    <row r="649" spans="1:1" ht="15.75" customHeight="1" x14ac:dyDescent="0.2">
      <c r="A649" s="3"/>
    </row>
    <row r="650" spans="1:1" ht="15.75" customHeight="1" x14ac:dyDescent="0.2">
      <c r="A650" s="3"/>
    </row>
    <row r="651" spans="1:1" ht="15.75" customHeight="1" x14ac:dyDescent="0.2">
      <c r="A651" s="3"/>
    </row>
    <row r="652" spans="1:1" ht="15.75" customHeight="1" x14ac:dyDescent="0.2">
      <c r="A652" s="3"/>
    </row>
    <row r="653" spans="1:1" ht="15.75" customHeight="1" x14ac:dyDescent="0.2">
      <c r="A653" s="3"/>
    </row>
    <row r="654" spans="1:1" ht="15.75" customHeight="1" x14ac:dyDescent="0.2">
      <c r="A654" s="3"/>
    </row>
    <row r="655" spans="1:1" ht="15.75" customHeight="1" x14ac:dyDescent="0.2">
      <c r="A655" s="3"/>
    </row>
    <row r="656" spans="1:1" ht="15.75" customHeight="1" x14ac:dyDescent="0.2">
      <c r="A656" s="3"/>
    </row>
    <row r="657" spans="1:1" ht="15.75" customHeight="1" x14ac:dyDescent="0.2">
      <c r="A657" s="3"/>
    </row>
    <row r="658" spans="1:1" ht="15.75" customHeight="1" x14ac:dyDescent="0.2">
      <c r="A658" s="3"/>
    </row>
    <row r="659" spans="1:1" ht="15.75" customHeight="1" x14ac:dyDescent="0.2">
      <c r="A659" s="3"/>
    </row>
    <row r="660" spans="1:1" ht="15.75" customHeight="1" x14ac:dyDescent="0.2">
      <c r="A660" s="3"/>
    </row>
    <row r="661" spans="1:1" ht="15.75" customHeight="1" x14ac:dyDescent="0.2">
      <c r="A661" s="3"/>
    </row>
    <row r="662" spans="1:1" ht="15.75" customHeight="1" x14ac:dyDescent="0.2">
      <c r="A662" s="3"/>
    </row>
    <row r="663" spans="1:1" ht="15.75" customHeight="1" x14ac:dyDescent="0.2">
      <c r="A663" s="3"/>
    </row>
    <row r="664" spans="1:1" ht="15.75" customHeight="1" x14ac:dyDescent="0.2">
      <c r="A664" s="3"/>
    </row>
    <row r="665" spans="1:1" ht="15.75" customHeight="1" x14ac:dyDescent="0.2">
      <c r="A665" s="3"/>
    </row>
    <row r="666" spans="1:1" ht="15.75" customHeight="1" x14ac:dyDescent="0.2">
      <c r="A666" s="3"/>
    </row>
    <row r="667" spans="1:1" ht="15.75" customHeight="1" x14ac:dyDescent="0.2">
      <c r="A667" s="3"/>
    </row>
    <row r="668" spans="1:1" ht="15.75" customHeight="1" x14ac:dyDescent="0.2">
      <c r="A668" s="3"/>
    </row>
    <row r="669" spans="1:1" ht="15.75" customHeight="1" x14ac:dyDescent="0.2">
      <c r="A669" s="3"/>
    </row>
    <row r="670" spans="1:1" ht="15.75" customHeight="1" x14ac:dyDescent="0.2">
      <c r="A670" s="3"/>
    </row>
    <row r="671" spans="1:1" ht="15.75" customHeight="1" x14ac:dyDescent="0.2">
      <c r="A671" s="3"/>
    </row>
    <row r="672" spans="1:1" ht="15.75" customHeight="1" x14ac:dyDescent="0.2">
      <c r="A672" s="3"/>
    </row>
    <row r="673" spans="1:1" ht="15.75" customHeight="1" x14ac:dyDescent="0.2">
      <c r="A673" s="3"/>
    </row>
    <row r="674" spans="1:1" ht="15.75" customHeight="1" x14ac:dyDescent="0.2">
      <c r="A674" s="3"/>
    </row>
    <row r="675" spans="1:1" ht="15.75" customHeight="1" x14ac:dyDescent="0.2">
      <c r="A675" s="3"/>
    </row>
    <row r="676" spans="1:1" ht="15.75" customHeight="1" x14ac:dyDescent="0.2">
      <c r="A676" s="3"/>
    </row>
    <row r="677" spans="1:1" ht="15.75" customHeight="1" x14ac:dyDescent="0.2">
      <c r="A677" s="3"/>
    </row>
    <row r="678" spans="1:1" ht="15.75" customHeight="1" x14ac:dyDescent="0.2">
      <c r="A678" s="3"/>
    </row>
    <row r="679" spans="1:1" ht="15.75" customHeight="1" x14ac:dyDescent="0.2">
      <c r="A679" s="3"/>
    </row>
    <row r="680" spans="1:1" ht="15.75" customHeight="1" x14ac:dyDescent="0.2">
      <c r="A680" s="3"/>
    </row>
    <row r="681" spans="1:1" ht="15.75" customHeight="1" x14ac:dyDescent="0.2">
      <c r="A681" s="3"/>
    </row>
    <row r="682" spans="1:1" ht="15.75" customHeight="1" x14ac:dyDescent="0.2">
      <c r="A682" s="3"/>
    </row>
    <row r="683" spans="1:1" ht="15.75" customHeight="1" x14ac:dyDescent="0.2">
      <c r="A683" s="3"/>
    </row>
    <row r="684" spans="1:1" ht="15.75" customHeight="1" x14ac:dyDescent="0.2">
      <c r="A684" s="3"/>
    </row>
    <row r="685" spans="1:1" ht="15.75" customHeight="1" x14ac:dyDescent="0.2">
      <c r="A685" s="3"/>
    </row>
    <row r="686" spans="1:1" ht="15.75" customHeight="1" x14ac:dyDescent="0.2">
      <c r="A686" s="3"/>
    </row>
    <row r="687" spans="1:1" ht="15.75" customHeight="1" x14ac:dyDescent="0.2">
      <c r="A687" s="3"/>
    </row>
    <row r="688" spans="1:1" ht="15.75" customHeight="1" x14ac:dyDescent="0.2">
      <c r="A688" s="3"/>
    </row>
    <row r="689" spans="1:1" ht="15.75" customHeight="1" x14ac:dyDescent="0.2">
      <c r="A689" s="3"/>
    </row>
    <row r="690" spans="1:1" ht="15.75" customHeight="1" x14ac:dyDescent="0.2">
      <c r="A690" s="3"/>
    </row>
    <row r="691" spans="1:1" ht="15.75" customHeight="1" x14ac:dyDescent="0.2">
      <c r="A691" s="3"/>
    </row>
    <row r="692" spans="1:1" ht="15.75" customHeight="1" x14ac:dyDescent="0.2">
      <c r="A692" s="3"/>
    </row>
    <row r="693" spans="1:1" ht="15.75" customHeight="1" x14ac:dyDescent="0.2">
      <c r="A693" s="3"/>
    </row>
    <row r="694" spans="1:1" ht="15.75" customHeight="1" x14ac:dyDescent="0.2">
      <c r="A694" s="3"/>
    </row>
    <row r="695" spans="1:1" ht="15.75" customHeight="1" x14ac:dyDescent="0.2">
      <c r="A695" s="3"/>
    </row>
    <row r="696" spans="1:1" ht="15.75" customHeight="1" x14ac:dyDescent="0.2">
      <c r="A696" s="3"/>
    </row>
    <row r="697" spans="1:1" ht="15.75" customHeight="1" x14ac:dyDescent="0.2">
      <c r="A697" s="3"/>
    </row>
    <row r="698" spans="1:1" ht="15.75" customHeight="1" x14ac:dyDescent="0.2">
      <c r="A698" s="3"/>
    </row>
    <row r="699" spans="1:1" ht="15.75" customHeight="1" x14ac:dyDescent="0.2">
      <c r="A699" s="3"/>
    </row>
    <row r="700" spans="1:1" ht="15.75" customHeight="1" x14ac:dyDescent="0.2">
      <c r="A700" s="3"/>
    </row>
    <row r="701" spans="1:1" ht="15.75" customHeight="1" x14ac:dyDescent="0.2">
      <c r="A701" s="3"/>
    </row>
    <row r="702" spans="1:1" ht="15.75" customHeight="1" x14ac:dyDescent="0.2">
      <c r="A702" s="3"/>
    </row>
    <row r="703" spans="1:1" ht="15.75" customHeight="1" x14ac:dyDescent="0.2">
      <c r="A703" s="3"/>
    </row>
    <row r="704" spans="1:1" ht="15.75" customHeight="1" x14ac:dyDescent="0.2">
      <c r="A704" s="3"/>
    </row>
    <row r="705" spans="1:1" ht="15.75" customHeight="1" x14ac:dyDescent="0.2">
      <c r="A705" s="3"/>
    </row>
    <row r="706" spans="1:1" ht="15.75" customHeight="1" x14ac:dyDescent="0.2">
      <c r="A706" s="3"/>
    </row>
    <row r="707" spans="1:1" ht="15.75" customHeight="1" x14ac:dyDescent="0.2">
      <c r="A707" s="3"/>
    </row>
    <row r="708" spans="1:1" ht="15.75" customHeight="1" x14ac:dyDescent="0.2">
      <c r="A708" s="3"/>
    </row>
    <row r="709" spans="1:1" ht="15.75" customHeight="1" x14ac:dyDescent="0.2">
      <c r="A709" s="3"/>
    </row>
    <row r="710" spans="1:1" ht="15.75" customHeight="1" x14ac:dyDescent="0.2">
      <c r="A710" s="3"/>
    </row>
    <row r="711" spans="1:1" ht="15.75" customHeight="1" x14ac:dyDescent="0.2">
      <c r="A711" s="3"/>
    </row>
    <row r="712" spans="1:1" ht="15.75" customHeight="1" x14ac:dyDescent="0.2">
      <c r="A712" s="3"/>
    </row>
    <row r="713" spans="1:1" ht="15.75" customHeight="1" x14ac:dyDescent="0.2">
      <c r="A713" s="3"/>
    </row>
    <row r="714" spans="1:1" ht="15.75" customHeight="1" x14ac:dyDescent="0.2">
      <c r="A714" s="3"/>
    </row>
    <row r="715" spans="1:1" ht="15.75" customHeight="1" x14ac:dyDescent="0.2">
      <c r="A715" s="3"/>
    </row>
    <row r="716" spans="1:1" ht="15.75" customHeight="1" x14ac:dyDescent="0.2">
      <c r="A716" s="3"/>
    </row>
    <row r="717" spans="1:1" ht="15.75" customHeight="1" x14ac:dyDescent="0.2">
      <c r="A717" s="3"/>
    </row>
    <row r="718" spans="1:1" ht="15.75" customHeight="1" x14ac:dyDescent="0.2">
      <c r="A718" s="3"/>
    </row>
    <row r="719" spans="1:1" ht="15.75" customHeight="1" x14ac:dyDescent="0.2">
      <c r="A719" s="3"/>
    </row>
    <row r="720" spans="1:1" ht="15.75" customHeight="1" x14ac:dyDescent="0.2">
      <c r="A720" s="3"/>
    </row>
    <row r="721" spans="1:1" ht="15.75" customHeight="1" x14ac:dyDescent="0.2">
      <c r="A721" s="3"/>
    </row>
    <row r="722" spans="1:1" ht="15.75" customHeight="1" x14ac:dyDescent="0.2">
      <c r="A722" s="3"/>
    </row>
    <row r="723" spans="1:1" ht="15.75" customHeight="1" x14ac:dyDescent="0.2">
      <c r="A723" s="3"/>
    </row>
    <row r="724" spans="1:1" ht="15.75" customHeight="1" x14ac:dyDescent="0.2">
      <c r="A724" s="3"/>
    </row>
    <row r="725" spans="1:1" ht="15.75" customHeight="1" x14ac:dyDescent="0.2">
      <c r="A725" s="3"/>
    </row>
    <row r="726" spans="1:1" ht="15.75" customHeight="1" x14ac:dyDescent="0.2">
      <c r="A726" s="3"/>
    </row>
    <row r="727" spans="1:1" ht="15.75" customHeight="1" x14ac:dyDescent="0.2">
      <c r="A727" s="3"/>
    </row>
    <row r="728" spans="1:1" ht="15.75" customHeight="1" x14ac:dyDescent="0.2">
      <c r="A728" s="3"/>
    </row>
    <row r="729" spans="1:1" ht="15.75" customHeight="1" x14ac:dyDescent="0.2">
      <c r="A729" s="3"/>
    </row>
    <row r="730" spans="1:1" ht="15.75" customHeight="1" x14ac:dyDescent="0.2">
      <c r="A730" s="3"/>
    </row>
    <row r="731" spans="1:1" ht="15.75" customHeight="1" x14ac:dyDescent="0.2">
      <c r="A731" s="3"/>
    </row>
    <row r="732" spans="1:1" ht="15.75" customHeight="1" x14ac:dyDescent="0.2">
      <c r="A732" s="3"/>
    </row>
    <row r="733" spans="1:1" ht="15.75" customHeight="1" x14ac:dyDescent="0.2">
      <c r="A733" s="3"/>
    </row>
    <row r="734" spans="1:1" ht="15.75" customHeight="1" x14ac:dyDescent="0.2">
      <c r="A734" s="3"/>
    </row>
    <row r="735" spans="1:1" ht="15.75" customHeight="1" x14ac:dyDescent="0.2">
      <c r="A735" s="3"/>
    </row>
    <row r="736" spans="1:1" ht="15.75" customHeight="1" x14ac:dyDescent="0.2">
      <c r="A736" s="3"/>
    </row>
    <row r="737" spans="1:1" ht="15.75" customHeight="1" x14ac:dyDescent="0.2">
      <c r="A737" s="3"/>
    </row>
    <row r="738" spans="1:1" ht="15.75" customHeight="1" x14ac:dyDescent="0.2">
      <c r="A738" s="3"/>
    </row>
    <row r="739" spans="1:1" ht="15.75" customHeight="1" x14ac:dyDescent="0.2">
      <c r="A739" s="3"/>
    </row>
    <row r="740" spans="1:1" ht="15.75" customHeight="1" x14ac:dyDescent="0.2">
      <c r="A740" s="3"/>
    </row>
    <row r="741" spans="1:1" ht="15.75" customHeight="1" x14ac:dyDescent="0.2">
      <c r="A741" s="3"/>
    </row>
    <row r="742" spans="1:1" ht="15.75" customHeight="1" x14ac:dyDescent="0.2">
      <c r="A742" s="3"/>
    </row>
    <row r="743" spans="1:1" ht="15.75" customHeight="1" x14ac:dyDescent="0.2">
      <c r="A743" s="3"/>
    </row>
    <row r="744" spans="1:1" ht="15.75" customHeight="1" x14ac:dyDescent="0.2">
      <c r="A744" s="3"/>
    </row>
    <row r="745" spans="1:1" ht="15.75" customHeight="1" x14ac:dyDescent="0.2">
      <c r="A745" s="3"/>
    </row>
    <row r="746" spans="1:1" ht="15.75" customHeight="1" x14ac:dyDescent="0.2">
      <c r="A746" s="3"/>
    </row>
    <row r="747" spans="1:1" ht="15.75" customHeight="1" x14ac:dyDescent="0.2">
      <c r="A747" s="3"/>
    </row>
    <row r="748" spans="1:1" ht="15.75" customHeight="1" x14ac:dyDescent="0.2">
      <c r="A748" s="3"/>
    </row>
    <row r="749" spans="1:1" ht="15.75" customHeight="1" x14ac:dyDescent="0.2">
      <c r="A749" s="3"/>
    </row>
    <row r="750" spans="1:1" ht="15.75" customHeight="1" x14ac:dyDescent="0.2">
      <c r="A750" s="3"/>
    </row>
    <row r="751" spans="1:1" ht="15.75" customHeight="1" x14ac:dyDescent="0.2">
      <c r="A751" s="3"/>
    </row>
    <row r="752" spans="1:1" ht="15.75" customHeight="1" x14ac:dyDescent="0.2">
      <c r="A752" s="3"/>
    </row>
    <row r="753" spans="1:1" ht="15.75" customHeight="1" x14ac:dyDescent="0.2">
      <c r="A753" s="3"/>
    </row>
    <row r="754" spans="1:1" ht="15.75" customHeight="1" x14ac:dyDescent="0.2">
      <c r="A754" s="3"/>
    </row>
    <row r="755" spans="1:1" ht="15.75" customHeight="1" x14ac:dyDescent="0.2">
      <c r="A755" s="3"/>
    </row>
    <row r="756" spans="1:1" ht="15.75" customHeight="1" x14ac:dyDescent="0.2">
      <c r="A756" s="3"/>
    </row>
    <row r="757" spans="1:1" ht="15.75" customHeight="1" x14ac:dyDescent="0.2">
      <c r="A757" s="3"/>
    </row>
    <row r="758" spans="1:1" ht="15.75" customHeight="1" x14ac:dyDescent="0.2">
      <c r="A758" s="3"/>
    </row>
    <row r="759" spans="1:1" ht="15.75" customHeight="1" x14ac:dyDescent="0.2">
      <c r="A759" s="3"/>
    </row>
    <row r="760" spans="1:1" ht="15.75" customHeight="1" x14ac:dyDescent="0.2">
      <c r="A760" s="3"/>
    </row>
    <row r="761" spans="1:1" ht="15.75" customHeight="1" x14ac:dyDescent="0.2">
      <c r="A761" s="3"/>
    </row>
    <row r="762" spans="1:1" ht="15.75" customHeight="1" x14ac:dyDescent="0.2">
      <c r="A762" s="3"/>
    </row>
    <row r="763" spans="1:1" ht="15.75" customHeight="1" x14ac:dyDescent="0.2">
      <c r="A763" s="3"/>
    </row>
    <row r="764" spans="1:1" ht="15.75" customHeight="1" x14ac:dyDescent="0.2">
      <c r="A764" s="3"/>
    </row>
    <row r="765" spans="1:1" ht="15.75" customHeight="1" x14ac:dyDescent="0.2">
      <c r="A765" s="3"/>
    </row>
    <row r="766" spans="1:1" ht="15.75" customHeight="1" x14ac:dyDescent="0.2">
      <c r="A766" s="3"/>
    </row>
    <row r="767" spans="1:1" ht="15.75" customHeight="1" x14ac:dyDescent="0.2">
      <c r="A767" s="3"/>
    </row>
    <row r="768" spans="1:1" ht="15.75" customHeight="1" x14ac:dyDescent="0.2">
      <c r="A768" s="3"/>
    </row>
    <row r="769" spans="1:1" ht="15.75" customHeight="1" x14ac:dyDescent="0.2">
      <c r="A769" s="3"/>
    </row>
    <row r="770" spans="1:1" ht="15.75" customHeight="1" x14ac:dyDescent="0.2">
      <c r="A770" s="3"/>
    </row>
    <row r="771" spans="1:1" ht="15.75" customHeight="1" x14ac:dyDescent="0.2">
      <c r="A771" s="3"/>
    </row>
    <row r="772" spans="1:1" ht="15.75" customHeight="1" x14ac:dyDescent="0.2">
      <c r="A772" s="3"/>
    </row>
    <row r="773" spans="1:1" ht="15.75" customHeight="1" x14ac:dyDescent="0.2">
      <c r="A773" s="3"/>
    </row>
    <row r="774" spans="1:1" ht="15.75" customHeight="1" x14ac:dyDescent="0.2">
      <c r="A774" s="3"/>
    </row>
    <row r="775" spans="1:1" ht="15.75" customHeight="1" x14ac:dyDescent="0.2">
      <c r="A775" s="3"/>
    </row>
    <row r="776" spans="1:1" ht="15.75" customHeight="1" x14ac:dyDescent="0.2">
      <c r="A776" s="3"/>
    </row>
    <row r="777" spans="1:1" ht="15.75" customHeight="1" x14ac:dyDescent="0.2">
      <c r="A777" s="3"/>
    </row>
    <row r="778" spans="1:1" ht="15.75" customHeight="1" x14ac:dyDescent="0.2">
      <c r="A778" s="3"/>
    </row>
    <row r="779" spans="1:1" ht="15.75" customHeight="1" x14ac:dyDescent="0.2">
      <c r="A779" s="3"/>
    </row>
    <row r="780" spans="1:1" ht="15.75" customHeight="1" x14ac:dyDescent="0.2">
      <c r="A780" s="3"/>
    </row>
    <row r="781" spans="1:1" ht="15.75" customHeight="1" x14ac:dyDescent="0.2">
      <c r="A781" s="3"/>
    </row>
    <row r="782" spans="1:1" ht="15.75" customHeight="1" x14ac:dyDescent="0.2">
      <c r="A782" s="3"/>
    </row>
    <row r="783" spans="1:1" ht="15.75" customHeight="1" x14ac:dyDescent="0.2">
      <c r="A783" s="3"/>
    </row>
    <row r="784" spans="1:1" ht="15.75" customHeight="1" x14ac:dyDescent="0.2">
      <c r="A784" s="3"/>
    </row>
    <row r="785" spans="1:1" ht="15.75" customHeight="1" x14ac:dyDescent="0.2">
      <c r="A785" s="3"/>
    </row>
    <row r="786" spans="1:1" ht="15.75" customHeight="1" x14ac:dyDescent="0.2">
      <c r="A786" s="3"/>
    </row>
    <row r="787" spans="1:1" ht="15.75" customHeight="1" x14ac:dyDescent="0.2">
      <c r="A787" s="3"/>
    </row>
    <row r="788" spans="1:1" ht="15.75" customHeight="1" x14ac:dyDescent="0.2">
      <c r="A788" s="3"/>
    </row>
    <row r="789" spans="1:1" ht="15.75" customHeight="1" x14ac:dyDescent="0.2">
      <c r="A789" s="3"/>
    </row>
    <row r="790" spans="1:1" ht="15.75" customHeight="1" x14ac:dyDescent="0.2">
      <c r="A790" s="3"/>
    </row>
    <row r="791" spans="1:1" ht="15.75" customHeight="1" x14ac:dyDescent="0.2">
      <c r="A791" s="3"/>
    </row>
    <row r="792" spans="1:1" ht="15.75" customHeight="1" x14ac:dyDescent="0.2">
      <c r="A792" s="3"/>
    </row>
    <row r="793" spans="1:1" ht="15.75" customHeight="1" x14ac:dyDescent="0.2">
      <c r="A793" s="3"/>
    </row>
    <row r="794" spans="1:1" ht="15.75" customHeight="1" x14ac:dyDescent="0.2">
      <c r="A794" s="3"/>
    </row>
    <row r="795" spans="1:1" ht="15.75" customHeight="1" x14ac:dyDescent="0.2">
      <c r="A795" s="3"/>
    </row>
    <row r="796" spans="1:1" ht="15.75" customHeight="1" x14ac:dyDescent="0.2">
      <c r="A796" s="3"/>
    </row>
    <row r="797" spans="1:1" ht="15.75" customHeight="1" x14ac:dyDescent="0.2">
      <c r="A797" s="3"/>
    </row>
    <row r="798" spans="1:1" ht="15.75" customHeight="1" x14ac:dyDescent="0.2">
      <c r="A798" s="3"/>
    </row>
    <row r="799" spans="1:1" ht="15.75" customHeight="1" x14ac:dyDescent="0.2">
      <c r="A799" s="3"/>
    </row>
    <row r="800" spans="1:1" ht="15.75" customHeight="1" x14ac:dyDescent="0.2">
      <c r="A800" s="3"/>
    </row>
    <row r="801" spans="1:1" ht="15.75" customHeight="1" x14ac:dyDescent="0.2">
      <c r="A801" s="3"/>
    </row>
    <row r="802" spans="1:1" ht="15.75" customHeight="1" x14ac:dyDescent="0.2">
      <c r="A802" s="3"/>
    </row>
    <row r="803" spans="1:1" ht="15.75" customHeight="1" x14ac:dyDescent="0.2">
      <c r="A803" s="3"/>
    </row>
    <row r="804" spans="1:1" ht="15.75" customHeight="1" x14ac:dyDescent="0.2">
      <c r="A804" s="3"/>
    </row>
    <row r="805" spans="1:1" ht="15.75" customHeight="1" x14ac:dyDescent="0.2">
      <c r="A805" s="3"/>
    </row>
    <row r="806" spans="1:1" ht="15.75" customHeight="1" x14ac:dyDescent="0.2">
      <c r="A806" s="3"/>
    </row>
    <row r="807" spans="1:1" ht="15.75" customHeight="1" x14ac:dyDescent="0.2">
      <c r="A807" s="3"/>
    </row>
    <row r="808" spans="1:1" ht="15.75" customHeight="1" x14ac:dyDescent="0.2">
      <c r="A808" s="3"/>
    </row>
    <row r="809" spans="1:1" ht="15.75" customHeight="1" x14ac:dyDescent="0.2">
      <c r="A809" s="3"/>
    </row>
    <row r="810" spans="1:1" ht="15.75" customHeight="1" x14ac:dyDescent="0.2">
      <c r="A810" s="3"/>
    </row>
    <row r="811" spans="1:1" ht="15.75" customHeight="1" x14ac:dyDescent="0.2">
      <c r="A811" s="3"/>
    </row>
    <row r="812" spans="1:1" ht="15.75" customHeight="1" x14ac:dyDescent="0.2">
      <c r="A812" s="3"/>
    </row>
    <row r="813" spans="1:1" ht="15.75" customHeight="1" x14ac:dyDescent="0.2">
      <c r="A813" s="3"/>
    </row>
    <row r="814" spans="1:1" ht="15.75" customHeight="1" x14ac:dyDescent="0.2">
      <c r="A814" s="3"/>
    </row>
    <row r="815" spans="1:1" ht="15.75" customHeight="1" x14ac:dyDescent="0.2">
      <c r="A815" s="3"/>
    </row>
    <row r="816" spans="1:1" ht="15.75" customHeight="1" x14ac:dyDescent="0.2">
      <c r="A816" s="3"/>
    </row>
    <row r="817" spans="1:1" ht="15.75" customHeight="1" x14ac:dyDescent="0.2">
      <c r="A817" s="3"/>
    </row>
    <row r="818" spans="1:1" ht="15.75" customHeight="1" x14ac:dyDescent="0.2">
      <c r="A818" s="3"/>
    </row>
    <row r="819" spans="1:1" ht="15.75" customHeight="1" x14ac:dyDescent="0.2">
      <c r="A819" s="3"/>
    </row>
    <row r="820" spans="1:1" ht="15.75" customHeight="1" x14ac:dyDescent="0.2">
      <c r="A820" s="3"/>
    </row>
    <row r="821" spans="1:1" ht="15.75" customHeight="1" x14ac:dyDescent="0.2">
      <c r="A821" s="3"/>
    </row>
    <row r="822" spans="1:1" ht="15.75" customHeight="1" x14ac:dyDescent="0.2">
      <c r="A822" s="3"/>
    </row>
    <row r="823" spans="1:1" ht="15.75" customHeight="1" x14ac:dyDescent="0.2">
      <c r="A823" s="3"/>
    </row>
    <row r="824" spans="1:1" ht="15.75" customHeight="1" x14ac:dyDescent="0.2">
      <c r="A824" s="3"/>
    </row>
    <row r="825" spans="1:1" ht="15.75" customHeight="1" x14ac:dyDescent="0.2">
      <c r="A825" s="3"/>
    </row>
    <row r="826" spans="1:1" ht="15.75" customHeight="1" x14ac:dyDescent="0.2">
      <c r="A826" s="3"/>
    </row>
    <row r="827" spans="1:1" ht="15.75" customHeight="1" x14ac:dyDescent="0.2">
      <c r="A827" s="3"/>
    </row>
    <row r="828" spans="1:1" ht="15.75" customHeight="1" x14ac:dyDescent="0.2">
      <c r="A828" s="3"/>
    </row>
    <row r="829" spans="1:1" ht="15.75" customHeight="1" x14ac:dyDescent="0.2">
      <c r="A829" s="3"/>
    </row>
    <row r="830" spans="1:1" ht="15.75" customHeight="1" x14ac:dyDescent="0.2">
      <c r="A830" s="3"/>
    </row>
    <row r="831" spans="1:1" ht="15.75" customHeight="1" x14ac:dyDescent="0.2">
      <c r="A831" s="3"/>
    </row>
    <row r="832" spans="1:1" ht="15.75" customHeight="1" x14ac:dyDescent="0.2">
      <c r="A832" s="3"/>
    </row>
    <row r="833" spans="1:1" ht="15.75" customHeight="1" x14ac:dyDescent="0.2">
      <c r="A833" s="3"/>
    </row>
    <row r="834" spans="1:1" ht="15.75" customHeight="1" x14ac:dyDescent="0.2">
      <c r="A834" s="3"/>
    </row>
    <row r="835" spans="1:1" ht="15.75" customHeight="1" x14ac:dyDescent="0.2">
      <c r="A835" s="3"/>
    </row>
    <row r="836" spans="1:1" ht="15.75" customHeight="1" x14ac:dyDescent="0.2">
      <c r="A836" s="3"/>
    </row>
    <row r="837" spans="1:1" ht="15.75" customHeight="1" x14ac:dyDescent="0.2">
      <c r="A837" s="3"/>
    </row>
    <row r="838" spans="1:1" ht="15.75" customHeight="1" x14ac:dyDescent="0.2">
      <c r="A838" s="3"/>
    </row>
    <row r="839" spans="1:1" ht="15.75" customHeight="1" x14ac:dyDescent="0.2">
      <c r="A839" s="3"/>
    </row>
    <row r="840" spans="1:1" ht="15.75" customHeight="1" x14ac:dyDescent="0.2">
      <c r="A840" s="3"/>
    </row>
    <row r="841" spans="1:1" ht="15.75" customHeight="1" x14ac:dyDescent="0.2">
      <c r="A841" s="3"/>
    </row>
    <row r="842" spans="1:1" ht="15.75" customHeight="1" x14ac:dyDescent="0.2">
      <c r="A842" s="3"/>
    </row>
    <row r="843" spans="1:1" ht="15.75" customHeight="1" x14ac:dyDescent="0.2">
      <c r="A843" s="3"/>
    </row>
    <row r="844" spans="1:1" ht="15.75" customHeight="1" x14ac:dyDescent="0.2">
      <c r="A844" s="3"/>
    </row>
    <row r="845" spans="1:1" ht="15.75" customHeight="1" x14ac:dyDescent="0.2">
      <c r="A845" s="3"/>
    </row>
    <row r="846" spans="1:1" ht="15.75" customHeight="1" x14ac:dyDescent="0.2">
      <c r="A846" s="3"/>
    </row>
    <row r="847" spans="1:1" ht="15.75" customHeight="1" x14ac:dyDescent="0.2">
      <c r="A847" s="3"/>
    </row>
    <row r="848" spans="1:1" ht="15.75" customHeight="1" x14ac:dyDescent="0.2">
      <c r="A848" s="3"/>
    </row>
    <row r="849" spans="1:1" ht="15.75" customHeight="1" x14ac:dyDescent="0.2">
      <c r="A849" s="3"/>
    </row>
    <row r="850" spans="1:1" ht="15.75" customHeight="1" x14ac:dyDescent="0.2">
      <c r="A850" s="3"/>
    </row>
    <row r="851" spans="1:1" ht="15.75" customHeight="1" x14ac:dyDescent="0.2">
      <c r="A851" s="3"/>
    </row>
    <row r="852" spans="1:1" ht="15.75" customHeight="1" x14ac:dyDescent="0.2">
      <c r="A852" s="3"/>
    </row>
    <row r="853" spans="1:1" ht="15.75" customHeight="1" x14ac:dyDescent="0.2">
      <c r="A853" s="3"/>
    </row>
    <row r="854" spans="1:1" ht="15.75" customHeight="1" x14ac:dyDescent="0.2">
      <c r="A854" s="3"/>
    </row>
    <row r="855" spans="1:1" ht="15.75" customHeight="1" x14ac:dyDescent="0.2">
      <c r="A855" s="3"/>
    </row>
    <row r="856" spans="1:1" ht="15.75" customHeight="1" x14ac:dyDescent="0.2">
      <c r="A856" s="3"/>
    </row>
    <row r="857" spans="1:1" ht="15.75" customHeight="1" x14ac:dyDescent="0.2">
      <c r="A857" s="3"/>
    </row>
    <row r="858" spans="1:1" ht="15.75" customHeight="1" x14ac:dyDescent="0.2">
      <c r="A858" s="3"/>
    </row>
    <row r="859" spans="1:1" ht="15.75" customHeight="1" x14ac:dyDescent="0.2">
      <c r="A859" s="3"/>
    </row>
    <row r="860" spans="1:1" ht="15.75" customHeight="1" x14ac:dyDescent="0.2">
      <c r="A860" s="3"/>
    </row>
    <row r="861" spans="1:1" ht="15.75" customHeight="1" x14ac:dyDescent="0.2">
      <c r="A861" s="3"/>
    </row>
    <row r="862" spans="1:1" ht="15.75" customHeight="1" x14ac:dyDescent="0.2">
      <c r="A862" s="3"/>
    </row>
    <row r="863" spans="1:1" ht="15.75" customHeight="1" x14ac:dyDescent="0.2">
      <c r="A863" s="3"/>
    </row>
    <row r="864" spans="1:1" ht="15.75" customHeight="1" x14ac:dyDescent="0.2">
      <c r="A864" s="3"/>
    </row>
    <row r="865" spans="1:1" ht="15.75" customHeight="1" x14ac:dyDescent="0.2">
      <c r="A865" s="3"/>
    </row>
    <row r="866" spans="1:1" ht="15.75" customHeight="1" x14ac:dyDescent="0.2">
      <c r="A866" s="3"/>
    </row>
    <row r="867" spans="1:1" ht="15.75" customHeight="1" x14ac:dyDescent="0.2">
      <c r="A867" s="3"/>
    </row>
    <row r="868" spans="1:1" ht="15.75" customHeight="1" x14ac:dyDescent="0.2">
      <c r="A868" s="3"/>
    </row>
    <row r="869" spans="1:1" ht="15.75" customHeight="1" x14ac:dyDescent="0.2">
      <c r="A869" s="3"/>
    </row>
    <row r="870" spans="1:1" ht="15.75" customHeight="1" x14ac:dyDescent="0.2">
      <c r="A870" s="3"/>
    </row>
    <row r="871" spans="1:1" ht="15.75" customHeight="1" x14ac:dyDescent="0.2">
      <c r="A871" s="3"/>
    </row>
    <row r="872" spans="1:1" ht="15.75" customHeight="1" x14ac:dyDescent="0.2">
      <c r="A872" s="3"/>
    </row>
    <row r="873" spans="1:1" ht="15.75" customHeight="1" x14ac:dyDescent="0.2">
      <c r="A873" s="3"/>
    </row>
    <row r="874" spans="1:1" ht="15.75" customHeight="1" x14ac:dyDescent="0.2">
      <c r="A874" s="3"/>
    </row>
    <row r="875" spans="1:1" ht="15.75" customHeight="1" x14ac:dyDescent="0.2">
      <c r="A875" s="3"/>
    </row>
    <row r="876" spans="1:1" ht="15.75" customHeight="1" x14ac:dyDescent="0.2">
      <c r="A876" s="3"/>
    </row>
    <row r="877" spans="1:1" ht="15.75" customHeight="1" x14ac:dyDescent="0.2">
      <c r="A877" s="3"/>
    </row>
    <row r="878" spans="1:1" ht="15.75" customHeight="1" x14ac:dyDescent="0.2">
      <c r="A878" s="3"/>
    </row>
    <row r="879" spans="1:1" ht="15.75" customHeight="1" x14ac:dyDescent="0.2">
      <c r="A879" s="3"/>
    </row>
    <row r="880" spans="1:1" ht="15.75" customHeight="1" x14ac:dyDescent="0.2">
      <c r="A880" s="3"/>
    </row>
    <row r="881" spans="1:1" ht="15.75" customHeight="1" x14ac:dyDescent="0.2">
      <c r="A881" s="3"/>
    </row>
    <row r="882" spans="1:1" ht="15.75" customHeight="1" x14ac:dyDescent="0.2">
      <c r="A882" s="3"/>
    </row>
    <row r="883" spans="1:1" ht="15.75" customHeight="1" x14ac:dyDescent="0.2">
      <c r="A883" s="3"/>
    </row>
    <row r="884" spans="1:1" ht="15.75" customHeight="1" x14ac:dyDescent="0.2">
      <c r="A884" s="3"/>
    </row>
    <row r="885" spans="1:1" ht="15.75" customHeight="1" x14ac:dyDescent="0.2">
      <c r="A885" s="3"/>
    </row>
    <row r="886" spans="1:1" ht="15.75" customHeight="1" x14ac:dyDescent="0.2">
      <c r="A886" s="3"/>
    </row>
    <row r="887" spans="1:1" ht="15.75" customHeight="1" x14ac:dyDescent="0.2">
      <c r="A887" s="3"/>
    </row>
    <row r="888" spans="1:1" ht="15.75" customHeight="1" x14ac:dyDescent="0.2">
      <c r="A888" s="3"/>
    </row>
    <row r="889" spans="1:1" ht="15.75" customHeight="1" x14ac:dyDescent="0.2">
      <c r="A889" s="3"/>
    </row>
    <row r="890" spans="1:1" ht="15.75" customHeight="1" x14ac:dyDescent="0.2">
      <c r="A890" s="3"/>
    </row>
    <row r="891" spans="1:1" ht="15.75" customHeight="1" x14ac:dyDescent="0.2">
      <c r="A891" s="3"/>
    </row>
    <row r="892" spans="1:1" ht="15.75" customHeight="1" x14ac:dyDescent="0.2">
      <c r="A892" s="3"/>
    </row>
    <row r="893" spans="1:1" ht="15.75" customHeight="1" x14ac:dyDescent="0.2">
      <c r="A893" s="3"/>
    </row>
    <row r="894" spans="1:1" ht="15.75" customHeight="1" x14ac:dyDescent="0.2">
      <c r="A894" s="3"/>
    </row>
    <row r="895" spans="1:1" ht="15.75" customHeight="1" x14ac:dyDescent="0.2">
      <c r="A895" s="3"/>
    </row>
    <row r="896" spans="1:1" ht="15.75" customHeight="1" x14ac:dyDescent="0.2">
      <c r="A896" s="3"/>
    </row>
    <row r="897" spans="1:1" ht="15.75" customHeight="1" x14ac:dyDescent="0.2">
      <c r="A897" s="3"/>
    </row>
    <row r="898" spans="1:1" ht="15.75" customHeight="1" x14ac:dyDescent="0.2">
      <c r="A898" s="3"/>
    </row>
    <row r="899" spans="1:1" ht="15.75" customHeight="1" x14ac:dyDescent="0.2">
      <c r="A899" s="3"/>
    </row>
    <row r="900" spans="1:1" ht="15.75" customHeight="1" x14ac:dyDescent="0.2">
      <c r="A900" s="3"/>
    </row>
    <row r="901" spans="1:1" ht="15.75" customHeight="1" x14ac:dyDescent="0.2">
      <c r="A901" s="3"/>
    </row>
    <row r="902" spans="1:1" ht="15.75" customHeight="1" x14ac:dyDescent="0.2">
      <c r="A902" s="3"/>
    </row>
    <row r="903" spans="1:1" ht="15.75" customHeight="1" x14ac:dyDescent="0.2">
      <c r="A903" s="3"/>
    </row>
    <row r="904" spans="1:1" ht="15.75" customHeight="1" x14ac:dyDescent="0.2">
      <c r="A904" s="3"/>
    </row>
    <row r="905" spans="1:1" ht="15.75" customHeight="1" x14ac:dyDescent="0.2">
      <c r="A905" s="3"/>
    </row>
    <row r="906" spans="1:1" ht="15.75" customHeight="1" x14ac:dyDescent="0.2">
      <c r="A906" s="3"/>
    </row>
    <row r="907" spans="1:1" ht="15.75" customHeight="1" x14ac:dyDescent="0.2">
      <c r="A907" s="3"/>
    </row>
    <row r="908" spans="1:1" ht="15.75" customHeight="1" x14ac:dyDescent="0.2">
      <c r="A908" s="3"/>
    </row>
    <row r="909" spans="1:1" ht="15.75" customHeight="1" x14ac:dyDescent="0.2">
      <c r="A909" s="3"/>
    </row>
    <row r="910" spans="1:1" ht="15.75" customHeight="1" x14ac:dyDescent="0.2">
      <c r="A910" s="3"/>
    </row>
    <row r="911" spans="1:1" ht="15.75" customHeight="1" x14ac:dyDescent="0.2">
      <c r="A911" s="3"/>
    </row>
    <row r="912" spans="1:1" ht="15.75" customHeight="1" x14ac:dyDescent="0.2">
      <c r="A912" s="3"/>
    </row>
    <row r="913" spans="1:1" ht="15.75" customHeight="1" x14ac:dyDescent="0.2">
      <c r="A913" s="3"/>
    </row>
    <row r="914" spans="1:1" ht="15.75" customHeight="1" x14ac:dyDescent="0.2">
      <c r="A914" s="3"/>
    </row>
    <row r="915" spans="1:1" ht="15.75" customHeight="1" x14ac:dyDescent="0.2">
      <c r="A915" s="3"/>
    </row>
    <row r="916" spans="1:1" ht="15.75" customHeight="1" x14ac:dyDescent="0.2">
      <c r="A916" s="3"/>
    </row>
    <row r="917" spans="1:1" ht="15.75" customHeight="1" x14ac:dyDescent="0.2">
      <c r="A917" s="3"/>
    </row>
    <row r="918" spans="1:1" ht="15.75" customHeight="1" x14ac:dyDescent="0.2">
      <c r="A918" s="3"/>
    </row>
    <row r="919" spans="1:1" ht="15.75" customHeight="1" x14ac:dyDescent="0.2">
      <c r="A919" s="3"/>
    </row>
    <row r="920" spans="1:1" ht="15.75" customHeight="1" x14ac:dyDescent="0.2">
      <c r="A920" s="3"/>
    </row>
    <row r="921" spans="1:1" ht="15.75" customHeight="1" x14ac:dyDescent="0.2">
      <c r="A921" s="3"/>
    </row>
    <row r="922" spans="1:1" ht="15.75" customHeight="1" x14ac:dyDescent="0.2">
      <c r="A922" s="3"/>
    </row>
    <row r="923" spans="1:1" ht="15.75" customHeight="1" x14ac:dyDescent="0.2">
      <c r="A923" s="3"/>
    </row>
    <row r="924" spans="1:1" ht="15.75" customHeight="1" x14ac:dyDescent="0.2">
      <c r="A924" s="3"/>
    </row>
    <row r="925" spans="1:1" ht="15.75" customHeight="1" x14ac:dyDescent="0.2">
      <c r="A925" s="3"/>
    </row>
    <row r="926" spans="1:1" ht="15.75" customHeight="1" x14ac:dyDescent="0.2">
      <c r="A926" s="3"/>
    </row>
    <row r="927" spans="1:1" ht="15.75" customHeight="1" x14ac:dyDescent="0.2">
      <c r="A927" s="3"/>
    </row>
    <row r="928" spans="1:1" ht="15.75" customHeight="1" x14ac:dyDescent="0.2">
      <c r="A928" s="3"/>
    </row>
    <row r="929" spans="1:1" ht="15.75" customHeight="1" x14ac:dyDescent="0.2">
      <c r="A929" s="3"/>
    </row>
    <row r="930" spans="1:1" ht="15.75" customHeight="1" x14ac:dyDescent="0.2">
      <c r="A930" s="3"/>
    </row>
    <row r="931" spans="1:1" ht="15.75" customHeight="1" x14ac:dyDescent="0.2">
      <c r="A931" s="3"/>
    </row>
    <row r="932" spans="1:1" ht="15.75" customHeight="1" x14ac:dyDescent="0.2">
      <c r="A932" s="3"/>
    </row>
    <row r="933" spans="1:1" ht="15.75" customHeight="1" x14ac:dyDescent="0.2">
      <c r="A933" s="3"/>
    </row>
    <row r="934" spans="1:1" ht="15.75" customHeight="1" x14ac:dyDescent="0.2">
      <c r="A934" s="3"/>
    </row>
    <row r="935" spans="1:1" ht="15.75" customHeight="1" x14ac:dyDescent="0.2">
      <c r="A935" s="3"/>
    </row>
    <row r="936" spans="1:1" ht="15.75" customHeight="1" x14ac:dyDescent="0.2">
      <c r="A936" s="3"/>
    </row>
    <row r="937" spans="1:1" ht="15.75" customHeight="1" x14ac:dyDescent="0.2">
      <c r="A937" s="3"/>
    </row>
    <row r="938" spans="1:1" ht="15.75" customHeight="1" x14ac:dyDescent="0.2">
      <c r="A938" s="3"/>
    </row>
    <row r="939" spans="1:1" ht="15.75" customHeight="1" x14ac:dyDescent="0.2">
      <c r="A939" s="3"/>
    </row>
    <row r="940" spans="1:1" ht="15.75" customHeight="1" x14ac:dyDescent="0.2">
      <c r="A940" s="3"/>
    </row>
    <row r="941" spans="1:1" ht="15.75" customHeight="1" x14ac:dyDescent="0.2">
      <c r="A941" s="3"/>
    </row>
    <row r="942" spans="1:1" ht="15.75" customHeight="1" x14ac:dyDescent="0.2">
      <c r="A942" s="3"/>
    </row>
    <row r="943" spans="1:1" ht="15.75" customHeight="1" x14ac:dyDescent="0.2">
      <c r="A943" s="3"/>
    </row>
    <row r="944" spans="1:1" ht="15.75" customHeight="1" x14ac:dyDescent="0.2">
      <c r="A944" s="3"/>
    </row>
    <row r="945" spans="1:1" ht="15.75" customHeight="1" x14ac:dyDescent="0.2">
      <c r="A945" s="3"/>
    </row>
    <row r="946" spans="1:1" ht="15.75" customHeight="1" x14ac:dyDescent="0.2">
      <c r="A946" s="3"/>
    </row>
    <row r="947" spans="1:1" ht="15.75" customHeight="1" x14ac:dyDescent="0.2">
      <c r="A947" s="3"/>
    </row>
    <row r="948" spans="1:1" ht="15.75" customHeight="1" x14ac:dyDescent="0.2">
      <c r="A948" s="3"/>
    </row>
    <row r="949" spans="1:1" ht="15.75" customHeight="1" x14ac:dyDescent="0.2">
      <c r="A949" s="3"/>
    </row>
    <row r="950" spans="1:1" ht="15.75" customHeight="1" x14ac:dyDescent="0.2">
      <c r="A950" s="3"/>
    </row>
    <row r="951" spans="1:1" ht="15.75" customHeight="1" x14ac:dyDescent="0.2">
      <c r="A951" s="3"/>
    </row>
    <row r="952" spans="1:1" ht="15.75" customHeight="1" x14ac:dyDescent="0.2">
      <c r="A952" s="3"/>
    </row>
    <row r="953" spans="1:1" ht="15.75" customHeight="1" x14ac:dyDescent="0.2">
      <c r="A953" s="3"/>
    </row>
    <row r="954" spans="1:1" ht="15.75" customHeight="1" x14ac:dyDescent="0.2">
      <c r="A954" s="3"/>
    </row>
    <row r="955" spans="1:1" ht="15.75" customHeight="1" x14ac:dyDescent="0.2">
      <c r="A955" s="3"/>
    </row>
    <row r="956" spans="1:1" ht="15.75" customHeight="1" x14ac:dyDescent="0.2">
      <c r="A956" s="3"/>
    </row>
    <row r="957" spans="1:1" ht="15.75" customHeight="1" x14ac:dyDescent="0.2">
      <c r="A957" s="3"/>
    </row>
    <row r="958" spans="1:1" ht="15.75" customHeight="1" x14ac:dyDescent="0.2">
      <c r="A958" s="3"/>
    </row>
    <row r="959" spans="1:1" ht="15.75" customHeight="1" x14ac:dyDescent="0.2">
      <c r="A959" s="3"/>
    </row>
    <row r="960" spans="1:1" ht="15.75" customHeight="1" x14ac:dyDescent="0.2">
      <c r="A960" s="3"/>
    </row>
    <row r="961" spans="1:1" ht="15.75" customHeight="1" x14ac:dyDescent="0.2">
      <c r="A961" s="3"/>
    </row>
    <row r="962" spans="1:1" ht="15.75" customHeight="1" x14ac:dyDescent="0.2">
      <c r="A962" s="3"/>
    </row>
    <row r="963" spans="1:1" ht="15.75" customHeight="1" x14ac:dyDescent="0.2">
      <c r="A963" s="3"/>
    </row>
    <row r="964" spans="1:1" ht="15.75" customHeight="1" x14ac:dyDescent="0.2">
      <c r="A964" s="3"/>
    </row>
    <row r="965" spans="1:1" ht="15.75" customHeight="1" x14ac:dyDescent="0.2">
      <c r="A965" s="3"/>
    </row>
    <row r="966" spans="1:1" ht="15.75" customHeight="1" x14ac:dyDescent="0.2">
      <c r="A966" s="3"/>
    </row>
    <row r="967" spans="1:1" ht="15.75" customHeight="1" x14ac:dyDescent="0.2">
      <c r="A967" s="3"/>
    </row>
    <row r="968" spans="1:1" ht="15.75" customHeight="1" x14ac:dyDescent="0.2">
      <c r="A968" s="3"/>
    </row>
    <row r="969" spans="1:1" ht="15.75" customHeight="1" x14ac:dyDescent="0.2">
      <c r="A969" s="3"/>
    </row>
    <row r="970" spans="1:1" ht="15.75" customHeight="1" x14ac:dyDescent="0.2">
      <c r="A970" s="3"/>
    </row>
    <row r="971" spans="1:1" ht="15.75" customHeight="1" x14ac:dyDescent="0.2">
      <c r="A971" s="3"/>
    </row>
    <row r="972" spans="1:1" ht="15.75" customHeight="1" x14ac:dyDescent="0.2">
      <c r="A972" s="3"/>
    </row>
    <row r="973" spans="1:1" ht="15.75" customHeight="1" x14ac:dyDescent="0.2">
      <c r="A973" s="3"/>
    </row>
    <row r="974" spans="1:1" ht="15.75" customHeight="1" x14ac:dyDescent="0.2">
      <c r="A974" s="3"/>
    </row>
    <row r="975" spans="1:1" ht="15.75" customHeight="1" x14ac:dyDescent="0.2">
      <c r="A975" s="3"/>
    </row>
    <row r="976" spans="1:1" ht="15.75" customHeight="1" x14ac:dyDescent="0.2">
      <c r="A976" s="3"/>
    </row>
    <row r="977" spans="1:1" ht="15.75" customHeight="1" x14ac:dyDescent="0.2">
      <c r="A977" s="3"/>
    </row>
    <row r="978" spans="1:1" ht="15.75" customHeight="1" x14ac:dyDescent="0.2">
      <c r="A978" s="3"/>
    </row>
    <row r="979" spans="1:1" ht="15.75" customHeight="1" x14ac:dyDescent="0.2">
      <c r="A979" s="3"/>
    </row>
    <row r="980" spans="1:1" ht="15.75" customHeight="1" x14ac:dyDescent="0.2">
      <c r="A980" s="3"/>
    </row>
    <row r="981" spans="1:1" ht="15.75" customHeight="1" x14ac:dyDescent="0.2">
      <c r="A981" s="3"/>
    </row>
    <row r="982" spans="1:1" ht="15.75" customHeight="1" x14ac:dyDescent="0.2">
      <c r="A982" s="3"/>
    </row>
    <row r="983" spans="1:1" ht="15.75" customHeight="1" x14ac:dyDescent="0.2">
      <c r="A983" s="3"/>
    </row>
    <row r="984" spans="1:1" ht="15.75" customHeight="1" x14ac:dyDescent="0.2">
      <c r="A984" s="3"/>
    </row>
    <row r="985" spans="1:1" ht="15.75" customHeight="1" x14ac:dyDescent="0.2">
      <c r="A985" s="3"/>
    </row>
    <row r="986" spans="1:1" ht="15.75" customHeight="1" x14ac:dyDescent="0.2">
      <c r="A986" s="3"/>
    </row>
    <row r="987" spans="1:1" ht="15.75" customHeight="1" x14ac:dyDescent="0.2">
      <c r="A987" s="3"/>
    </row>
    <row r="988" spans="1:1" ht="15.75" customHeight="1" x14ac:dyDescent="0.2">
      <c r="A988" s="3"/>
    </row>
    <row r="989" spans="1:1" ht="15.75" customHeight="1" x14ac:dyDescent="0.2">
      <c r="A989" s="3"/>
    </row>
    <row r="990" spans="1:1" ht="15.75" customHeight="1" x14ac:dyDescent="0.2">
      <c r="A990" s="3"/>
    </row>
    <row r="991" spans="1:1" ht="15.75" customHeight="1" x14ac:dyDescent="0.2">
      <c r="A991" s="3"/>
    </row>
    <row r="992" spans="1:1" ht="15.75" customHeight="1" x14ac:dyDescent="0.2">
      <c r="A992" s="3"/>
    </row>
    <row r="993" spans="1:1" ht="15.75" customHeight="1" x14ac:dyDescent="0.2">
      <c r="A993" s="3"/>
    </row>
    <row r="994" spans="1:1" ht="15.75" customHeight="1" x14ac:dyDescent="0.2">
      <c r="A994" s="3"/>
    </row>
    <row r="995" spans="1:1" ht="15.75" customHeight="1" x14ac:dyDescent="0.2">
      <c r="A995" s="3"/>
    </row>
    <row r="996" spans="1:1" ht="15.75" customHeight="1" x14ac:dyDescent="0.2">
      <c r="A996" s="3"/>
    </row>
    <row r="997" spans="1:1" ht="15.75" customHeight="1" x14ac:dyDescent="0.2">
      <c r="A997" s="3"/>
    </row>
    <row r="998" spans="1:1" ht="15.75" customHeight="1" x14ac:dyDescent="0.2">
      <c r="A998" s="3"/>
    </row>
    <row r="999" spans="1:1" ht="15.75" customHeight="1" x14ac:dyDescent="0.2">
      <c r="A999" s="3"/>
    </row>
    <row r="1000" spans="1:1" ht="15.75" customHeight="1" x14ac:dyDescent="0.2">
      <c r="A1000"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election activeCell="B33" sqref="B33"/>
    </sheetView>
  </sheetViews>
  <sheetFormatPr baseColWidth="10" defaultColWidth="14.5" defaultRowHeight="15" customHeight="1" x14ac:dyDescent="0.2"/>
  <cols>
    <col min="1" max="1" width="17" customWidth="1"/>
    <col min="2" max="2" width="161" customWidth="1"/>
    <col min="3" max="26" width="9.1640625" customWidth="1"/>
  </cols>
  <sheetData>
    <row r="1" spans="1:26" x14ac:dyDescent="0.2">
      <c r="A1" s="6" t="s">
        <v>45</v>
      </c>
      <c r="B1" s="3"/>
      <c r="C1" s="3"/>
      <c r="D1" s="3"/>
      <c r="E1" s="3"/>
      <c r="F1" s="3"/>
      <c r="G1" s="3"/>
      <c r="H1" s="3"/>
      <c r="I1" s="3"/>
      <c r="J1" s="3"/>
      <c r="K1" s="3"/>
      <c r="L1" s="3"/>
      <c r="M1" s="3"/>
      <c r="N1" s="3"/>
      <c r="O1" s="3"/>
      <c r="P1" s="3"/>
      <c r="Q1" s="3"/>
      <c r="R1" s="3"/>
      <c r="S1" s="3"/>
      <c r="T1" s="3"/>
      <c r="U1" s="3"/>
      <c r="V1" s="3"/>
      <c r="W1" s="3"/>
      <c r="X1" s="3"/>
      <c r="Y1" s="3"/>
      <c r="Z1" s="3"/>
    </row>
    <row r="2" spans="1:26" x14ac:dyDescent="0.2">
      <c r="A2" s="3"/>
      <c r="B2" s="3"/>
      <c r="C2" s="3"/>
      <c r="D2" s="3"/>
      <c r="E2" s="3"/>
      <c r="F2" s="3"/>
      <c r="G2" s="3"/>
      <c r="H2" s="3"/>
      <c r="I2" s="3"/>
      <c r="J2" s="3"/>
      <c r="K2" s="3"/>
      <c r="L2" s="3"/>
      <c r="M2" s="3"/>
      <c r="N2" s="3"/>
      <c r="O2" s="3"/>
      <c r="P2" s="3"/>
      <c r="Q2" s="3"/>
      <c r="R2" s="3"/>
      <c r="S2" s="3"/>
      <c r="T2" s="3"/>
      <c r="U2" s="3"/>
      <c r="V2" s="3"/>
      <c r="W2" s="3"/>
      <c r="X2" s="3"/>
      <c r="Y2" s="3"/>
      <c r="Z2" s="3"/>
    </row>
    <row r="3" spans="1:26" ht="16" x14ac:dyDescent="0.2">
      <c r="A3" s="4" t="s">
        <v>46</v>
      </c>
      <c r="B3" s="4" t="s">
        <v>47</v>
      </c>
      <c r="C3" s="3"/>
      <c r="D3" s="3"/>
      <c r="E3" s="3"/>
      <c r="F3" s="3"/>
      <c r="G3" s="3"/>
      <c r="H3" s="3"/>
      <c r="I3" s="3"/>
      <c r="J3" s="3"/>
      <c r="K3" s="3"/>
      <c r="L3" s="3"/>
      <c r="M3" s="3"/>
      <c r="N3" s="3"/>
      <c r="O3" s="3"/>
      <c r="P3" s="3"/>
      <c r="Q3" s="3"/>
      <c r="R3" s="3"/>
      <c r="S3" s="3"/>
      <c r="T3" s="3"/>
      <c r="U3" s="3"/>
      <c r="V3" s="3"/>
      <c r="W3" s="3"/>
      <c r="X3" s="3"/>
      <c r="Y3" s="3"/>
      <c r="Z3" s="3"/>
    </row>
    <row r="4" spans="1:26" ht="16" x14ac:dyDescent="0.2">
      <c r="A4" s="3" t="s">
        <v>48</v>
      </c>
      <c r="B4" s="3" t="s">
        <v>49</v>
      </c>
      <c r="C4" s="3"/>
      <c r="D4" s="3"/>
      <c r="E4" s="3"/>
      <c r="F4" s="3"/>
      <c r="G4" s="3"/>
      <c r="H4" s="3"/>
      <c r="I4" s="3"/>
      <c r="J4" s="3"/>
      <c r="K4" s="3"/>
      <c r="L4" s="3"/>
      <c r="M4" s="3"/>
      <c r="N4" s="3"/>
      <c r="O4" s="3"/>
      <c r="P4" s="3"/>
      <c r="Q4" s="3"/>
      <c r="R4" s="3"/>
      <c r="S4" s="3"/>
      <c r="T4" s="3"/>
      <c r="U4" s="3"/>
      <c r="V4" s="3"/>
      <c r="W4" s="3"/>
      <c r="X4" s="3"/>
      <c r="Y4" s="3"/>
      <c r="Z4" s="3"/>
    </row>
    <row r="5" spans="1:26" ht="16" x14ac:dyDescent="0.2">
      <c r="A5" s="3" t="s">
        <v>50</v>
      </c>
      <c r="B5" s="3" t="s">
        <v>51</v>
      </c>
      <c r="C5" s="3"/>
      <c r="D5" s="3"/>
      <c r="E5" s="3"/>
      <c r="F5" s="3"/>
      <c r="G5" s="3"/>
      <c r="H5" s="3"/>
      <c r="I5" s="3"/>
      <c r="J5" s="3"/>
      <c r="K5" s="3"/>
      <c r="L5" s="3"/>
      <c r="M5" s="3"/>
      <c r="N5" s="3"/>
      <c r="O5" s="3"/>
      <c r="P5" s="3"/>
      <c r="Q5" s="3"/>
      <c r="R5" s="3"/>
      <c r="S5" s="3"/>
      <c r="T5" s="3"/>
      <c r="U5" s="3"/>
      <c r="V5" s="3"/>
      <c r="W5" s="3"/>
      <c r="X5" s="3"/>
      <c r="Y5" s="3"/>
      <c r="Z5" s="3"/>
    </row>
    <row r="6" spans="1:26" ht="16" x14ac:dyDescent="0.2">
      <c r="A6" s="3" t="s">
        <v>52</v>
      </c>
      <c r="B6" s="3" t="s">
        <v>53</v>
      </c>
      <c r="C6" s="3"/>
      <c r="D6" s="3"/>
      <c r="E6" s="3"/>
      <c r="F6" s="3"/>
      <c r="G6" s="3"/>
      <c r="H6" s="3"/>
      <c r="I6" s="3"/>
      <c r="J6" s="3"/>
      <c r="K6" s="3"/>
      <c r="L6" s="3"/>
      <c r="M6" s="3"/>
      <c r="N6" s="3"/>
      <c r="O6" s="3"/>
      <c r="P6" s="3"/>
      <c r="Q6" s="3"/>
      <c r="R6" s="3"/>
      <c r="S6" s="3"/>
      <c r="T6" s="3"/>
      <c r="U6" s="3"/>
      <c r="V6" s="3"/>
      <c r="W6" s="3"/>
      <c r="X6" s="3"/>
      <c r="Y6" s="3"/>
      <c r="Z6" s="3"/>
    </row>
    <row r="7" spans="1:26" ht="32" x14ac:dyDescent="0.2">
      <c r="A7" s="3" t="s">
        <v>54</v>
      </c>
      <c r="B7" s="3" t="s">
        <v>55</v>
      </c>
      <c r="C7" s="3"/>
      <c r="D7" s="3"/>
      <c r="E7" s="3"/>
      <c r="F7" s="3"/>
      <c r="G7" s="3"/>
      <c r="H7" s="3"/>
      <c r="I7" s="3"/>
      <c r="J7" s="3"/>
      <c r="K7" s="3"/>
      <c r="L7" s="3"/>
      <c r="M7" s="3"/>
      <c r="N7" s="3"/>
      <c r="O7" s="3"/>
      <c r="P7" s="3"/>
      <c r="Q7" s="3"/>
      <c r="R7" s="3"/>
      <c r="S7" s="3"/>
      <c r="T7" s="3"/>
      <c r="U7" s="3"/>
      <c r="V7" s="3"/>
      <c r="W7" s="3"/>
      <c r="X7" s="3"/>
      <c r="Y7" s="3"/>
      <c r="Z7" s="3"/>
    </row>
    <row r="8" spans="1:26" ht="32" x14ac:dyDescent="0.2">
      <c r="A8" s="3" t="s">
        <v>56</v>
      </c>
      <c r="B8" s="3" t="s">
        <v>57</v>
      </c>
      <c r="C8" s="3"/>
      <c r="D8" s="3"/>
      <c r="E8" s="3"/>
      <c r="F8" s="3"/>
      <c r="G8" s="3"/>
      <c r="H8" s="3"/>
      <c r="I8" s="3"/>
      <c r="J8" s="3"/>
      <c r="K8" s="3"/>
      <c r="L8" s="3"/>
      <c r="M8" s="3"/>
      <c r="N8" s="3"/>
      <c r="O8" s="3"/>
      <c r="P8" s="3"/>
      <c r="Q8" s="3"/>
      <c r="R8" s="3"/>
      <c r="S8" s="3"/>
      <c r="T8" s="3"/>
      <c r="U8" s="3"/>
      <c r="V8" s="3"/>
      <c r="W8" s="3"/>
      <c r="X8" s="3"/>
      <c r="Y8" s="3"/>
      <c r="Z8" s="3"/>
    </row>
    <row r="9" spans="1:26" ht="32" x14ac:dyDescent="0.2">
      <c r="A9" s="3" t="s">
        <v>58</v>
      </c>
      <c r="B9" s="3" t="s">
        <v>59</v>
      </c>
      <c r="C9" s="3"/>
      <c r="D9" s="3"/>
      <c r="E9" s="3"/>
      <c r="F9" s="3"/>
      <c r="G9" s="3"/>
      <c r="H9" s="3"/>
      <c r="I9" s="3"/>
      <c r="J9" s="3"/>
      <c r="K9" s="3"/>
      <c r="L9" s="3"/>
      <c r="M9" s="3"/>
      <c r="N9" s="3"/>
      <c r="O9" s="3"/>
      <c r="P9" s="3"/>
      <c r="Q9" s="3"/>
      <c r="R9" s="3"/>
      <c r="S9" s="3"/>
      <c r="T9" s="3"/>
      <c r="U9" s="3"/>
      <c r="V9" s="3"/>
      <c r="W9" s="3"/>
      <c r="X9" s="3"/>
      <c r="Y9" s="3"/>
      <c r="Z9" s="3"/>
    </row>
    <row r="10" spans="1:26" ht="16" x14ac:dyDescent="0.2">
      <c r="A10" s="3" t="s">
        <v>60</v>
      </c>
      <c r="B10" s="3" t="s">
        <v>61</v>
      </c>
      <c r="C10" s="3"/>
      <c r="D10" s="3"/>
      <c r="E10" s="3"/>
      <c r="F10" s="3"/>
      <c r="G10" s="3"/>
      <c r="H10" s="3"/>
      <c r="I10" s="3"/>
      <c r="J10" s="3"/>
      <c r="K10" s="3"/>
      <c r="L10" s="3"/>
      <c r="M10" s="3"/>
      <c r="N10" s="3"/>
      <c r="O10" s="3"/>
      <c r="P10" s="3"/>
      <c r="Q10" s="3"/>
      <c r="R10" s="3"/>
      <c r="S10" s="3"/>
      <c r="T10" s="3"/>
      <c r="U10" s="3"/>
      <c r="V10" s="3"/>
      <c r="W10" s="3"/>
      <c r="X10" s="3"/>
      <c r="Y10" s="3"/>
      <c r="Z10" s="3"/>
    </row>
    <row r="11" spans="1:26" ht="16" x14ac:dyDescent="0.2">
      <c r="A11" s="3" t="s">
        <v>62</v>
      </c>
      <c r="B11" s="3" t="s">
        <v>63</v>
      </c>
      <c r="C11" s="3"/>
      <c r="D11" s="3"/>
      <c r="E11" s="3"/>
      <c r="F11" s="3"/>
      <c r="G11" s="3"/>
      <c r="H11" s="3"/>
      <c r="I11" s="3"/>
      <c r="J11" s="3"/>
      <c r="K11" s="3"/>
      <c r="L11" s="3"/>
      <c r="M11" s="3"/>
      <c r="N11" s="3"/>
      <c r="O11" s="3"/>
      <c r="P11" s="3"/>
      <c r="Q11" s="3"/>
      <c r="R11" s="3"/>
      <c r="S11" s="3"/>
      <c r="T11" s="3"/>
      <c r="U11" s="3"/>
      <c r="V11" s="3"/>
      <c r="W11" s="3"/>
      <c r="X11" s="3"/>
      <c r="Y11" s="3"/>
      <c r="Z11" s="3"/>
    </row>
    <row r="12" spans="1:26" ht="16" x14ac:dyDescent="0.2">
      <c r="A12" s="3" t="s">
        <v>64</v>
      </c>
      <c r="B12" s="3" t="s">
        <v>65</v>
      </c>
      <c r="C12" s="3"/>
      <c r="D12" s="3"/>
      <c r="E12" s="3"/>
      <c r="F12" s="3"/>
      <c r="G12" s="3"/>
      <c r="H12" s="3"/>
      <c r="I12" s="3"/>
      <c r="J12" s="3"/>
      <c r="K12" s="3"/>
      <c r="L12" s="3"/>
      <c r="M12" s="3"/>
      <c r="N12" s="3"/>
      <c r="O12" s="3"/>
      <c r="P12" s="3"/>
      <c r="Q12" s="3"/>
      <c r="R12" s="3"/>
      <c r="S12" s="3"/>
      <c r="T12" s="3"/>
      <c r="U12" s="3"/>
      <c r="V12" s="3"/>
      <c r="W12" s="3"/>
      <c r="X12" s="3"/>
      <c r="Y12" s="3"/>
      <c r="Z12" s="3"/>
    </row>
    <row r="13" spans="1:26" ht="16" x14ac:dyDescent="0.2">
      <c r="A13" s="3" t="s">
        <v>66</v>
      </c>
      <c r="B13" s="3" t="s">
        <v>67</v>
      </c>
      <c r="C13" s="3"/>
      <c r="D13" s="3"/>
      <c r="E13" s="3"/>
      <c r="F13" s="3"/>
      <c r="G13" s="3"/>
      <c r="H13" s="3"/>
      <c r="I13" s="3"/>
      <c r="J13" s="3"/>
      <c r="K13" s="3"/>
      <c r="L13" s="3"/>
      <c r="M13" s="3"/>
      <c r="N13" s="3"/>
      <c r="O13" s="3"/>
      <c r="P13" s="3"/>
      <c r="Q13" s="3"/>
      <c r="R13" s="3"/>
      <c r="S13" s="3"/>
      <c r="T13" s="3"/>
      <c r="U13" s="3"/>
      <c r="V13" s="3"/>
      <c r="W13" s="3"/>
      <c r="X13" s="3"/>
      <c r="Y13" s="3"/>
      <c r="Z13" s="3"/>
    </row>
    <row r="14" spans="1:26" ht="16" x14ac:dyDescent="0.2">
      <c r="A14" s="3" t="s">
        <v>68</v>
      </c>
      <c r="B14" s="3" t="s">
        <v>69</v>
      </c>
      <c r="C14" s="3"/>
      <c r="D14" s="3"/>
      <c r="E14" s="3"/>
      <c r="F14" s="3"/>
      <c r="G14" s="3"/>
      <c r="H14" s="3"/>
      <c r="I14" s="3"/>
      <c r="J14" s="3"/>
      <c r="K14" s="3"/>
      <c r="L14" s="3"/>
      <c r="M14" s="3"/>
      <c r="N14" s="3"/>
      <c r="O14" s="3"/>
      <c r="P14" s="3"/>
      <c r="Q14" s="3"/>
      <c r="R14" s="3"/>
      <c r="S14" s="3"/>
      <c r="T14" s="3"/>
      <c r="U14" s="3"/>
      <c r="V14" s="3"/>
      <c r="W14" s="3"/>
      <c r="X14" s="3"/>
      <c r="Y14" s="3"/>
      <c r="Z14" s="3"/>
    </row>
    <row r="15" spans="1:26" ht="16" x14ac:dyDescent="0.2">
      <c r="A15" s="3" t="s">
        <v>70</v>
      </c>
      <c r="B15" s="3" t="s">
        <v>71</v>
      </c>
      <c r="C15" s="3"/>
      <c r="D15" s="3"/>
      <c r="E15" s="3"/>
      <c r="F15" s="3"/>
      <c r="G15" s="3"/>
      <c r="H15" s="3"/>
      <c r="I15" s="3"/>
      <c r="J15" s="3"/>
      <c r="K15" s="3"/>
      <c r="L15" s="3"/>
      <c r="M15" s="3"/>
      <c r="N15" s="3"/>
      <c r="O15" s="3"/>
      <c r="P15" s="3"/>
      <c r="Q15" s="3"/>
      <c r="R15" s="3"/>
      <c r="S15" s="3"/>
      <c r="T15" s="3"/>
      <c r="U15" s="3"/>
      <c r="V15" s="3"/>
      <c r="W15" s="3"/>
      <c r="X15" s="3"/>
      <c r="Y15" s="3"/>
      <c r="Z15" s="3"/>
    </row>
    <row r="16" spans="1:26" ht="16" x14ac:dyDescent="0.2">
      <c r="A16" s="3" t="s">
        <v>72</v>
      </c>
      <c r="B16" s="3" t="s">
        <v>73</v>
      </c>
      <c r="C16" s="3"/>
      <c r="D16" s="3"/>
      <c r="E16" s="3"/>
      <c r="F16" s="3"/>
      <c r="G16" s="3"/>
      <c r="H16" s="3"/>
      <c r="I16" s="3"/>
      <c r="J16" s="3"/>
      <c r="K16" s="3"/>
      <c r="L16" s="3"/>
      <c r="M16" s="3"/>
      <c r="N16" s="3"/>
      <c r="O16" s="3"/>
      <c r="P16" s="3"/>
      <c r="Q16" s="3"/>
      <c r="R16" s="3"/>
      <c r="S16" s="3"/>
      <c r="T16" s="3"/>
      <c r="U16" s="3"/>
      <c r="V16" s="3"/>
      <c r="W16" s="3"/>
      <c r="X16" s="3"/>
      <c r="Y16" s="3"/>
      <c r="Z16" s="3"/>
    </row>
    <row r="17" spans="1:26" ht="16" x14ac:dyDescent="0.2">
      <c r="A17" s="3" t="s">
        <v>74</v>
      </c>
      <c r="B17" s="3" t="s">
        <v>75</v>
      </c>
      <c r="C17" s="3"/>
      <c r="D17" s="3"/>
      <c r="E17" s="3"/>
      <c r="F17" s="3"/>
      <c r="G17" s="3"/>
      <c r="H17" s="3"/>
      <c r="I17" s="3"/>
      <c r="J17" s="3"/>
      <c r="K17" s="3"/>
      <c r="L17" s="3"/>
      <c r="M17" s="3"/>
      <c r="N17" s="3"/>
      <c r="O17" s="3"/>
      <c r="P17" s="3"/>
      <c r="Q17" s="3"/>
      <c r="R17" s="3"/>
      <c r="S17" s="3"/>
      <c r="T17" s="3"/>
      <c r="U17" s="3"/>
      <c r="V17" s="3"/>
      <c r="W17" s="3"/>
      <c r="X17" s="3"/>
      <c r="Y17" s="3"/>
      <c r="Z17" s="3"/>
    </row>
    <row r="18" spans="1:26" ht="32" x14ac:dyDescent="0.2">
      <c r="A18" s="3" t="s">
        <v>76</v>
      </c>
      <c r="B18" s="3" t="s">
        <v>77</v>
      </c>
      <c r="C18" s="3"/>
      <c r="D18" s="3"/>
      <c r="E18" s="3"/>
      <c r="F18" s="3"/>
      <c r="G18" s="3"/>
      <c r="H18" s="3"/>
      <c r="I18" s="3"/>
      <c r="J18" s="3"/>
      <c r="K18" s="3"/>
      <c r="L18" s="3"/>
      <c r="M18" s="3"/>
      <c r="N18" s="3"/>
      <c r="O18" s="3"/>
      <c r="P18" s="3"/>
      <c r="Q18" s="3"/>
      <c r="R18" s="3"/>
      <c r="S18" s="3"/>
      <c r="T18" s="3"/>
      <c r="U18" s="3"/>
      <c r="V18" s="3"/>
      <c r="W18" s="3"/>
      <c r="X18" s="3"/>
      <c r="Y18" s="3"/>
      <c r="Z18" s="3"/>
    </row>
    <row r="19" spans="1:26" ht="16" x14ac:dyDescent="0.2">
      <c r="A19" s="3" t="s">
        <v>78</v>
      </c>
      <c r="B19" s="3" t="s">
        <v>79</v>
      </c>
      <c r="C19" s="3"/>
      <c r="D19" s="3"/>
      <c r="E19" s="3"/>
      <c r="F19" s="3"/>
      <c r="G19" s="3"/>
      <c r="H19" s="3"/>
      <c r="I19" s="3"/>
      <c r="J19" s="3"/>
      <c r="K19" s="3"/>
      <c r="L19" s="3"/>
      <c r="M19" s="3"/>
      <c r="N19" s="3"/>
      <c r="O19" s="3"/>
      <c r="P19" s="3"/>
      <c r="Q19" s="3"/>
      <c r="R19" s="3"/>
      <c r="S19" s="3"/>
      <c r="T19" s="3"/>
      <c r="U19" s="3"/>
      <c r="V19" s="3"/>
      <c r="W19" s="3"/>
      <c r="X19" s="3"/>
      <c r="Y19" s="3"/>
      <c r="Z19" s="3"/>
    </row>
    <row r="20" spans="1:26" ht="16" x14ac:dyDescent="0.2">
      <c r="A20" s="3" t="s">
        <v>80</v>
      </c>
      <c r="B20" s="3" t="s">
        <v>81</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
      <c r="A21" s="3" t="s">
        <v>70</v>
      </c>
      <c r="B21" s="3" t="s">
        <v>82</v>
      </c>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
      <c r="A22" s="3" t="s">
        <v>83</v>
      </c>
      <c r="B22" s="3" t="s">
        <v>84</v>
      </c>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
      <c r="A23" s="3" t="s">
        <v>85</v>
      </c>
      <c r="B23" s="3" t="s">
        <v>86</v>
      </c>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
      <c r="A24" s="3" t="s">
        <v>1872</v>
      </c>
      <c r="B24" s="3" t="s">
        <v>1873</v>
      </c>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
      <c r="A25" s="3" t="s">
        <v>87</v>
      </c>
      <c r="B25" s="3" t="s">
        <v>88</v>
      </c>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
      <c r="A26" s="3" t="s">
        <v>89</v>
      </c>
      <c r="B26" s="3" t="s">
        <v>90</v>
      </c>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
      <c r="A27" s="3" t="s">
        <v>91</v>
      </c>
      <c r="B27" s="3" t="s">
        <v>92</v>
      </c>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
      <c r="A28" s="3" t="s">
        <v>93</v>
      </c>
      <c r="B28" s="3" t="s">
        <v>94</v>
      </c>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
      <c r="A29" s="3" t="s">
        <v>95</v>
      </c>
      <c r="B29" s="3" t="s">
        <v>96</v>
      </c>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
      <c r="A30" s="3" t="s">
        <v>97</v>
      </c>
      <c r="B30" s="3" t="s">
        <v>98</v>
      </c>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
      <c r="A31" s="3" t="s">
        <v>99</v>
      </c>
      <c r="B31" s="3" t="s">
        <v>100</v>
      </c>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t="s">
        <v>101</v>
      </c>
      <c r="B32" s="3" t="s">
        <v>102</v>
      </c>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t="s">
        <v>103</v>
      </c>
      <c r="B33" s="3" t="s">
        <v>104</v>
      </c>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t="s">
        <v>105</v>
      </c>
      <c r="B34" s="3" t="s">
        <v>1628</v>
      </c>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t="s">
        <v>106</v>
      </c>
      <c r="B35" s="3" t="s">
        <v>107</v>
      </c>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t="s">
        <v>108</v>
      </c>
      <c r="B36" s="3" t="s">
        <v>109</v>
      </c>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t="s">
        <v>110</v>
      </c>
      <c r="B37" s="3" t="s">
        <v>111</v>
      </c>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7" t="s">
        <v>112</v>
      </c>
      <c r="B38" s="3" t="s">
        <v>113</v>
      </c>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7" t="s">
        <v>114</v>
      </c>
      <c r="B39" s="3" t="s">
        <v>115</v>
      </c>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7" t="s">
        <v>116</v>
      </c>
      <c r="B40" s="3" t="s">
        <v>117</v>
      </c>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808"/>
  <sheetViews>
    <sheetView tabSelected="1" zoomScale="150" zoomScaleNormal="150" workbookViewId="0">
      <pane xSplit="8" ySplit="1" topLeftCell="I2" activePane="bottomRight" state="frozenSplit"/>
      <selection pane="topRight" activeCell="I1" sqref="I1"/>
      <selection pane="bottomLeft" activeCell="A2" sqref="A2"/>
      <selection pane="bottomRight" activeCell="I8" sqref="I8"/>
    </sheetView>
  </sheetViews>
  <sheetFormatPr baseColWidth="10" defaultColWidth="14.5" defaultRowHeight="15" customHeight="1" x14ac:dyDescent="0.2"/>
  <cols>
    <col min="1" max="1" width="6.5" style="313" customWidth="1"/>
    <col min="2" max="3" width="10.5" customWidth="1"/>
    <col min="4" max="4" width="9.33203125" customWidth="1"/>
    <col min="5" max="5" width="6.6640625" style="347" customWidth="1"/>
    <col min="6" max="6" width="6.6640625" customWidth="1"/>
    <col min="7" max="7" width="6.5" customWidth="1"/>
    <col min="8" max="8" width="5.6640625" style="388" customWidth="1"/>
    <col min="9" max="22" width="5.6640625" customWidth="1"/>
    <col min="23" max="23" width="5.6640625" hidden="1" customWidth="1"/>
    <col min="24" max="25" width="5.6640625" customWidth="1"/>
    <col min="26" max="26" width="7.83203125" customWidth="1"/>
    <col min="27" max="27" width="6.1640625" customWidth="1"/>
    <col min="28" max="29" width="7.83203125" customWidth="1"/>
    <col min="30" max="32" width="7.1640625" customWidth="1"/>
    <col min="33" max="33" width="8" customWidth="1"/>
    <col min="34" max="36" width="6.6640625" customWidth="1"/>
    <col min="37" max="37" width="14.83203125" customWidth="1"/>
    <col min="38" max="40" width="11.83203125" customWidth="1"/>
  </cols>
  <sheetData>
    <row r="1" spans="1:65" ht="16" thickBot="1" x14ac:dyDescent="0.25">
      <c r="A1" s="276" t="s">
        <v>1771</v>
      </c>
      <c r="B1" s="9" t="s">
        <v>50</v>
      </c>
      <c r="C1" s="9" t="s">
        <v>52</v>
      </c>
      <c r="D1" s="8" t="s">
        <v>54</v>
      </c>
      <c r="E1" s="328" t="s">
        <v>2442</v>
      </c>
      <c r="F1" s="8" t="s">
        <v>58</v>
      </c>
      <c r="G1" s="8" t="s">
        <v>62</v>
      </c>
      <c r="H1" s="328" t="s">
        <v>60</v>
      </c>
      <c r="I1" s="8" t="s">
        <v>64</v>
      </c>
      <c r="J1" s="8" t="s">
        <v>66</v>
      </c>
      <c r="K1" s="8" t="s">
        <v>68</v>
      </c>
      <c r="L1" s="8" t="s">
        <v>74</v>
      </c>
      <c r="M1" s="8" t="s">
        <v>72</v>
      </c>
      <c r="N1" s="8" t="s">
        <v>76</v>
      </c>
      <c r="O1" s="8" t="s">
        <v>78</v>
      </c>
      <c r="P1" s="8" t="s">
        <v>80</v>
      </c>
      <c r="Q1" s="8" t="s">
        <v>118</v>
      </c>
      <c r="R1" s="8" t="s">
        <v>70</v>
      </c>
      <c r="S1" s="8" t="s">
        <v>83</v>
      </c>
      <c r="T1" s="8" t="s">
        <v>85</v>
      </c>
      <c r="U1" s="8" t="s">
        <v>1872</v>
      </c>
      <c r="V1" s="8" t="s">
        <v>87</v>
      </c>
      <c r="W1" s="10" t="s">
        <v>89</v>
      </c>
      <c r="X1" s="8" t="s">
        <v>91</v>
      </c>
      <c r="Y1" s="8" t="s">
        <v>93</v>
      </c>
      <c r="Z1" s="8" t="s">
        <v>119</v>
      </c>
      <c r="AA1" s="8" t="s">
        <v>97</v>
      </c>
      <c r="AB1" s="11" t="s">
        <v>99</v>
      </c>
      <c r="AC1" s="11" t="s">
        <v>1915</v>
      </c>
      <c r="AD1" s="12" t="s">
        <v>101</v>
      </c>
      <c r="AE1" s="12" t="s">
        <v>103</v>
      </c>
      <c r="AF1" s="12" t="s">
        <v>105</v>
      </c>
      <c r="AG1" s="12" t="s">
        <v>106</v>
      </c>
      <c r="AH1" s="8" t="s">
        <v>120</v>
      </c>
      <c r="AI1" s="8" t="s">
        <v>121</v>
      </c>
      <c r="AJ1" s="8" t="s">
        <v>122</v>
      </c>
      <c r="AK1" s="8" t="s">
        <v>110</v>
      </c>
      <c r="AL1" s="8" t="s">
        <v>112</v>
      </c>
      <c r="AM1" s="8" t="s">
        <v>114</v>
      </c>
      <c r="AN1" s="8" t="s">
        <v>116</v>
      </c>
    </row>
    <row r="2" spans="1:65" ht="15.75" customHeight="1" thickTop="1" x14ac:dyDescent="0.2">
      <c r="A2" s="277" t="s">
        <v>133</v>
      </c>
      <c r="B2" s="244">
        <v>46119</v>
      </c>
      <c r="C2" s="244">
        <v>46122</v>
      </c>
      <c r="D2" s="243" t="s">
        <v>1975</v>
      </c>
      <c r="E2" s="399">
        <v>0</v>
      </c>
      <c r="F2" s="243" t="s">
        <v>1326</v>
      </c>
      <c r="G2" s="245" t="s">
        <v>1025</v>
      </c>
      <c r="H2" s="348">
        <v>1000</v>
      </c>
      <c r="I2" s="246">
        <v>41.1</v>
      </c>
      <c r="J2" s="246"/>
      <c r="K2" s="246"/>
      <c r="L2" s="246"/>
      <c r="M2" s="246">
        <v>1.7</v>
      </c>
      <c r="N2" s="246"/>
      <c r="O2" s="246"/>
      <c r="P2" s="246"/>
      <c r="Q2" s="246"/>
      <c r="R2" s="247"/>
      <c r="S2" s="246"/>
      <c r="T2" s="246"/>
      <c r="U2" s="246"/>
      <c r="V2" s="246">
        <v>2.2999999999999998</v>
      </c>
      <c r="W2" s="246"/>
      <c r="X2" s="246">
        <v>4.2</v>
      </c>
      <c r="Y2" s="246">
        <v>50.8</v>
      </c>
      <c r="Z2" s="246"/>
      <c r="AA2" s="246">
        <v>0</v>
      </c>
      <c r="AB2" s="248">
        <f>100/(SUM(I2:Z2))</f>
        <v>0.99900099900099903</v>
      </c>
      <c r="AC2" s="259">
        <f>SUM(I2:AA2)</f>
        <v>100.1</v>
      </c>
      <c r="AD2" s="246">
        <v>76</v>
      </c>
      <c r="AE2" s="246"/>
      <c r="AF2" s="246"/>
      <c r="AG2" s="249" t="s">
        <v>2674</v>
      </c>
      <c r="AH2" s="250" t="s">
        <v>2675</v>
      </c>
      <c r="AI2" s="251"/>
      <c r="AJ2" s="250"/>
      <c r="AK2" s="243"/>
      <c r="AL2" s="249">
        <f>(B2-DATE(1970,1,1))*86400</f>
        <v>1775520000</v>
      </c>
      <c r="AM2" s="249">
        <f>(C2-DATE(1970,1,1))*86400</f>
        <v>1775779200</v>
      </c>
      <c r="AN2" s="249">
        <f>AVERAGE(AL2:AM2)</f>
        <v>1775649600</v>
      </c>
    </row>
    <row r="3" spans="1:65" ht="15.75" customHeight="1" x14ac:dyDescent="0.2">
      <c r="A3" s="277" t="s">
        <v>133</v>
      </c>
      <c r="B3" s="244">
        <v>46119</v>
      </c>
      <c r="C3" s="244">
        <v>46122</v>
      </c>
      <c r="D3" s="243" t="s">
        <v>1975</v>
      </c>
      <c r="E3" s="399">
        <v>0</v>
      </c>
      <c r="F3" s="243" t="s">
        <v>140</v>
      </c>
      <c r="G3" s="245" t="s">
        <v>1025</v>
      </c>
      <c r="H3" s="348">
        <v>1000</v>
      </c>
      <c r="I3" s="246"/>
      <c r="J3" s="246"/>
      <c r="K3" s="246"/>
      <c r="L3" s="246"/>
      <c r="M3" s="246"/>
      <c r="N3" s="246"/>
      <c r="O3" s="246"/>
      <c r="P3" s="246"/>
      <c r="Q3" s="246"/>
      <c r="R3" s="247"/>
      <c r="S3" s="246"/>
      <c r="T3" s="246"/>
      <c r="U3" s="246"/>
      <c r="V3" s="246"/>
      <c r="W3" s="246"/>
      <c r="X3" s="246">
        <v>4.2</v>
      </c>
      <c r="Y3" s="246"/>
      <c r="Z3" s="246"/>
      <c r="AA3" s="246"/>
      <c r="AB3" s="248">
        <f>100/(SUM(I3:Z3))</f>
        <v>23.80952380952381</v>
      </c>
      <c r="AC3" s="259">
        <f>SUM(I3:AA3)</f>
        <v>4.2</v>
      </c>
      <c r="AD3" s="246">
        <v>88</v>
      </c>
      <c r="AE3" s="246"/>
      <c r="AF3" s="246"/>
      <c r="AG3" s="249" t="s">
        <v>2674</v>
      </c>
      <c r="AH3" s="250" t="s">
        <v>2675</v>
      </c>
      <c r="AI3" s="251"/>
      <c r="AJ3" s="250"/>
      <c r="AK3" s="243"/>
      <c r="AL3" s="249">
        <f>(B3-DATE(1970,1,1))*86400</f>
        <v>1775520000</v>
      </c>
      <c r="AM3" s="249">
        <f>(C3-DATE(1970,1,1))*86400</f>
        <v>1775779200</v>
      </c>
      <c r="AN3" s="249">
        <f>AVERAGE(AL3:AM3)</f>
        <v>1775649600</v>
      </c>
    </row>
    <row r="4" spans="1:65" s="703" customFormat="1" ht="15.75" customHeight="1" x14ac:dyDescent="0.2">
      <c r="A4" s="277" t="s">
        <v>123</v>
      </c>
      <c r="B4" s="244">
        <v>46119</v>
      </c>
      <c r="C4" s="244">
        <v>46122</v>
      </c>
      <c r="D4" s="243" t="s">
        <v>1975</v>
      </c>
      <c r="E4" s="399">
        <v>0</v>
      </c>
      <c r="F4" s="243" t="s">
        <v>140</v>
      </c>
      <c r="G4" s="245" t="s">
        <v>1025</v>
      </c>
      <c r="H4" s="348">
        <v>1000</v>
      </c>
      <c r="I4" s="246"/>
      <c r="J4" s="246"/>
      <c r="K4" s="246"/>
      <c r="L4" s="246"/>
      <c r="M4" s="246"/>
      <c r="N4" s="246"/>
      <c r="O4" s="246"/>
      <c r="P4" s="246"/>
      <c r="Q4" s="246"/>
      <c r="R4" s="247"/>
      <c r="S4" s="246"/>
      <c r="T4" s="246"/>
      <c r="U4" s="246"/>
      <c r="V4" s="246"/>
      <c r="W4" s="246"/>
      <c r="X4" s="246"/>
      <c r="Y4" s="246"/>
      <c r="Z4" s="246"/>
      <c r="AA4" s="246">
        <v>0</v>
      </c>
      <c r="AB4" s="248" t="e">
        <f>100/(SUM(I4:Z4))</f>
        <v>#DIV/0!</v>
      </c>
      <c r="AC4" s="259">
        <f>SUM(I4:AA4)</f>
        <v>0</v>
      </c>
      <c r="AD4" s="246"/>
      <c r="AE4" s="246"/>
      <c r="AF4" s="246"/>
      <c r="AG4" s="249" t="s">
        <v>2674</v>
      </c>
      <c r="AH4" s="250" t="s">
        <v>2675</v>
      </c>
      <c r="AI4" s="251"/>
      <c r="AJ4" s="251"/>
      <c r="AK4" s="243"/>
      <c r="AL4" s="249">
        <f>(B4-DATE(1970,1,1))*86400</f>
        <v>1775520000</v>
      </c>
      <c r="AM4" s="249">
        <f>(C4-DATE(1970,1,1))*86400</f>
        <v>1775779200</v>
      </c>
      <c r="AN4" s="249">
        <f>AVERAGE(AL4:AM4)</f>
        <v>1775649600</v>
      </c>
      <c r="AO4"/>
      <c r="AP4"/>
      <c r="AQ4"/>
      <c r="AR4"/>
      <c r="AS4"/>
      <c r="AT4"/>
      <c r="AU4"/>
      <c r="AV4"/>
      <c r="AW4"/>
      <c r="AX4"/>
      <c r="AY4"/>
      <c r="AZ4"/>
      <c r="BA4"/>
      <c r="BB4"/>
      <c r="BC4"/>
      <c r="BD4"/>
      <c r="BE4"/>
      <c r="BF4"/>
      <c r="BG4"/>
      <c r="BH4"/>
      <c r="BI4"/>
      <c r="BJ4"/>
      <c r="BK4"/>
      <c r="BL4"/>
      <c r="BM4"/>
    </row>
    <row r="5" spans="1:65" ht="15.75" customHeight="1" x14ac:dyDescent="0.2">
      <c r="A5" s="281" t="s">
        <v>133</v>
      </c>
      <c r="B5" s="240">
        <v>46119</v>
      </c>
      <c r="C5" s="240">
        <v>46121</v>
      </c>
      <c r="D5" s="53" t="s">
        <v>154</v>
      </c>
      <c r="E5" s="323" t="s">
        <v>125</v>
      </c>
      <c r="F5" s="53"/>
      <c r="G5" s="53" t="s">
        <v>126</v>
      </c>
      <c r="H5" s="351">
        <v>1004</v>
      </c>
      <c r="I5" s="55">
        <v>29</v>
      </c>
      <c r="J5" s="55"/>
      <c r="K5" s="55"/>
      <c r="L5" s="55"/>
      <c r="M5" s="55">
        <v>2</v>
      </c>
      <c r="N5" s="55"/>
      <c r="O5" s="55"/>
      <c r="P5" s="547"/>
      <c r="Q5" s="55"/>
      <c r="R5" s="56"/>
      <c r="S5" s="547"/>
      <c r="T5" s="55"/>
      <c r="U5" s="547"/>
      <c r="V5" s="55">
        <v>2</v>
      </c>
      <c r="W5" s="55"/>
      <c r="X5" s="55">
        <v>4</v>
      </c>
      <c r="Y5" s="55">
        <v>38</v>
      </c>
      <c r="Z5" s="547"/>
      <c r="AA5" s="547">
        <v>25</v>
      </c>
      <c r="AB5" s="57">
        <f>100/(SUM(I5:Z5))</f>
        <v>1.3333333333333333</v>
      </c>
      <c r="AC5" s="259">
        <f>SUM(I5:AA5)</f>
        <v>100</v>
      </c>
      <c r="AD5" s="55">
        <v>76</v>
      </c>
      <c r="AE5" s="55"/>
      <c r="AF5" s="55"/>
      <c r="AG5" s="58" t="s">
        <v>155</v>
      </c>
      <c r="AH5" s="186" t="s">
        <v>2673</v>
      </c>
      <c r="AI5" s="186"/>
      <c r="AJ5" s="186"/>
      <c r="AK5" s="53"/>
      <c r="AL5" s="58">
        <f>(B5-DATE(1970,1,1))*86400</f>
        <v>1775520000</v>
      </c>
      <c r="AM5" s="58">
        <f>(C5-DATE(1970,1,1))*86400</f>
        <v>1775692800</v>
      </c>
      <c r="AN5" s="58">
        <f>AVERAGE(AL5:AM5)</f>
        <v>1775606400</v>
      </c>
    </row>
    <row r="6" spans="1:65" ht="15.75" customHeight="1" x14ac:dyDescent="0.2">
      <c r="A6" s="281" t="s">
        <v>123</v>
      </c>
      <c r="B6" s="240">
        <v>46119</v>
      </c>
      <c r="C6" s="240">
        <v>46121</v>
      </c>
      <c r="D6" s="53" t="s">
        <v>154</v>
      </c>
      <c r="E6" s="323" t="s">
        <v>125</v>
      </c>
      <c r="F6" s="53"/>
      <c r="G6" s="53" t="s">
        <v>126</v>
      </c>
      <c r="H6" s="351">
        <v>1002</v>
      </c>
      <c r="I6" s="55">
        <v>34</v>
      </c>
      <c r="J6" s="55"/>
      <c r="K6" s="55"/>
      <c r="L6" s="55"/>
      <c r="M6" s="55">
        <v>2</v>
      </c>
      <c r="N6" s="55"/>
      <c r="O6" s="55"/>
      <c r="P6" s="547"/>
      <c r="Q6" s="55"/>
      <c r="R6" s="56"/>
      <c r="S6" s="547"/>
      <c r="T6" s="55"/>
      <c r="U6" s="547"/>
      <c r="V6" s="55">
        <v>2</v>
      </c>
      <c r="W6" s="55"/>
      <c r="X6" s="55">
        <v>5</v>
      </c>
      <c r="Y6" s="55">
        <v>45</v>
      </c>
      <c r="Z6" s="547"/>
      <c r="AA6" s="547">
        <v>11</v>
      </c>
      <c r="AB6" s="57">
        <f>100/(SUM(I6:Z6))</f>
        <v>1.1363636363636365</v>
      </c>
      <c r="AC6" s="259">
        <f>SUM(I6:AA6)</f>
        <v>99</v>
      </c>
      <c r="AD6" s="55"/>
      <c r="AE6" s="55"/>
      <c r="AF6" s="55"/>
      <c r="AG6" s="58" t="s">
        <v>155</v>
      </c>
      <c r="AH6" s="186" t="s">
        <v>2673</v>
      </c>
      <c r="AI6" s="186"/>
      <c r="AJ6" s="186"/>
      <c r="AK6" s="53"/>
      <c r="AL6" s="58">
        <f>(B6-DATE(1970,1,1))*86400</f>
        <v>1775520000</v>
      </c>
      <c r="AM6" s="58">
        <f>(C6-DATE(1970,1,1))*86400</f>
        <v>1775692800</v>
      </c>
      <c r="AN6" s="58">
        <f>AVERAGE(AL6:AM6)</f>
        <v>1775606400</v>
      </c>
    </row>
    <row r="7" spans="1:65" ht="15.75" customHeight="1" x14ac:dyDescent="0.2">
      <c r="A7" s="281" t="s">
        <v>123</v>
      </c>
      <c r="B7" s="240">
        <v>46119</v>
      </c>
      <c r="C7" s="240">
        <v>46121</v>
      </c>
      <c r="D7" s="53" t="s">
        <v>154</v>
      </c>
      <c r="E7" s="323" t="s">
        <v>125</v>
      </c>
      <c r="F7" s="53"/>
      <c r="G7" s="53" t="s">
        <v>126</v>
      </c>
      <c r="H7" s="351">
        <v>1002</v>
      </c>
      <c r="I7" s="55">
        <v>39</v>
      </c>
      <c r="J7" s="55"/>
      <c r="K7" s="55"/>
      <c r="L7" s="55"/>
      <c r="M7" s="55">
        <v>2</v>
      </c>
      <c r="N7" s="55"/>
      <c r="O7" s="55"/>
      <c r="P7" s="547"/>
      <c r="Q7" s="55"/>
      <c r="R7" s="56"/>
      <c r="S7" s="547"/>
      <c r="T7" s="55"/>
      <c r="U7" s="547"/>
      <c r="V7" s="55">
        <v>2</v>
      </c>
      <c r="W7" s="55"/>
      <c r="X7" s="55">
        <v>5</v>
      </c>
      <c r="Y7" s="55">
        <v>52</v>
      </c>
      <c r="Z7" s="547"/>
      <c r="AA7" s="547">
        <v>0</v>
      </c>
      <c r="AB7" s="57">
        <f>100/(SUM(I7:Z7))</f>
        <v>1</v>
      </c>
      <c r="AC7" s="259">
        <f>SUM(I7:AA7)</f>
        <v>100</v>
      </c>
      <c r="AD7" s="55"/>
      <c r="AE7" s="55"/>
      <c r="AF7" s="55"/>
      <c r="AG7" s="58" t="s">
        <v>155</v>
      </c>
      <c r="AH7" s="186" t="s">
        <v>2673</v>
      </c>
      <c r="AI7" s="186" t="s">
        <v>2676</v>
      </c>
      <c r="AJ7" s="186"/>
      <c r="AK7" s="53"/>
      <c r="AL7" s="58">
        <f>(B7-DATE(1970,1,1))*86400</f>
        <v>1775520000</v>
      </c>
      <c r="AM7" s="58">
        <f>(C7-DATE(1970,1,1))*86400</f>
        <v>1775692800</v>
      </c>
      <c r="AN7" s="58">
        <f>AVERAGE(AL7:AM7)</f>
        <v>1775606400</v>
      </c>
    </row>
    <row r="8" spans="1:65" ht="15.75" customHeight="1" x14ac:dyDescent="0.2">
      <c r="A8" s="693" t="s">
        <v>133</v>
      </c>
      <c r="B8" s="694">
        <v>46117</v>
      </c>
      <c r="C8" s="694">
        <v>46122</v>
      </c>
      <c r="D8" s="695" t="s">
        <v>2678</v>
      </c>
      <c r="E8" s="696">
        <v>0</v>
      </c>
      <c r="F8" s="695"/>
      <c r="G8" s="695" t="s">
        <v>135</v>
      </c>
      <c r="H8" s="697">
        <v>1587</v>
      </c>
      <c r="I8" s="698">
        <v>39.200000000000003</v>
      </c>
      <c r="J8" s="698"/>
      <c r="K8" s="698"/>
      <c r="L8" s="698"/>
      <c r="M8" s="698">
        <v>1.5</v>
      </c>
      <c r="N8" s="698"/>
      <c r="O8" s="698"/>
      <c r="P8" s="698"/>
      <c r="Q8" s="698"/>
      <c r="R8" s="698"/>
      <c r="S8" s="698"/>
      <c r="T8" s="698"/>
      <c r="U8" s="698"/>
      <c r="V8" s="698">
        <v>1.4</v>
      </c>
      <c r="W8" s="698"/>
      <c r="X8" s="698">
        <v>5.0999999999999996</v>
      </c>
      <c r="Y8" s="698">
        <v>51.9</v>
      </c>
      <c r="Z8" s="698">
        <v>0.6</v>
      </c>
      <c r="AA8" s="698">
        <v>0.2</v>
      </c>
      <c r="AB8" s="699">
        <f>100/(SUM(I8:Z8))</f>
        <v>1.003009027081244</v>
      </c>
      <c r="AC8" s="699">
        <f>SUM(I8:AA8)</f>
        <v>99.899999999999991</v>
      </c>
      <c r="AD8" s="698"/>
      <c r="AE8" s="698"/>
      <c r="AF8" s="698">
        <v>9.8000000000000007</v>
      </c>
      <c r="AG8" s="700" t="s">
        <v>136</v>
      </c>
      <c r="AH8" s="641" t="s">
        <v>2679</v>
      </c>
      <c r="AI8" s="702"/>
      <c r="AJ8" s="701"/>
      <c r="AK8" s="695"/>
      <c r="AL8" s="700">
        <f>(B8-DATE(1970,1,1))*86400</f>
        <v>1775347200</v>
      </c>
      <c r="AM8" s="700">
        <f>(C8-DATE(1970,1,1))*86400</f>
        <v>1775779200</v>
      </c>
      <c r="AN8" s="700">
        <f>AVERAGE(AL8:AM8)</f>
        <v>1775563200</v>
      </c>
      <c r="AO8" s="703"/>
      <c r="AP8" s="703"/>
      <c r="AQ8" s="703"/>
      <c r="AR8" s="703"/>
      <c r="AS8" s="703"/>
      <c r="AT8" s="703"/>
      <c r="AU8" s="703"/>
      <c r="AV8" s="703"/>
      <c r="AW8" s="703"/>
      <c r="AX8" s="703"/>
      <c r="AY8" s="703"/>
      <c r="AZ8" s="703"/>
      <c r="BA8" s="703"/>
      <c r="BB8" s="703"/>
      <c r="BC8" s="703"/>
      <c r="BD8" s="703"/>
      <c r="BE8" s="703"/>
      <c r="BF8" s="703"/>
      <c r="BG8" s="703"/>
      <c r="BH8" s="703"/>
      <c r="BI8" s="703"/>
      <c r="BJ8" s="703"/>
      <c r="BK8" s="703"/>
      <c r="BL8" s="703"/>
      <c r="BM8" s="703"/>
    </row>
    <row r="9" spans="1:65" x14ac:dyDescent="0.2">
      <c r="A9" s="280" t="s">
        <v>133</v>
      </c>
      <c r="B9" s="197">
        <v>46113</v>
      </c>
      <c r="C9" s="197">
        <v>46119</v>
      </c>
      <c r="D9" s="76" t="s">
        <v>200</v>
      </c>
      <c r="E9" s="320">
        <v>1</v>
      </c>
      <c r="F9" s="76" t="s">
        <v>140</v>
      </c>
      <c r="G9" s="76" t="s">
        <v>126</v>
      </c>
      <c r="H9" s="350">
        <v>1000</v>
      </c>
      <c r="I9" s="78"/>
      <c r="J9" s="78"/>
      <c r="K9" s="78"/>
      <c r="L9" s="78"/>
      <c r="M9" s="78"/>
      <c r="N9" s="78"/>
      <c r="O9" s="78"/>
      <c r="P9" s="78"/>
      <c r="Q9" s="78"/>
      <c r="R9" s="78"/>
      <c r="S9" s="78"/>
      <c r="T9" s="78"/>
      <c r="U9" s="78"/>
      <c r="V9" s="78"/>
      <c r="W9" s="78"/>
      <c r="X9" s="78"/>
      <c r="Y9" s="78"/>
      <c r="Z9" s="158"/>
      <c r="AA9" s="158"/>
      <c r="AB9" s="79" t="e">
        <f>100/(SUM(I9:Z9))</f>
        <v>#DIV/0!</v>
      </c>
      <c r="AC9" s="259">
        <f>SUM(I9:AA9)</f>
        <v>0</v>
      </c>
      <c r="AD9" s="78"/>
      <c r="AE9" s="78"/>
      <c r="AF9" s="78"/>
      <c r="AG9" s="80" t="s">
        <v>127</v>
      </c>
      <c r="AH9" s="195" t="s">
        <v>2670</v>
      </c>
      <c r="AI9" s="195"/>
      <c r="AJ9" s="195"/>
      <c r="AK9" s="76"/>
      <c r="AL9" s="80">
        <f>(B9-DATE(1970,1,1))*86400</f>
        <v>1775001600</v>
      </c>
      <c r="AM9" s="80">
        <f>(C9-DATE(1970,1,1))*86400</f>
        <v>1775520000</v>
      </c>
      <c r="AN9" s="80">
        <f>AVERAGE(AL9:AM9)</f>
        <v>1775260800</v>
      </c>
    </row>
    <row r="10" spans="1:65" x14ac:dyDescent="0.2">
      <c r="A10" s="296" t="s">
        <v>133</v>
      </c>
      <c r="B10" s="580">
        <v>46112</v>
      </c>
      <c r="C10" s="580">
        <v>46116</v>
      </c>
      <c r="D10" s="99" t="s">
        <v>276</v>
      </c>
      <c r="E10" s="326" t="s">
        <v>125</v>
      </c>
      <c r="F10" s="99"/>
      <c r="G10" s="99" t="s">
        <v>126</v>
      </c>
      <c r="H10" s="326">
        <v>1000</v>
      </c>
      <c r="I10" s="101">
        <v>34</v>
      </c>
      <c r="J10" s="101"/>
      <c r="K10" s="101"/>
      <c r="L10" s="101"/>
      <c r="M10" s="101">
        <v>1</v>
      </c>
      <c r="N10" s="101"/>
      <c r="O10" s="101"/>
      <c r="P10" s="101"/>
      <c r="Q10" s="101"/>
      <c r="R10" s="101"/>
      <c r="S10" s="101"/>
      <c r="T10" s="101"/>
      <c r="U10" s="101"/>
      <c r="V10" s="101">
        <v>3</v>
      </c>
      <c r="W10" s="101"/>
      <c r="X10" s="101">
        <v>3</v>
      </c>
      <c r="Y10" s="101">
        <v>41</v>
      </c>
      <c r="Z10" s="101">
        <v>0</v>
      </c>
      <c r="AA10" s="101">
        <v>18</v>
      </c>
      <c r="AB10" s="102">
        <f>100/(SUM(I10:Z10))</f>
        <v>1.2195121951219512</v>
      </c>
      <c r="AC10" s="259">
        <f>SUM(I10:AA10)</f>
        <v>100</v>
      </c>
      <c r="AD10" s="101"/>
      <c r="AE10" s="101"/>
      <c r="AF10" s="101"/>
      <c r="AG10" s="103" t="s">
        <v>127</v>
      </c>
      <c r="AH10" s="222" t="s">
        <v>2662</v>
      </c>
      <c r="AI10" s="222" t="s">
        <v>2663</v>
      </c>
      <c r="AJ10" s="222" t="s">
        <v>2664</v>
      </c>
      <c r="AK10" s="99" t="s">
        <v>138</v>
      </c>
      <c r="AL10" s="103">
        <f>(B10-DATE(1970,1,1))*86400</f>
        <v>1774915200</v>
      </c>
      <c r="AM10" s="103">
        <f>(C10-DATE(1970,1,1))*86400</f>
        <v>1775260800</v>
      </c>
      <c r="AN10" s="103">
        <f>AVERAGE(AL10:AM10)</f>
        <v>1775088000</v>
      </c>
    </row>
    <row r="11" spans="1:65" x14ac:dyDescent="0.2">
      <c r="A11" s="296" t="s">
        <v>133</v>
      </c>
      <c r="B11" s="580">
        <v>46112</v>
      </c>
      <c r="C11" s="580">
        <v>46116</v>
      </c>
      <c r="D11" s="99" t="s">
        <v>276</v>
      </c>
      <c r="E11" s="326" t="s">
        <v>125</v>
      </c>
      <c r="F11" s="99"/>
      <c r="G11" s="99" t="s">
        <v>126</v>
      </c>
      <c r="H11" s="326">
        <v>1000</v>
      </c>
      <c r="I11" s="101">
        <v>41</v>
      </c>
      <c r="J11" s="101"/>
      <c r="K11" s="101"/>
      <c r="L11" s="101"/>
      <c r="M11" s="101">
        <v>1</v>
      </c>
      <c r="N11" s="101"/>
      <c r="O11" s="101"/>
      <c r="P11" s="101"/>
      <c r="Q11" s="101"/>
      <c r="R11" s="101"/>
      <c r="S11" s="101"/>
      <c r="T11" s="101"/>
      <c r="U11" s="101"/>
      <c r="V11" s="101">
        <v>4</v>
      </c>
      <c r="W11" s="101"/>
      <c r="X11" s="101">
        <v>4</v>
      </c>
      <c r="Y11" s="101">
        <v>50</v>
      </c>
      <c r="Z11" s="101">
        <v>0</v>
      </c>
      <c r="AA11" s="101">
        <v>0</v>
      </c>
      <c r="AB11" s="102">
        <f>100/(SUM(I11:Z11))</f>
        <v>1</v>
      </c>
      <c r="AC11" s="259">
        <f>SUM(I11:AA11)</f>
        <v>100</v>
      </c>
      <c r="AD11" s="101"/>
      <c r="AE11" s="101"/>
      <c r="AF11" s="101"/>
      <c r="AG11" s="103" t="s">
        <v>127</v>
      </c>
      <c r="AH11" s="222" t="s">
        <v>2662</v>
      </c>
      <c r="AI11" s="222" t="s">
        <v>2663</v>
      </c>
      <c r="AJ11" s="222" t="s">
        <v>2664</v>
      </c>
      <c r="AK11" s="99" t="s">
        <v>138</v>
      </c>
      <c r="AL11" s="103">
        <f>(B11-DATE(1970,1,1))*86400</f>
        <v>1774915200</v>
      </c>
      <c r="AM11" s="103">
        <f>(C11-DATE(1970,1,1))*86400</f>
        <v>1775260800</v>
      </c>
      <c r="AN11" s="103">
        <f>AVERAGE(AL11:AM11)</f>
        <v>1775088000</v>
      </c>
    </row>
    <row r="12" spans="1:65" ht="15.75" customHeight="1" x14ac:dyDescent="0.2">
      <c r="A12" s="296" t="s">
        <v>123</v>
      </c>
      <c r="B12" s="580">
        <v>46112</v>
      </c>
      <c r="C12" s="580">
        <v>46116</v>
      </c>
      <c r="D12" s="99" t="s">
        <v>276</v>
      </c>
      <c r="E12" s="326" t="s">
        <v>125</v>
      </c>
      <c r="F12" s="99"/>
      <c r="G12" s="99" t="s">
        <v>126</v>
      </c>
      <c r="H12" s="326">
        <v>1000</v>
      </c>
      <c r="I12" s="101">
        <v>40</v>
      </c>
      <c r="J12" s="101"/>
      <c r="K12" s="101"/>
      <c r="L12" s="101"/>
      <c r="M12" s="101">
        <v>1</v>
      </c>
      <c r="N12" s="101"/>
      <c r="O12" s="101"/>
      <c r="P12" s="101"/>
      <c r="Q12" s="101"/>
      <c r="R12" s="101"/>
      <c r="S12" s="101"/>
      <c r="T12" s="101"/>
      <c r="U12" s="101"/>
      <c r="V12" s="101">
        <v>4</v>
      </c>
      <c r="W12" s="101"/>
      <c r="X12" s="101">
        <v>4</v>
      </c>
      <c r="Y12" s="101">
        <v>51</v>
      </c>
      <c r="Z12" s="101">
        <v>0</v>
      </c>
      <c r="AA12" s="103">
        <v>0</v>
      </c>
      <c r="AB12" s="102">
        <f>100/(SUM(I12:Z12))</f>
        <v>1</v>
      </c>
      <c r="AC12" s="259">
        <f>SUM(I12:AA12)</f>
        <v>100</v>
      </c>
      <c r="AD12" s="101"/>
      <c r="AE12" s="101"/>
      <c r="AF12" s="101"/>
      <c r="AG12" s="103" t="s">
        <v>127</v>
      </c>
      <c r="AH12" s="222" t="s">
        <v>2662</v>
      </c>
      <c r="AI12" s="222" t="s">
        <v>2663</v>
      </c>
      <c r="AJ12" s="222" t="s">
        <v>2664</v>
      </c>
      <c r="AK12" s="99"/>
      <c r="AL12" s="103">
        <f>(B12-DATE(1970,1,1))*86400</f>
        <v>1774915200</v>
      </c>
      <c r="AM12" s="103">
        <f>(C12-DATE(1970,1,1))*86400</f>
        <v>1775260800</v>
      </c>
      <c r="AN12" s="103">
        <f>AVERAGE(AL12:AM12)</f>
        <v>1775088000</v>
      </c>
    </row>
    <row r="13" spans="1:65" ht="15.75" customHeight="1" x14ac:dyDescent="0.2">
      <c r="A13" s="287" t="s">
        <v>133</v>
      </c>
      <c r="B13" s="187">
        <v>46113</v>
      </c>
      <c r="C13" s="187">
        <v>46114</v>
      </c>
      <c r="D13" s="69" t="s">
        <v>183</v>
      </c>
      <c r="E13" s="333" t="s">
        <v>125</v>
      </c>
      <c r="F13" s="69" t="s">
        <v>2485</v>
      </c>
      <c r="G13" s="188" t="s">
        <v>126</v>
      </c>
      <c r="H13" s="354">
        <v>600</v>
      </c>
      <c r="I13" s="71">
        <v>42</v>
      </c>
      <c r="J13" s="71"/>
      <c r="K13" s="71">
        <v>1</v>
      </c>
      <c r="L13" s="71"/>
      <c r="M13" s="71">
        <v>2</v>
      </c>
      <c r="N13" s="71"/>
      <c r="O13" s="71"/>
      <c r="P13" s="71"/>
      <c r="Q13" s="71"/>
      <c r="R13" s="72"/>
      <c r="S13" s="71"/>
      <c r="T13" s="71"/>
      <c r="U13" s="71"/>
      <c r="V13" s="71"/>
      <c r="W13" s="71"/>
      <c r="X13" s="71">
        <v>7</v>
      </c>
      <c r="Y13" s="71">
        <v>47</v>
      </c>
      <c r="Z13" s="71">
        <v>1</v>
      </c>
      <c r="AA13" s="71">
        <v>0</v>
      </c>
      <c r="AB13" s="73">
        <f>100/(SUM(I13:Z13))</f>
        <v>1</v>
      </c>
      <c r="AC13" s="259">
        <f>SUM(I13:AA13)</f>
        <v>100</v>
      </c>
      <c r="AD13" s="71"/>
      <c r="AE13" s="71"/>
      <c r="AF13" s="71"/>
      <c r="AG13" s="74" t="s">
        <v>2436</v>
      </c>
      <c r="AH13" s="199" t="s">
        <v>2680</v>
      </c>
      <c r="AI13" s="199"/>
      <c r="AJ13" s="199"/>
      <c r="AK13" s="69" t="s">
        <v>2439</v>
      </c>
      <c r="AL13" s="74">
        <f>(B13-DATE(1970,1,1))*86400</f>
        <v>1775001600</v>
      </c>
      <c r="AM13" s="74">
        <f>(C13-DATE(1970,1,1))*86400</f>
        <v>1775088000</v>
      </c>
      <c r="AN13" s="74">
        <f>AVERAGE(AL13:AM13)</f>
        <v>1775044800</v>
      </c>
    </row>
    <row r="14" spans="1:65" x14ac:dyDescent="0.2">
      <c r="A14" s="287" t="s">
        <v>123</v>
      </c>
      <c r="B14" s="187">
        <v>46113</v>
      </c>
      <c r="C14" s="187">
        <v>46114</v>
      </c>
      <c r="D14" s="69" t="s">
        <v>183</v>
      </c>
      <c r="E14" s="333" t="s">
        <v>125</v>
      </c>
      <c r="F14" s="69" t="s">
        <v>2485</v>
      </c>
      <c r="G14" s="188" t="s">
        <v>126</v>
      </c>
      <c r="H14" s="354">
        <v>600</v>
      </c>
      <c r="I14" s="71">
        <v>41</v>
      </c>
      <c r="J14" s="71"/>
      <c r="K14" s="71">
        <v>1</v>
      </c>
      <c r="L14" s="71"/>
      <c r="M14" s="71">
        <v>2</v>
      </c>
      <c r="N14" s="71"/>
      <c r="O14" s="71"/>
      <c r="P14" s="71"/>
      <c r="Q14" s="71"/>
      <c r="R14" s="72"/>
      <c r="S14" s="71"/>
      <c r="T14" s="71"/>
      <c r="U14" s="71"/>
      <c r="V14" s="71"/>
      <c r="W14" s="71"/>
      <c r="X14" s="71">
        <v>6</v>
      </c>
      <c r="Y14" s="71">
        <v>49</v>
      </c>
      <c r="Z14" s="71">
        <v>1</v>
      </c>
      <c r="AA14" s="71">
        <v>0</v>
      </c>
      <c r="AB14" s="73">
        <f>100/(SUM(I14:Z14))</f>
        <v>1</v>
      </c>
      <c r="AC14" s="259">
        <f>SUM(I14:AA14)</f>
        <v>100</v>
      </c>
      <c r="AD14" s="71"/>
      <c r="AE14" s="71"/>
      <c r="AF14" s="71"/>
      <c r="AG14" s="74" t="s">
        <v>2436</v>
      </c>
      <c r="AH14" s="558" t="s">
        <v>2680</v>
      </c>
      <c r="AI14" s="558"/>
      <c r="AJ14" s="558"/>
      <c r="AK14" s="69" t="s">
        <v>2439</v>
      </c>
      <c r="AL14" s="74">
        <f>(B14-DATE(1970,1,1))*86400</f>
        <v>1775001600</v>
      </c>
      <c r="AM14" s="74">
        <f>(C14-DATE(1970,1,1))*86400</f>
        <v>1775088000</v>
      </c>
      <c r="AN14" s="74">
        <f>AVERAGE(AL14:AM14)</f>
        <v>1775044800</v>
      </c>
    </row>
    <row r="15" spans="1:65" ht="15.75" customHeight="1" x14ac:dyDescent="0.2">
      <c r="A15" s="403" t="s">
        <v>133</v>
      </c>
      <c r="B15" s="14">
        <v>46113</v>
      </c>
      <c r="C15" s="14">
        <v>46114</v>
      </c>
      <c r="D15" s="13" t="s">
        <v>124</v>
      </c>
      <c r="E15" s="401">
        <v>1</v>
      </c>
      <c r="F15" s="13" t="s">
        <v>140</v>
      </c>
      <c r="G15" s="13" t="s">
        <v>126</v>
      </c>
      <c r="H15" s="349">
        <v>1000</v>
      </c>
      <c r="I15" s="15"/>
      <c r="J15" s="15"/>
      <c r="K15" s="15"/>
      <c r="L15" s="15"/>
      <c r="M15" s="15"/>
      <c r="N15" s="15"/>
      <c r="O15" s="15"/>
      <c r="P15" s="15"/>
      <c r="Q15" s="15"/>
      <c r="R15" s="15"/>
      <c r="S15" s="15"/>
      <c r="T15" s="15"/>
      <c r="U15" s="15"/>
      <c r="V15" s="15"/>
      <c r="W15" s="15"/>
      <c r="X15" s="15"/>
      <c r="Y15" s="15"/>
      <c r="Z15" s="397"/>
      <c r="AA15" s="98"/>
      <c r="AB15" s="16" t="e">
        <f>100/(SUM(I15:Z15))</f>
        <v>#DIV/0!</v>
      </c>
      <c r="AC15" s="259">
        <f>SUM(I15:AA15)</f>
        <v>0</v>
      </c>
      <c r="AD15" s="15"/>
      <c r="AE15" s="15"/>
      <c r="AF15" s="15"/>
      <c r="AG15" s="17" t="s">
        <v>127</v>
      </c>
      <c r="AH15" s="201" t="s">
        <v>2671</v>
      </c>
      <c r="AI15" s="201"/>
      <c r="AJ15" s="201"/>
      <c r="AK15" s="13"/>
      <c r="AL15" s="17">
        <f>(B15-DATE(1970,1,1))*86400</f>
        <v>1775001600</v>
      </c>
      <c r="AM15" s="17">
        <f>(C15-DATE(1970,1,1))*86400</f>
        <v>1775088000</v>
      </c>
      <c r="AN15" s="17">
        <f>AVERAGE(AL15:AM15)</f>
        <v>1775044800</v>
      </c>
    </row>
    <row r="16" spans="1:65" x14ac:dyDescent="0.2">
      <c r="A16" s="284" t="s">
        <v>133</v>
      </c>
      <c r="B16" s="20">
        <v>46110</v>
      </c>
      <c r="C16" s="20">
        <v>46116</v>
      </c>
      <c r="D16" s="19" t="s">
        <v>134</v>
      </c>
      <c r="E16" s="332" t="s">
        <v>125</v>
      </c>
      <c r="F16" s="19"/>
      <c r="G16" s="19" t="s">
        <v>135</v>
      </c>
      <c r="H16" s="332">
        <v>1500</v>
      </c>
      <c r="I16" s="21">
        <v>30</v>
      </c>
      <c r="J16" s="21">
        <v>0</v>
      </c>
      <c r="K16" s="21">
        <v>0</v>
      </c>
      <c r="L16" s="21">
        <v>0</v>
      </c>
      <c r="M16" s="21">
        <v>3</v>
      </c>
      <c r="N16" s="21"/>
      <c r="O16" s="21">
        <v>0</v>
      </c>
      <c r="P16" s="21">
        <v>0</v>
      </c>
      <c r="Q16" s="21"/>
      <c r="R16" s="22"/>
      <c r="S16" s="21">
        <v>0</v>
      </c>
      <c r="T16" s="21">
        <v>0</v>
      </c>
      <c r="U16" s="21"/>
      <c r="V16" s="21">
        <v>2</v>
      </c>
      <c r="W16" s="21">
        <v>0</v>
      </c>
      <c r="X16" s="21">
        <v>4</v>
      </c>
      <c r="Y16" s="21">
        <v>39</v>
      </c>
      <c r="Z16" s="21">
        <v>1</v>
      </c>
      <c r="AA16" s="21">
        <v>21</v>
      </c>
      <c r="AB16" s="23">
        <f>100/(SUM(I16:Z16))</f>
        <v>1.2658227848101267</v>
      </c>
      <c r="AC16" s="259">
        <f>SUM(I16:AA16)</f>
        <v>100</v>
      </c>
      <c r="AD16" s="21"/>
      <c r="AE16" s="24"/>
      <c r="AF16" s="24"/>
      <c r="AG16" s="25" t="s">
        <v>136</v>
      </c>
      <c r="AH16" s="219" t="s">
        <v>2668</v>
      </c>
      <c r="AI16" s="26" t="s">
        <v>2669</v>
      </c>
      <c r="AJ16" s="219"/>
      <c r="AK16" s="19"/>
      <c r="AL16" s="25">
        <f>(B16-DATE(1970,1,1))*86400</f>
        <v>1774742400</v>
      </c>
      <c r="AM16" s="25">
        <f>(C16-DATE(1970,1,1))*86400</f>
        <v>1775260800</v>
      </c>
      <c r="AN16" s="25">
        <f>AVERAGE(AL16:AM16)</f>
        <v>1775001600</v>
      </c>
    </row>
    <row r="17" spans="1:65" x14ac:dyDescent="0.2">
      <c r="A17" s="284" t="s">
        <v>123</v>
      </c>
      <c r="B17" s="20">
        <v>46110</v>
      </c>
      <c r="C17" s="20">
        <v>46116</v>
      </c>
      <c r="D17" s="19" t="s">
        <v>134</v>
      </c>
      <c r="E17" s="332" t="s">
        <v>125</v>
      </c>
      <c r="F17" s="19"/>
      <c r="G17" s="19" t="s">
        <v>135</v>
      </c>
      <c r="H17" s="332">
        <v>1500</v>
      </c>
      <c r="I17" s="21">
        <v>37</v>
      </c>
      <c r="J17" s="21">
        <v>0</v>
      </c>
      <c r="K17" s="21">
        <v>0</v>
      </c>
      <c r="L17" s="21">
        <v>0</v>
      </c>
      <c r="M17" s="21">
        <v>4</v>
      </c>
      <c r="N17" s="21"/>
      <c r="O17" s="21">
        <v>0</v>
      </c>
      <c r="P17" s="21">
        <v>0</v>
      </c>
      <c r="Q17" s="21"/>
      <c r="R17" s="22"/>
      <c r="S17" s="21">
        <v>0</v>
      </c>
      <c r="T17" s="21">
        <v>0</v>
      </c>
      <c r="U17" s="21"/>
      <c r="V17" s="21">
        <v>2</v>
      </c>
      <c r="W17" s="21">
        <v>0</v>
      </c>
      <c r="X17" s="21">
        <v>5</v>
      </c>
      <c r="Y17" s="21">
        <v>50</v>
      </c>
      <c r="Z17" s="21">
        <v>2</v>
      </c>
      <c r="AA17" s="21">
        <v>0</v>
      </c>
      <c r="AB17" s="23">
        <f>100/(SUM(I17:Z17))</f>
        <v>1</v>
      </c>
      <c r="AC17" s="259">
        <f>SUM(I17:AA17)</f>
        <v>100</v>
      </c>
      <c r="AD17" s="24"/>
      <c r="AE17" s="24"/>
      <c r="AF17" s="24"/>
      <c r="AG17" s="25" t="s">
        <v>136</v>
      </c>
      <c r="AH17" s="219" t="s">
        <v>2668</v>
      </c>
      <c r="AI17" s="26" t="s">
        <v>2669</v>
      </c>
      <c r="AJ17" s="219"/>
      <c r="AK17" s="19"/>
      <c r="AL17" s="25">
        <f>(B17-DATE(1970,1,1))*86400</f>
        <v>1774742400</v>
      </c>
      <c r="AM17" s="25">
        <f>(C17-DATE(1970,1,1))*86400</f>
        <v>1775260800</v>
      </c>
      <c r="AN17" s="25">
        <f>AVERAGE(AL17:AM17)</f>
        <v>1775001600</v>
      </c>
    </row>
    <row r="18" spans="1:65" x14ac:dyDescent="0.2">
      <c r="A18" s="280" t="s">
        <v>123</v>
      </c>
      <c r="B18" s="197">
        <v>46101</v>
      </c>
      <c r="C18" s="197">
        <v>46119</v>
      </c>
      <c r="D18" s="76" t="s">
        <v>2097</v>
      </c>
      <c r="E18" s="320">
        <v>1</v>
      </c>
      <c r="F18" s="76"/>
      <c r="G18" s="76" t="s">
        <v>126</v>
      </c>
      <c r="H18" s="350">
        <v>1000</v>
      </c>
      <c r="I18" s="78">
        <v>42.6</v>
      </c>
      <c r="J18" s="78" t="s">
        <v>355</v>
      </c>
      <c r="K18" s="78"/>
      <c r="L18" s="78"/>
      <c r="M18" s="78">
        <v>4.3</v>
      </c>
      <c r="N18" s="78"/>
      <c r="O18" s="78"/>
      <c r="P18" s="78"/>
      <c r="Q18" s="78"/>
      <c r="R18" s="78"/>
      <c r="S18" s="78"/>
      <c r="T18" s="78"/>
      <c r="U18" s="78"/>
      <c r="V18" s="78">
        <v>2.1</v>
      </c>
      <c r="W18" s="78"/>
      <c r="X18" s="78">
        <v>7</v>
      </c>
      <c r="Y18" s="78">
        <v>37.4</v>
      </c>
      <c r="Z18" s="692">
        <v>0.6</v>
      </c>
      <c r="AA18" s="692">
        <v>6.1</v>
      </c>
      <c r="AB18" s="79">
        <f>100/(SUM(I18:Z18))</f>
        <v>1.0638297872340425</v>
      </c>
      <c r="AC18" s="259">
        <f>SUM(I18:AA18)</f>
        <v>100.1</v>
      </c>
      <c r="AD18" s="78"/>
      <c r="AE18" s="78"/>
      <c r="AF18" s="78"/>
      <c r="AG18" s="80" t="s">
        <v>127</v>
      </c>
      <c r="AH18" s="195" t="s">
        <v>2677</v>
      </c>
      <c r="AI18" s="195"/>
      <c r="AJ18" s="195"/>
      <c r="AK18" s="76"/>
      <c r="AL18" s="80">
        <f>(B18-DATE(1970,1,1))*86400</f>
        <v>1773964800</v>
      </c>
      <c r="AM18" s="80">
        <f>(C18-DATE(1970,1,1))*86400</f>
        <v>1775520000</v>
      </c>
      <c r="AN18" s="80">
        <f>AVERAGE(AL18:AM18)</f>
        <v>1774742400</v>
      </c>
    </row>
    <row r="19" spans="1:65" x14ac:dyDescent="0.2">
      <c r="A19" s="406" t="s">
        <v>123</v>
      </c>
      <c r="B19" s="407">
        <v>46109</v>
      </c>
      <c r="C19" s="407">
        <v>46110</v>
      </c>
      <c r="D19" s="408" t="s">
        <v>227</v>
      </c>
      <c r="E19" s="409" t="s">
        <v>125</v>
      </c>
      <c r="F19" s="408"/>
      <c r="G19" s="408" t="s">
        <v>126</v>
      </c>
      <c r="H19" s="410">
        <v>1000</v>
      </c>
      <c r="I19" s="411">
        <v>50</v>
      </c>
      <c r="J19" s="411"/>
      <c r="K19" s="411"/>
      <c r="L19" s="411"/>
      <c r="M19" s="411">
        <v>2</v>
      </c>
      <c r="N19" s="411"/>
      <c r="O19" s="411"/>
      <c r="P19" s="411"/>
      <c r="Q19" s="411"/>
      <c r="R19" s="411"/>
      <c r="S19" s="411"/>
      <c r="T19" s="411"/>
      <c r="U19" s="411"/>
      <c r="V19" s="411">
        <v>1</v>
      </c>
      <c r="W19" s="411"/>
      <c r="X19" s="411">
        <v>5</v>
      </c>
      <c r="Y19" s="411">
        <v>42</v>
      </c>
      <c r="Z19" s="411"/>
      <c r="AA19" s="411">
        <v>0</v>
      </c>
      <c r="AB19" s="412">
        <f>100/(SUM(I19:Z19))</f>
        <v>1</v>
      </c>
      <c r="AC19" s="413">
        <f>SUM(I19:AA19)</f>
        <v>100</v>
      </c>
      <c r="AD19" s="411"/>
      <c r="AE19" s="411"/>
      <c r="AF19" s="411"/>
      <c r="AG19" s="414" t="s">
        <v>127</v>
      </c>
      <c r="AH19" s="418" t="s">
        <v>2652</v>
      </c>
      <c r="AI19" s="415"/>
      <c r="AJ19" s="415"/>
      <c r="AK19" s="408"/>
      <c r="AL19" s="414">
        <f>(B19-DATE(1970,1,1))*86400</f>
        <v>1774656000</v>
      </c>
      <c r="AM19" s="414">
        <f>(C19-DATE(1970,1,1))*86400</f>
        <v>1774742400</v>
      </c>
      <c r="AN19" s="414">
        <f>AVERAGE(AL19:AM19)</f>
        <v>1774699200</v>
      </c>
    </row>
    <row r="20" spans="1:65" x14ac:dyDescent="0.2">
      <c r="A20" s="281" t="s">
        <v>133</v>
      </c>
      <c r="B20" s="240">
        <v>46108</v>
      </c>
      <c r="C20" s="240">
        <v>46111</v>
      </c>
      <c r="D20" s="53" t="s">
        <v>154</v>
      </c>
      <c r="E20" s="323" t="s">
        <v>125</v>
      </c>
      <c r="F20" s="53"/>
      <c r="G20" s="53" t="s">
        <v>126</v>
      </c>
      <c r="H20" s="351">
        <v>1002</v>
      </c>
      <c r="I20" s="55">
        <v>30</v>
      </c>
      <c r="J20" s="55"/>
      <c r="K20" s="55"/>
      <c r="L20" s="55"/>
      <c r="M20" s="55">
        <v>3</v>
      </c>
      <c r="N20" s="55"/>
      <c r="O20" s="55"/>
      <c r="P20" s="547"/>
      <c r="Q20" s="55"/>
      <c r="R20" s="56"/>
      <c r="S20" s="547"/>
      <c r="T20" s="55"/>
      <c r="U20" s="547"/>
      <c r="V20" s="55">
        <v>3</v>
      </c>
      <c r="W20" s="55"/>
      <c r="X20" s="55">
        <v>4</v>
      </c>
      <c r="Y20" s="55">
        <v>36</v>
      </c>
      <c r="Z20" s="547"/>
      <c r="AA20" s="547">
        <v>24</v>
      </c>
      <c r="AB20" s="57">
        <f>100/(SUM(I20:Z20))</f>
        <v>1.3157894736842106</v>
      </c>
      <c r="AC20" s="259">
        <f>SUM(I20:AA20)</f>
        <v>100</v>
      </c>
      <c r="AD20" s="55"/>
      <c r="AE20" s="55"/>
      <c r="AF20" s="55"/>
      <c r="AG20" s="58" t="s">
        <v>155</v>
      </c>
      <c r="AH20" s="186" t="s">
        <v>2650</v>
      </c>
      <c r="AI20" s="186"/>
      <c r="AJ20" s="186" t="s">
        <v>2658</v>
      </c>
      <c r="AK20" s="53"/>
      <c r="AL20" s="58">
        <f>(B20-DATE(1970,1,1))*86400</f>
        <v>1774569600</v>
      </c>
      <c r="AM20" s="58">
        <f>(C20-DATE(1970,1,1))*86400</f>
        <v>1774828800</v>
      </c>
      <c r="AN20" s="58">
        <f>AVERAGE(AL20:AM20)</f>
        <v>1774699200</v>
      </c>
    </row>
    <row r="21" spans="1:65" x14ac:dyDescent="0.2">
      <c r="A21" s="281" t="s">
        <v>123</v>
      </c>
      <c r="B21" s="240">
        <v>46108</v>
      </c>
      <c r="C21" s="240">
        <v>46111</v>
      </c>
      <c r="D21" s="53" t="s">
        <v>154</v>
      </c>
      <c r="E21" s="323" t="s">
        <v>125</v>
      </c>
      <c r="F21" s="53"/>
      <c r="G21" s="53" t="s">
        <v>126</v>
      </c>
      <c r="H21" s="351">
        <v>1002</v>
      </c>
      <c r="I21" s="55">
        <v>35</v>
      </c>
      <c r="J21" s="55"/>
      <c r="K21" s="55"/>
      <c r="L21" s="55"/>
      <c r="M21" s="55">
        <v>3</v>
      </c>
      <c r="N21" s="55"/>
      <c r="O21" s="55"/>
      <c r="P21" s="547"/>
      <c r="Q21" s="55"/>
      <c r="R21" s="56"/>
      <c r="S21" s="547"/>
      <c r="T21" s="55"/>
      <c r="U21" s="547"/>
      <c r="V21" s="55">
        <v>3</v>
      </c>
      <c r="W21" s="55"/>
      <c r="X21" s="55">
        <v>5</v>
      </c>
      <c r="Y21" s="55">
        <v>41</v>
      </c>
      <c r="Z21" s="547"/>
      <c r="AA21" s="547">
        <v>13</v>
      </c>
      <c r="AB21" s="57">
        <f>100/(SUM(I21:Z21))</f>
        <v>1.1494252873563218</v>
      </c>
      <c r="AC21" s="259">
        <f>SUM(I21:AA21)</f>
        <v>100</v>
      </c>
      <c r="AD21" s="55"/>
      <c r="AE21" s="55"/>
      <c r="AF21" s="55"/>
      <c r="AG21" s="58" t="s">
        <v>155</v>
      </c>
      <c r="AH21" s="186" t="s">
        <v>2650</v>
      </c>
      <c r="AI21" s="186"/>
      <c r="AJ21" s="186"/>
      <c r="AK21" s="53"/>
      <c r="AL21" s="58">
        <f>(B21-DATE(1970,1,1))*86400</f>
        <v>1774569600</v>
      </c>
      <c r="AM21" s="58">
        <f>(C21-DATE(1970,1,1))*86400</f>
        <v>1774828800</v>
      </c>
      <c r="AN21" s="58">
        <f>AVERAGE(AL21:AM21)</f>
        <v>1774699200</v>
      </c>
    </row>
    <row r="22" spans="1:65" x14ac:dyDescent="0.2">
      <c r="A22" s="281" t="s">
        <v>123</v>
      </c>
      <c r="B22" s="240">
        <v>46108</v>
      </c>
      <c r="C22" s="240">
        <v>46111</v>
      </c>
      <c r="D22" s="53" t="s">
        <v>154</v>
      </c>
      <c r="E22" s="323" t="s">
        <v>125</v>
      </c>
      <c r="F22" s="53"/>
      <c r="G22" s="53" t="s">
        <v>126</v>
      </c>
      <c r="H22" s="351">
        <v>1002</v>
      </c>
      <c r="I22" s="55">
        <v>40</v>
      </c>
      <c r="J22" s="55"/>
      <c r="K22" s="55"/>
      <c r="L22" s="55"/>
      <c r="M22" s="55">
        <v>3</v>
      </c>
      <c r="N22" s="55"/>
      <c r="O22" s="55"/>
      <c r="P22" s="547"/>
      <c r="Q22" s="55"/>
      <c r="R22" s="56"/>
      <c r="S22" s="547"/>
      <c r="T22" s="55"/>
      <c r="U22" s="547"/>
      <c r="V22" s="55">
        <v>3</v>
      </c>
      <c r="W22" s="55"/>
      <c r="X22" s="55">
        <v>6</v>
      </c>
      <c r="Y22" s="55">
        <v>49</v>
      </c>
      <c r="Z22" s="547"/>
      <c r="AA22" s="547">
        <v>0</v>
      </c>
      <c r="AB22" s="57">
        <f>100/(SUM(I22:Z22))</f>
        <v>0.99009900990099009</v>
      </c>
      <c r="AC22" s="259">
        <f>SUM(I22:AA22)</f>
        <v>101</v>
      </c>
      <c r="AD22" s="55"/>
      <c r="AE22" s="55"/>
      <c r="AF22" s="55"/>
      <c r="AG22" s="58" t="s">
        <v>155</v>
      </c>
      <c r="AH22" s="186" t="s">
        <v>2650</v>
      </c>
      <c r="AI22" s="186"/>
      <c r="AJ22" s="186"/>
      <c r="AK22" s="53"/>
      <c r="AL22" s="58">
        <f>(B22-DATE(1970,1,1))*86400</f>
        <v>1774569600</v>
      </c>
      <c r="AM22" s="58">
        <f>(C22-DATE(1970,1,1))*86400</f>
        <v>1774828800</v>
      </c>
      <c r="AN22" s="58">
        <f>AVERAGE(AL22:AM22)</f>
        <v>1774699200</v>
      </c>
    </row>
    <row r="23" spans="1:65" x14ac:dyDescent="0.2">
      <c r="A23" s="278" t="s">
        <v>133</v>
      </c>
      <c r="B23" s="203">
        <v>46108</v>
      </c>
      <c r="C23" s="203">
        <v>46108</v>
      </c>
      <c r="D23" s="202" t="s">
        <v>1706</v>
      </c>
      <c r="E23" s="330" t="s">
        <v>184</v>
      </c>
      <c r="F23" s="202" t="s">
        <v>140</v>
      </c>
      <c r="G23" s="202" t="s">
        <v>135</v>
      </c>
      <c r="H23" s="330">
        <v>1200</v>
      </c>
      <c r="I23" s="202"/>
      <c r="J23" s="202"/>
      <c r="K23" s="202"/>
      <c r="L23" s="202"/>
      <c r="M23" s="202"/>
      <c r="N23" s="202"/>
      <c r="O23" s="202"/>
      <c r="P23" s="202"/>
      <c r="Q23" s="202"/>
      <c r="R23" s="202"/>
      <c r="S23" s="202"/>
      <c r="T23" s="202"/>
      <c r="U23" s="202"/>
      <c r="V23" s="202"/>
      <c r="W23" s="204"/>
      <c r="X23" s="202"/>
      <c r="Y23" s="202"/>
      <c r="Z23" s="202"/>
      <c r="AA23" s="202"/>
      <c r="AB23" s="205"/>
      <c r="AC23" s="259">
        <f>SUM(I23:AA23)</f>
        <v>0</v>
      </c>
      <c r="AD23" s="206"/>
      <c r="AE23" s="206"/>
      <c r="AF23" s="206"/>
      <c r="AG23" s="206" t="s">
        <v>1940</v>
      </c>
      <c r="AH23" s="207" t="s">
        <v>2631</v>
      </c>
      <c r="AI23" s="202"/>
      <c r="AJ23" s="202"/>
      <c r="AK23" s="202" t="s">
        <v>138</v>
      </c>
      <c r="AL23" s="208">
        <f>(B23-DATE(1970,1,1))*86400</f>
        <v>1774569600</v>
      </c>
      <c r="AM23" s="208">
        <f>(C23-DATE(1970,1,1))*86400</f>
        <v>1774569600</v>
      </c>
      <c r="AN23" s="208">
        <f>AVERAGE(AL23:AM23)</f>
        <v>1774569600</v>
      </c>
    </row>
    <row r="24" spans="1:65" x14ac:dyDescent="0.2">
      <c r="A24" s="279" t="s">
        <v>123</v>
      </c>
      <c r="B24" s="14">
        <v>46107</v>
      </c>
      <c r="C24" s="14">
        <v>46108</v>
      </c>
      <c r="D24" s="13" t="s">
        <v>2288</v>
      </c>
      <c r="E24" s="401">
        <v>1</v>
      </c>
      <c r="F24" s="13"/>
      <c r="G24" s="13" t="s">
        <v>126</v>
      </c>
      <c r="H24" s="349">
        <v>1000</v>
      </c>
      <c r="I24" s="15">
        <v>46</v>
      </c>
      <c r="J24" s="15"/>
      <c r="K24" s="15"/>
      <c r="L24" s="15"/>
      <c r="M24" s="15">
        <v>5</v>
      </c>
      <c r="N24" s="15"/>
      <c r="O24" s="15"/>
      <c r="P24" s="15"/>
      <c r="Q24" s="15"/>
      <c r="R24" s="15"/>
      <c r="S24" s="15"/>
      <c r="T24" s="15"/>
      <c r="U24" s="15"/>
      <c r="V24" s="15">
        <v>2</v>
      </c>
      <c r="W24" s="15"/>
      <c r="X24" s="15">
        <v>6</v>
      </c>
      <c r="Y24" s="15">
        <v>41</v>
      </c>
      <c r="Z24" s="397">
        <v>0</v>
      </c>
      <c r="AA24" s="397">
        <v>0</v>
      </c>
      <c r="AB24" s="16">
        <f>100/(SUM(I24:Z24))</f>
        <v>1</v>
      </c>
      <c r="AC24" s="259">
        <f>SUM(I24:AA24)</f>
        <v>100</v>
      </c>
      <c r="AD24" s="15"/>
      <c r="AE24" s="15"/>
      <c r="AF24" s="15"/>
      <c r="AG24" s="17" t="s">
        <v>2221</v>
      </c>
      <c r="AH24" s="201" t="s">
        <v>2651</v>
      </c>
      <c r="AI24" s="201"/>
      <c r="AJ24" s="201"/>
      <c r="AK24" s="13"/>
      <c r="AL24" s="17">
        <f>(B24-DATE(1970,1,1))*86400</f>
        <v>1774483200</v>
      </c>
      <c r="AM24" s="17">
        <f>(C24-DATE(1970,1,1))*86400</f>
        <v>1774569600</v>
      </c>
      <c r="AN24" s="17">
        <f>AVERAGE(AL24:AM24)</f>
        <v>1774526400</v>
      </c>
    </row>
    <row r="25" spans="1:65" x14ac:dyDescent="0.2">
      <c r="A25" s="286" t="s">
        <v>133</v>
      </c>
      <c r="B25" s="41">
        <v>46105</v>
      </c>
      <c r="C25" s="41">
        <v>46109</v>
      </c>
      <c r="D25" s="40" t="s">
        <v>148</v>
      </c>
      <c r="E25" s="325" t="s">
        <v>125</v>
      </c>
      <c r="F25" s="40"/>
      <c r="G25" s="40" t="s">
        <v>597</v>
      </c>
      <c r="H25" s="325">
        <v>1000</v>
      </c>
      <c r="I25" s="42">
        <v>31</v>
      </c>
      <c r="J25" s="42"/>
      <c r="K25" s="42"/>
      <c r="L25" s="42"/>
      <c r="M25" s="42">
        <v>3</v>
      </c>
      <c r="N25" s="42"/>
      <c r="O25" s="42"/>
      <c r="P25" s="42" t="s">
        <v>355</v>
      </c>
      <c r="Q25" s="42"/>
      <c r="R25" s="43"/>
      <c r="S25" s="42"/>
      <c r="T25" s="42"/>
      <c r="U25" s="42"/>
      <c r="V25" s="42">
        <v>3</v>
      </c>
      <c r="W25" s="42"/>
      <c r="X25" s="42">
        <v>4</v>
      </c>
      <c r="Y25" s="42">
        <v>39</v>
      </c>
      <c r="Z25" s="42">
        <v>0</v>
      </c>
      <c r="AA25" s="42">
        <v>20</v>
      </c>
      <c r="AB25" s="44">
        <f>100/(SUM(I25:Z25))</f>
        <v>1.25</v>
      </c>
      <c r="AC25" s="259">
        <f>SUM(I25:AA25)</f>
        <v>100</v>
      </c>
      <c r="AD25" s="42"/>
      <c r="AE25" s="43"/>
      <c r="AF25" s="43"/>
      <c r="AG25" s="45" t="s">
        <v>2657</v>
      </c>
      <c r="AH25" s="189" t="s">
        <v>2588</v>
      </c>
      <c r="AI25" s="189" t="s">
        <v>2647</v>
      </c>
      <c r="AJ25" s="46" t="s">
        <v>2656</v>
      </c>
      <c r="AK25" s="40" t="s">
        <v>2649</v>
      </c>
      <c r="AL25" s="45">
        <f>(B25-DATE(1970,1,1))*86400</f>
        <v>1774310400</v>
      </c>
      <c r="AM25" s="45">
        <f>(C25-DATE(1970,1,1))*86400</f>
        <v>1774656000</v>
      </c>
      <c r="AN25" s="45">
        <f>AVERAGE(AL25:AM25)</f>
        <v>1774483200</v>
      </c>
    </row>
    <row r="26" spans="1:65" s="416" customFormat="1" ht="15.75" customHeight="1" x14ac:dyDescent="0.2">
      <c r="A26" s="286" t="s">
        <v>133</v>
      </c>
      <c r="B26" s="41">
        <v>46105</v>
      </c>
      <c r="C26" s="41">
        <v>46109</v>
      </c>
      <c r="D26" s="40" t="s">
        <v>148</v>
      </c>
      <c r="E26" s="325" t="s">
        <v>125</v>
      </c>
      <c r="F26" s="40"/>
      <c r="G26" s="40" t="s">
        <v>597</v>
      </c>
      <c r="H26" s="325">
        <v>1000</v>
      </c>
      <c r="I26" s="42">
        <v>39</v>
      </c>
      <c r="J26" s="42"/>
      <c r="K26" s="42"/>
      <c r="L26" s="42"/>
      <c r="M26" s="42">
        <v>3</v>
      </c>
      <c r="N26" s="42"/>
      <c r="O26" s="42"/>
      <c r="P26" s="42" t="s">
        <v>355</v>
      </c>
      <c r="Q26" s="42"/>
      <c r="R26" s="43"/>
      <c r="S26" s="42"/>
      <c r="T26" s="42"/>
      <c r="U26" s="42"/>
      <c r="V26" s="42">
        <v>4</v>
      </c>
      <c r="W26" s="42"/>
      <c r="X26" s="42">
        <v>4</v>
      </c>
      <c r="Y26" s="42">
        <v>50</v>
      </c>
      <c r="Z26" s="42">
        <v>0</v>
      </c>
      <c r="AA26" s="42">
        <v>0</v>
      </c>
      <c r="AB26" s="44">
        <f>100/(SUM(I26:Z26))</f>
        <v>1</v>
      </c>
      <c r="AC26" s="259">
        <f>SUM(I26:AA26)</f>
        <v>100</v>
      </c>
      <c r="AD26" s="42"/>
      <c r="AE26" s="43"/>
      <c r="AF26" s="43"/>
      <c r="AG26" s="45" t="s">
        <v>2657</v>
      </c>
      <c r="AH26" s="189" t="s">
        <v>2588</v>
      </c>
      <c r="AI26" s="189" t="s">
        <v>2647</v>
      </c>
      <c r="AJ26" s="46" t="s">
        <v>2656</v>
      </c>
      <c r="AK26" s="40"/>
      <c r="AL26" s="45">
        <f>(B26-DATE(1970,1,1))*86400</f>
        <v>1774310400</v>
      </c>
      <c r="AM26" s="45">
        <f>(C26-DATE(1970,1,1))*86400</f>
        <v>1774656000</v>
      </c>
      <c r="AN26" s="45">
        <f>AVERAGE(AL26:AM26)</f>
        <v>1774483200</v>
      </c>
      <c r="AO26"/>
      <c r="AP26"/>
      <c r="AQ26"/>
      <c r="AR26"/>
      <c r="AS26"/>
      <c r="AT26"/>
      <c r="AU26"/>
      <c r="AV26"/>
      <c r="AW26"/>
      <c r="AX26"/>
      <c r="AY26"/>
      <c r="AZ26"/>
      <c r="BA26"/>
      <c r="BB26"/>
      <c r="BC26"/>
      <c r="BD26"/>
      <c r="BE26"/>
      <c r="BF26"/>
      <c r="BG26"/>
      <c r="BH26"/>
      <c r="BI26"/>
      <c r="BJ26"/>
      <c r="BK26"/>
      <c r="BL26"/>
      <c r="BM26"/>
    </row>
    <row r="27" spans="1:65" s="665" customFormat="1" ht="15.75" customHeight="1" x14ac:dyDescent="0.2">
      <c r="A27" s="286" t="s">
        <v>123</v>
      </c>
      <c r="B27" s="41">
        <v>46105</v>
      </c>
      <c r="C27" s="41">
        <v>46109</v>
      </c>
      <c r="D27" s="40" t="s">
        <v>148</v>
      </c>
      <c r="E27" s="325" t="s">
        <v>125</v>
      </c>
      <c r="F27" s="40"/>
      <c r="G27" s="40" t="s">
        <v>597</v>
      </c>
      <c r="H27" s="325">
        <v>1000</v>
      </c>
      <c r="I27" s="42">
        <v>38</v>
      </c>
      <c r="J27" s="42"/>
      <c r="K27" s="42"/>
      <c r="L27" s="42"/>
      <c r="M27" s="42">
        <v>3</v>
      </c>
      <c r="N27" s="42"/>
      <c r="O27" s="42"/>
      <c r="P27" s="42" t="s">
        <v>355</v>
      </c>
      <c r="Q27" s="42"/>
      <c r="R27" s="43"/>
      <c r="S27" s="42"/>
      <c r="T27" s="42"/>
      <c r="U27" s="42"/>
      <c r="V27" s="42">
        <v>3</v>
      </c>
      <c r="W27" s="42"/>
      <c r="X27" s="42">
        <v>5</v>
      </c>
      <c r="Y27" s="42">
        <v>51</v>
      </c>
      <c r="Z27" s="42">
        <v>0</v>
      </c>
      <c r="AA27" s="42">
        <v>0</v>
      </c>
      <c r="AB27" s="44">
        <f>100/(SUM(I27:Z27))</f>
        <v>1</v>
      </c>
      <c r="AC27" s="259">
        <f>SUM(I27:AA27)</f>
        <v>100</v>
      </c>
      <c r="AD27" s="42"/>
      <c r="AE27" s="43"/>
      <c r="AF27" s="43"/>
      <c r="AG27" s="45" t="s">
        <v>2657</v>
      </c>
      <c r="AH27" s="189" t="s">
        <v>2588</v>
      </c>
      <c r="AI27" s="189" t="s">
        <v>2647</v>
      </c>
      <c r="AJ27" s="46" t="s">
        <v>2656</v>
      </c>
      <c r="AK27" s="40"/>
      <c r="AL27" s="45">
        <f>(B27-DATE(1970,1,1))*86400</f>
        <v>1774310400</v>
      </c>
      <c r="AM27" s="45">
        <f>(C27-DATE(1970,1,1))*86400</f>
        <v>1774656000</v>
      </c>
      <c r="AN27" s="45">
        <f>AVERAGE(AL27:AM27)</f>
        <v>1774483200</v>
      </c>
    </row>
    <row r="28" spans="1:65" s="665" customFormat="1" ht="15.75" customHeight="1" x14ac:dyDescent="0.2">
      <c r="A28" s="287" t="s">
        <v>133</v>
      </c>
      <c r="B28" s="187">
        <v>46104</v>
      </c>
      <c r="C28" s="187">
        <v>46109</v>
      </c>
      <c r="D28" s="69" t="s">
        <v>183</v>
      </c>
      <c r="E28" s="333" t="s">
        <v>125</v>
      </c>
      <c r="F28" s="69"/>
      <c r="G28" s="188" t="s">
        <v>597</v>
      </c>
      <c r="H28" s="354">
        <v>1500</v>
      </c>
      <c r="I28" s="71">
        <v>28</v>
      </c>
      <c r="J28" s="71"/>
      <c r="K28" s="71"/>
      <c r="L28" s="71"/>
      <c r="M28" s="71">
        <v>1</v>
      </c>
      <c r="N28" s="71"/>
      <c r="O28" s="71"/>
      <c r="P28" s="71"/>
      <c r="Q28" s="71"/>
      <c r="R28" s="72"/>
      <c r="S28" s="71"/>
      <c r="T28" s="71"/>
      <c r="U28" s="71"/>
      <c r="V28" s="71">
        <v>1</v>
      </c>
      <c r="W28" s="71"/>
      <c r="X28" s="71">
        <v>4</v>
      </c>
      <c r="Y28" s="71">
        <v>40</v>
      </c>
      <c r="Z28" s="71">
        <v>0</v>
      </c>
      <c r="AA28" s="71">
        <v>26</v>
      </c>
      <c r="AB28" s="73">
        <f>100/(SUM(I28:Z28))</f>
        <v>1.3513513513513513</v>
      </c>
      <c r="AC28" s="259">
        <f>SUM(I28:AA28)</f>
        <v>100</v>
      </c>
      <c r="AD28" s="71"/>
      <c r="AE28" s="71"/>
      <c r="AF28" s="71"/>
      <c r="AG28" s="74" t="s">
        <v>237</v>
      </c>
      <c r="AH28" s="199" t="s">
        <v>2648</v>
      </c>
      <c r="AI28" s="199"/>
      <c r="AJ28" s="199"/>
      <c r="AK28" s="69" t="s">
        <v>2649</v>
      </c>
      <c r="AL28" s="74">
        <f>(B28-DATE(1970,1,1))*86400</f>
        <v>1774224000</v>
      </c>
      <c r="AM28" s="74">
        <f>(C28-DATE(1970,1,1))*86400</f>
        <v>1774656000</v>
      </c>
      <c r="AN28" s="74">
        <f>AVERAGE(AL28:AM28)</f>
        <v>1774440000</v>
      </c>
    </row>
    <row r="29" spans="1:65" ht="15.75" customHeight="1" x14ac:dyDescent="0.2">
      <c r="A29" s="287" t="s">
        <v>133</v>
      </c>
      <c r="B29" s="187">
        <v>46104</v>
      </c>
      <c r="C29" s="187">
        <v>46109</v>
      </c>
      <c r="D29" s="69" t="s">
        <v>183</v>
      </c>
      <c r="E29" s="400">
        <v>1</v>
      </c>
      <c r="F29" s="69"/>
      <c r="G29" s="188" t="s">
        <v>597</v>
      </c>
      <c r="H29" s="354">
        <v>1500</v>
      </c>
      <c r="I29" s="71">
        <v>38</v>
      </c>
      <c r="J29" s="71"/>
      <c r="K29" s="71"/>
      <c r="L29" s="71"/>
      <c r="M29" s="71">
        <v>1</v>
      </c>
      <c r="N29" s="71"/>
      <c r="O29" s="71"/>
      <c r="P29" s="71"/>
      <c r="Q29" s="71"/>
      <c r="R29" s="72"/>
      <c r="S29" s="71"/>
      <c r="T29" s="71"/>
      <c r="U29" s="71"/>
      <c r="V29" s="71">
        <v>1</v>
      </c>
      <c r="W29" s="71"/>
      <c r="X29" s="71">
        <v>6</v>
      </c>
      <c r="Y29" s="71">
        <v>54</v>
      </c>
      <c r="Z29" s="71">
        <v>0</v>
      </c>
      <c r="AA29" s="71">
        <v>0</v>
      </c>
      <c r="AB29" s="73">
        <f>100/(SUM(I29:Z29))</f>
        <v>1</v>
      </c>
      <c r="AC29" s="259">
        <f>SUM(I29:AA29)</f>
        <v>100</v>
      </c>
      <c r="AD29" s="71"/>
      <c r="AE29" s="71"/>
      <c r="AF29" s="71"/>
      <c r="AG29" s="74" t="s">
        <v>237</v>
      </c>
      <c r="AH29" s="199" t="s">
        <v>2648</v>
      </c>
      <c r="AI29" s="199"/>
      <c r="AJ29" s="199"/>
      <c r="AK29" s="69"/>
      <c r="AL29" s="74">
        <f>(B29-DATE(1970,1,1))*86400</f>
        <v>1774224000</v>
      </c>
      <c r="AM29" s="74">
        <f>(C29-DATE(1970,1,1))*86400</f>
        <v>1774656000</v>
      </c>
      <c r="AN29" s="74">
        <f>AVERAGE(AL29:AM29)</f>
        <v>1774440000</v>
      </c>
    </row>
    <row r="30" spans="1:65" ht="15.75" customHeight="1" x14ac:dyDescent="0.2">
      <c r="A30" s="653" t="s">
        <v>133</v>
      </c>
      <c r="B30" s="654">
        <v>46106</v>
      </c>
      <c r="C30" s="654">
        <v>46107</v>
      </c>
      <c r="D30" s="655" t="s">
        <v>183</v>
      </c>
      <c r="E30" s="656">
        <v>1</v>
      </c>
      <c r="F30" s="655" t="s">
        <v>2643</v>
      </c>
      <c r="G30" s="657" t="s">
        <v>126</v>
      </c>
      <c r="H30" s="658">
        <v>600</v>
      </c>
      <c r="I30" s="659">
        <v>40</v>
      </c>
      <c r="J30" s="659"/>
      <c r="K30" s="659"/>
      <c r="L30" s="659"/>
      <c r="M30" s="659">
        <v>2</v>
      </c>
      <c r="N30" s="659"/>
      <c r="O30" s="659"/>
      <c r="P30" s="659"/>
      <c r="Q30" s="659"/>
      <c r="R30" s="660"/>
      <c r="S30" s="659"/>
      <c r="T30" s="659"/>
      <c r="U30" s="659"/>
      <c r="V30" s="659">
        <v>1</v>
      </c>
      <c r="W30" s="659"/>
      <c r="X30" s="659">
        <v>4</v>
      </c>
      <c r="Y30" s="659">
        <v>51</v>
      </c>
      <c r="Z30" s="661">
        <v>2</v>
      </c>
      <c r="AA30" s="659">
        <v>0</v>
      </c>
      <c r="AB30" s="662">
        <f>100/(SUM(I30:Z30))</f>
        <v>1</v>
      </c>
      <c r="AC30" s="662">
        <f>SUM(I30:AA30)</f>
        <v>100</v>
      </c>
      <c r="AD30" s="659"/>
      <c r="AE30" s="659"/>
      <c r="AF30" s="659"/>
      <c r="AG30" s="663" t="s">
        <v>1928</v>
      </c>
      <c r="AH30" s="666" t="s">
        <v>2635</v>
      </c>
      <c r="AI30" s="666"/>
      <c r="AJ30" s="666"/>
      <c r="AK30" s="655" t="s">
        <v>2636</v>
      </c>
      <c r="AL30" s="663">
        <f>(B30-DATE(1970,1,1))*86400</f>
        <v>1774396800</v>
      </c>
      <c r="AM30" s="663">
        <f>(C30-DATE(1970,1,1))*86400</f>
        <v>1774483200</v>
      </c>
      <c r="AN30" s="663">
        <f>AVERAGE(AL30:AM30)</f>
        <v>1774440000</v>
      </c>
      <c r="AO30" s="631"/>
      <c r="AP30" s="631"/>
      <c r="AQ30" s="631"/>
      <c r="AR30" s="631"/>
      <c r="AS30" s="631"/>
      <c r="AT30" s="631"/>
      <c r="AU30" s="631"/>
      <c r="AV30" s="631"/>
      <c r="AW30" s="631"/>
      <c r="AX30" s="631"/>
      <c r="AY30" s="631"/>
      <c r="AZ30" s="631"/>
      <c r="BA30" s="631"/>
      <c r="BB30" s="631"/>
      <c r="BC30" s="631"/>
      <c r="BD30" s="631"/>
      <c r="BE30" s="631"/>
      <c r="BF30" s="631"/>
      <c r="BG30" s="631"/>
      <c r="BH30" s="631"/>
      <c r="BI30" s="631"/>
      <c r="BJ30" s="631"/>
      <c r="BK30" s="631"/>
      <c r="BL30" s="631"/>
      <c r="BM30" s="631"/>
    </row>
    <row r="31" spans="1:65" ht="15.75" customHeight="1" x14ac:dyDescent="0.2">
      <c r="A31" s="653" t="s">
        <v>133</v>
      </c>
      <c r="B31" s="654">
        <v>46106</v>
      </c>
      <c r="C31" s="654">
        <v>46107</v>
      </c>
      <c r="D31" s="655" t="s">
        <v>183</v>
      </c>
      <c r="E31" s="656">
        <v>1</v>
      </c>
      <c r="F31" s="655" t="s">
        <v>2643</v>
      </c>
      <c r="G31" s="657" t="s">
        <v>126</v>
      </c>
      <c r="H31" s="658">
        <v>600</v>
      </c>
      <c r="I31" s="659">
        <v>39</v>
      </c>
      <c r="J31" s="659"/>
      <c r="K31" s="659"/>
      <c r="L31" s="659"/>
      <c r="M31" s="659">
        <v>2</v>
      </c>
      <c r="N31" s="659"/>
      <c r="O31" s="659"/>
      <c r="P31" s="659"/>
      <c r="Q31" s="659"/>
      <c r="R31" s="660"/>
      <c r="S31" s="659"/>
      <c r="T31" s="659"/>
      <c r="U31" s="659"/>
      <c r="V31" s="659">
        <v>1</v>
      </c>
      <c r="W31" s="659"/>
      <c r="X31" s="659">
        <v>4</v>
      </c>
      <c r="Y31" s="659">
        <v>52</v>
      </c>
      <c r="Z31" s="661">
        <v>2</v>
      </c>
      <c r="AA31" s="659">
        <v>0</v>
      </c>
      <c r="AB31" s="662">
        <f>100/(SUM(I31:Z31))</f>
        <v>1</v>
      </c>
      <c r="AC31" s="662">
        <f>SUM(I31:AA31)</f>
        <v>100</v>
      </c>
      <c r="AD31" s="659"/>
      <c r="AE31" s="659"/>
      <c r="AF31" s="659"/>
      <c r="AG31" s="663" t="s">
        <v>1928</v>
      </c>
      <c r="AH31" s="666" t="s">
        <v>2635</v>
      </c>
      <c r="AI31" s="666"/>
      <c r="AJ31" s="666"/>
      <c r="AK31" s="655" t="s">
        <v>2636</v>
      </c>
      <c r="AL31" s="663">
        <f>(B31-DATE(1970,1,1))*86400</f>
        <v>1774396800</v>
      </c>
      <c r="AM31" s="663">
        <f>(C31-DATE(1970,1,1))*86400</f>
        <v>1774483200</v>
      </c>
      <c r="AN31" s="663">
        <f>AVERAGE(AL31:AM31)</f>
        <v>1774440000</v>
      </c>
      <c r="AO31" s="631"/>
      <c r="AP31" s="631"/>
      <c r="AQ31" s="631"/>
      <c r="AR31" s="631"/>
      <c r="AS31" s="631"/>
      <c r="AT31" s="631"/>
      <c r="AU31" s="631"/>
      <c r="AV31" s="631"/>
      <c r="AW31" s="631"/>
      <c r="AX31" s="631"/>
      <c r="AY31" s="631"/>
      <c r="AZ31" s="631"/>
      <c r="BA31" s="631"/>
      <c r="BB31" s="631"/>
      <c r="BC31" s="631"/>
      <c r="BD31" s="631"/>
      <c r="BE31" s="631"/>
      <c r="BF31" s="631"/>
      <c r="BG31" s="631"/>
      <c r="BH31" s="631"/>
      <c r="BI31" s="631"/>
      <c r="BJ31" s="631"/>
      <c r="BK31" s="631"/>
      <c r="BL31" s="631"/>
      <c r="BM31" s="631"/>
    </row>
    <row r="32" spans="1:65" ht="15.75" customHeight="1" x14ac:dyDescent="0.2">
      <c r="A32" s="287" t="s">
        <v>123</v>
      </c>
      <c r="B32" s="187">
        <v>46104</v>
      </c>
      <c r="C32" s="187">
        <v>46109</v>
      </c>
      <c r="D32" s="69" t="s">
        <v>183</v>
      </c>
      <c r="E32" s="400">
        <v>1</v>
      </c>
      <c r="F32" s="69"/>
      <c r="G32" s="188" t="s">
        <v>597</v>
      </c>
      <c r="H32" s="354">
        <v>1500</v>
      </c>
      <c r="I32" s="71">
        <v>37</v>
      </c>
      <c r="J32" s="71"/>
      <c r="K32" s="71"/>
      <c r="L32" s="71"/>
      <c r="M32" s="71">
        <v>1</v>
      </c>
      <c r="N32" s="71"/>
      <c r="O32" s="71"/>
      <c r="P32" s="71"/>
      <c r="Q32" s="71"/>
      <c r="R32" s="72"/>
      <c r="S32" s="71"/>
      <c r="T32" s="71"/>
      <c r="U32" s="71"/>
      <c r="V32" s="71">
        <v>1</v>
      </c>
      <c r="W32" s="71"/>
      <c r="X32" s="71">
        <v>5</v>
      </c>
      <c r="Y32" s="71">
        <v>56</v>
      </c>
      <c r="Z32" s="71">
        <v>0</v>
      </c>
      <c r="AA32" s="71">
        <v>0</v>
      </c>
      <c r="AB32" s="73">
        <f>100/(SUM(I32:Z32))</f>
        <v>1</v>
      </c>
      <c r="AC32" s="259">
        <f>SUM(I32:AA32)</f>
        <v>100</v>
      </c>
      <c r="AD32" s="71"/>
      <c r="AE32" s="71"/>
      <c r="AF32" s="71"/>
      <c r="AG32" s="74" t="s">
        <v>237</v>
      </c>
      <c r="AH32" s="199" t="s">
        <v>2648</v>
      </c>
      <c r="AI32" s="199"/>
      <c r="AJ32" s="199"/>
      <c r="AK32" s="69"/>
      <c r="AL32" s="74">
        <f>(B32-DATE(1970,1,1))*86400</f>
        <v>1774224000</v>
      </c>
      <c r="AM32" s="74">
        <f>(C32-DATE(1970,1,1))*86400</f>
        <v>1774656000</v>
      </c>
      <c r="AN32" s="74">
        <f>AVERAGE(AL32:AM32)</f>
        <v>1774440000</v>
      </c>
    </row>
    <row r="33" spans="1:65" ht="15.75" customHeight="1" x14ac:dyDescent="0.2">
      <c r="A33" s="285" t="s">
        <v>133</v>
      </c>
      <c r="B33" s="581">
        <v>46104</v>
      </c>
      <c r="C33" s="581">
        <v>46107</v>
      </c>
      <c r="D33" s="33" t="s">
        <v>143</v>
      </c>
      <c r="E33" s="319" t="s">
        <v>125</v>
      </c>
      <c r="F33" s="33" t="s">
        <v>2660</v>
      </c>
      <c r="G33" s="33" t="s">
        <v>126</v>
      </c>
      <c r="H33" s="353">
        <v>1000</v>
      </c>
      <c r="I33" s="35">
        <v>29</v>
      </c>
      <c r="J33" s="35"/>
      <c r="K33" s="35"/>
      <c r="L33" s="35"/>
      <c r="M33" s="35" t="s">
        <v>355</v>
      </c>
      <c r="N33" s="35"/>
      <c r="O33" s="35"/>
      <c r="P33" s="35"/>
      <c r="Q33" s="35"/>
      <c r="R33" s="36"/>
      <c r="S33" s="35"/>
      <c r="T33" s="35"/>
      <c r="U33" s="35"/>
      <c r="V33" s="35" t="s">
        <v>355</v>
      </c>
      <c r="W33" s="35"/>
      <c r="X33" s="35" t="s">
        <v>355</v>
      </c>
      <c r="Y33" s="35">
        <v>50</v>
      </c>
      <c r="Z33" s="36">
        <v>6</v>
      </c>
      <c r="AA33" s="35">
        <v>15</v>
      </c>
      <c r="AB33" s="37">
        <f>100/(SUM(I33:Z33))</f>
        <v>1.1764705882352942</v>
      </c>
      <c r="AC33" s="259">
        <f>SUM(I33:AA33)</f>
        <v>100</v>
      </c>
      <c r="AD33" s="35"/>
      <c r="AE33" s="35"/>
      <c r="AF33" s="35"/>
      <c r="AG33" s="33" t="s">
        <v>644</v>
      </c>
      <c r="AH33" s="33" t="s">
        <v>2659</v>
      </c>
      <c r="AI33" s="190"/>
      <c r="AJ33" s="190"/>
      <c r="AK33" s="33"/>
      <c r="AL33" s="39">
        <f>(B33-DATE(1970,1,1))*86400</f>
        <v>1774224000</v>
      </c>
      <c r="AM33" s="39">
        <f>(C33-DATE(1970,1,1))*86400</f>
        <v>1774483200</v>
      </c>
      <c r="AN33" s="39">
        <f>AVERAGE(AL33:AM33)</f>
        <v>1774353600</v>
      </c>
      <c r="AO33" s="632"/>
      <c r="AP33" s="632"/>
      <c r="AQ33" s="632"/>
      <c r="AR33" s="632"/>
      <c r="AS33" s="632"/>
      <c r="AT33" s="632"/>
      <c r="AU33" s="632"/>
      <c r="AV33" s="632"/>
      <c r="AW33" s="632"/>
      <c r="AX33" s="632"/>
      <c r="AY33" s="632"/>
      <c r="AZ33" s="632"/>
      <c r="BA33" s="632"/>
      <c r="BB33" s="632"/>
      <c r="BC33" s="632"/>
      <c r="BD33" s="632"/>
      <c r="BE33" s="632"/>
      <c r="BF33" s="632"/>
      <c r="BG33" s="632"/>
      <c r="BH33" s="632"/>
      <c r="BI33" s="632"/>
      <c r="BJ33" s="632"/>
      <c r="BK33" s="632"/>
      <c r="BL33" s="632"/>
    </row>
    <row r="34" spans="1:65" ht="15.75" customHeight="1" x14ac:dyDescent="0.2">
      <c r="A34" s="288" t="s">
        <v>133</v>
      </c>
      <c r="B34" s="60">
        <v>46104</v>
      </c>
      <c r="C34" s="60">
        <v>46107</v>
      </c>
      <c r="D34" s="61" t="s">
        <v>168</v>
      </c>
      <c r="E34" s="334" t="s">
        <v>125</v>
      </c>
      <c r="F34" s="218"/>
      <c r="G34" s="61" t="s">
        <v>126</v>
      </c>
      <c r="H34" s="334">
        <v>1000</v>
      </c>
      <c r="I34" s="63">
        <v>31</v>
      </c>
      <c r="J34" s="63"/>
      <c r="K34" s="63"/>
      <c r="L34" s="63"/>
      <c r="M34" s="63">
        <v>2</v>
      </c>
      <c r="N34" s="63"/>
      <c r="O34" s="63"/>
      <c r="P34" s="63"/>
      <c r="Q34" s="63"/>
      <c r="R34" s="64"/>
      <c r="S34" s="63"/>
      <c r="T34" s="63"/>
      <c r="U34" s="63"/>
      <c r="V34" s="63">
        <v>3</v>
      </c>
      <c r="W34" s="63"/>
      <c r="X34" s="63">
        <v>4</v>
      </c>
      <c r="Y34" s="63">
        <v>37</v>
      </c>
      <c r="Z34" s="63">
        <v>0</v>
      </c>
      <c r="AA34" s="63">
        <v>23</v>
      </c>
      <c r="AB34" s="65">
        <f>100/(SUM(I34:Z34))</f>
        <v>1.2987012987012987</v>
      </c>
      <c r="AC34" s="259">
        <f>SUM(I34:AA34)</f>
        <v>100</v>
      </c>
      <c r="AD34" s="63">
        <v>78</v>
      </c>
      <c r="AE34" s="64"/>
      <c r="AF34" s="64"/>
      <c r="AG34" s="66" t="s">
        <v>127</v>
      </c>
      <c r="AH34" s="200" t="s">
        <v>2633</v>
      </c>
      <c r="AI34" s="200" t="s">
        <v>2661</v>
      </c>
      <c r="AJ34" s="200" t="s">
        <v>2632</v>
      </c>
      <c r="AK34" s="61" t="s">
        <v>2634</v>
      </c>
      <c r="AL34" s="66">
        <f>(B34-DATE(1970,1,1))*86400</f>
        <v>1774224000</v>
      </c>
      <c r="AM34" s="66">
        <f>(C34-DATE(1970,1,1))*86400</f>
        <v>1774483200</v>
      </c>
      <c r="AN34" s="66">
        <f>AVERAGE(AL34:AM34)</f>
        <v>1774353600</v>
      </c>
    </row>
    <row r="35" spans="1:65" ht="15.75" customHeight="1" x14ac:dyDescent="0.2">
      <c r="A35" s="288" t="s">
        <v>133</v>
      </c>
      <c r="B35" s="60">
        <v>46104</v>
      </c>
      <c r="C35" s="60">
        <v>46107</v>
      </c>
      <c r="D35" s="61" t="s">
        <v>168</v>
      </c>
      <c r="E35" s="398">
        <v>1</v>
      </c>
      <c r="F35" s="218"/>
      <c r="G35" s="61" t="s">
        <v>126</v>
      </c>
      <c r="H35" s="334">
        <v>1000</v>
      </c>
      <c r="I35" s="63">
        <v>40</v>
      </c>
      <c r="J35" s="63"/>
      <c r="K35" s="63"/>
      <c r="L35" s="63"/>
      <c r="M35" s="63">
        <v>2</v>
      </c>
      <c r="N35" s="63"/>
      <c r="O35" s="63"/>
      <c r="P35" s="63"/>
      <c r="Q35" s="63"/>
      <c r="R35" s="64"/>
      <c r="S35" s="63"/>
      <c r="T35" s="63"/>
      <c r="U35" s="63"/>
      <c r="V35" s="63">
        <v>4</v>
      </c>
      <c r="W35" s="63"/>
      <c r="X35" s="63">
        <v>5</v>
      </c>
      <c r="Y35" s="63">
        <v>49</v>
      </c>
      <c r="Z35" s="63">
        <v>0</v>
      </c>
      <c r="AA35" s="63">
        <v>0</v>
      </c>
      <c r="AB35" s="65">
        <f>100/(SUM(I35:Z35))</f>
        <v>1</v>
      </c>
      <c r="AC35" s="259">
        <f>SUM(I35:AA35)</f>
        <v>100</v>
      </c>
      <c r="AD35" s="63"/>
      <c r="AE35" s="64"/>
      <c r="AF35" s="64"/>
      <c r="AG35" s="66" t="s">
        <v>127</v>
      </c>
      <c r="AH35" s="200" t="s">
        <v>2633</v>
      </c>
      <c r="AI35" s="200"/>
      <c r="AJ35" s="200" t="s">
        <v>2632</v>
      </c>
      <c r="AK35" s="61"/>
      <c r="AL35" s="66">
        <f>(B35-DATE(1970,1,1))*86400</f>
        <v>1774224000</v>
      </c>
      <c r="AM35" s="66">
        <f>(C35-DATE(1970,1,1))*86400</f>
        <v>1774483200</v>
      </c>
      <c r="AN35" s="66">
        <f>AVERAGE(AL35:AM35)</f>
        <v>1774353600</v>
      </c>
    </row>
    <row r="36" spans="1:65" s="416" customFormat="1" ht="15.75" customHeight="1" x14ac:dyDescent="0.2">
      <c r="A36" s="288" t="s">
        <v>123</v>
      </c>
      <c r="B36" s="60">
        <v>46104</v>
      </c>
      <c r="C36" s="60">
        <v>46107</v>
      </c>
      <c r="D36" s="61" t="s">
        <v>168</v>
      </c>
      <c r="E36" s="334" t="s">
        <v>125</v>
      </c>
      <c r="F36" s="218"/>
      <c r="G36" s="61" t="s">
        <v>126</v>
      </c>
      <c r="H36" s="334">
        <v>1000</v>
      </c>
      <c r="I36" s="63">
        <v>40</v>
      </c>
      <c r="J36" s="63"/>
      <c r="K36" s="63"/>
      <c r="L36" s="63"/>
      <c r="M36" s="63">
        <v>2</v>
      </c>
      <c r="N36" s="63"/>
      <c r="O36" s="63"/>
      <c r="P36" s="63"/>
      <c r="Q36" s="63"/>
      <c r="R36" s="64"/>
      <c r="S36" s="63"/>
      <c r="T36" s="63"/>
      <c r="U36" s="63"/>
      <c r="V36" s="63">
        <v>4</v>
      </c>
      <c r="W36" s="63"/>
      <c r="X36" s="63">
        <v>5</v>
      </c>
      <c r="Y36" s="63">
        <v>49</v>
      </c>
      <c r="Z36" s="63">
        <v>0</v>
      </c>
      <c r="AA36" s="63">
        <v>0</v>
      </c>
      <c r="AB36" s="65">
        <f>100/(SUM(I36:Z36))</f>
        <v>1</v>
      </c>
      <c r="AC36" s="259">
        <f>SUM(I36:AA36)</f>
        <v>100</v>
      </c>
      <c r="AD36" s="63"/>
      <c r="AE36" s="64"/>
      <c r="AF36" s="64"/>
      <c r="AG36" s="66" t="s">
        <v>127</v>
      </c>
      <c r="AH36" s="200" t="s">
        <v>2633</v>
      </c>
      <c r="AI36" s="200"/>
      <c r="AJ36" s="200" t="s">
        <v>2632</v>
      </c>
      <c r="AK36" s="61"/>
      <c r="AL36" s="66">
        <f>(B36-DATE(1970,1,1))*86400</f>
        <v>1774224000</v>
      </c>
      <c r="AM36" s="66">
        <f>(C36-DATE(1970,1,1))*86400</f>
        <v>1774483200</v>
      </c>
      <c r="AN36" s="66">
        <f>AVERAGE(AL36:AM36)</f>
        <v>1774353600</v>
      </c>
      <c r="AO36"/>
      <c r="AP36"/>
      <c r="AQ36"/>
      <c r="AR36"/>
      <c r="AS36"/>
      <c r="AT36"/>
      <c r="AU36"/>
      <c r="AV36"/>
      <c r="AW36"/>
      <c r="AX36"/>
      <c r="AY36"/>
      <c r="AZ36"/>
      <c r="BA36"/>
      <c r="BB36"/>
      <c r="BC36"/>
      <c r="BD36"/>
      <c r="BE36"/>
      <c r="BF36"/>
      <c r="BG36"/>
      <c r="BH36"/>
      <c r="BI36"/>
      <c r="BJ36"/>
      <c r="BK36"/>
      <c r="BL36"/>
      <c r="BM36"/>
    </row>
    <row r="37" spans="1:65" ht="15.75" customHeight="1" x14ac:dyDescent="0.2">
      <c r="A37" s="286" t="s">
        <v>133</v>
      </c>
      <c r="B37" s="41">
        <v>46102</v>
      </c>
      <c r="C37" s="41">
        <v>46108</v>
      </c>
      <c r="D37" s="40" t="s">
        <v>2644</v>
      </c>
      <c r="E37" s="325" t="s">
        <v>125</v>
      </c>
      <c r="F37" s="40" t="s">
        <v>2646</v>
      </c>
      <c r="G37" s="40" t="s">
        <v>126</v>
      </c>
      <c r="H37" s="325">
        <v>1000</v>
      </c>
      <c r="I37" s="42"/>
      <c r="J37" s="42"/>
      <c r="K37" s="42"/>
      <c r="L37" s="42"/>
      <c r="M37" s="42"/>
      <c r="N37" s="42"/>
      <c r="O37" s="42"/>
      <c r="P37" s="42"/>
      <c r="Q37" s="42"/>
      <c r="R37" s="43"/>
      <c r="S37" s="42"/>
      <c r="T37" s="42"/>
      <c r="U37" s="42"/>
      <c r="V37" s="42"/>
      <c r="W37" s="42"/>
      <c r="X37" s="42"/>
      <c r="Y37" s="42"/>
      <c r="Z37" s="42"/>
      <c r="AA37" s="42"/>
      <c r="AB37" s="44" t="e">
        <f>100/(SUM(I37:Z37))</f>
        <v>#DIV/0!</v>
      </c>
      <c r="AC37" s="259">
        <f>SUM(I37:AA37)</f>
        <v>0</v>
      </c>
      <c r="AD37" s="42"/>
      <c r="AE37" s="43"/>
      <c r="AF37" s="43"/>
      <c r="AG37" s="45" t="s">
        <v>1813</v>
      </c>
      <c r="AH37" s="189" t="s">
        <v>2645</v>
      </c>
      <c r="AI37" s="46"/>
      <c r="AJ37" s="46"/>
      <c r="AK37" s="40"/>
      <c r="AL37" s="45">
        <f>(B37-DATE(1970,1,1))*86400</f>
        <v>1774051200</v>
      </c>
      <c r="AM37" s="45">
        <f>(C37-DATE(1970,1,1))*86400</f>
        <v>1774569600</v>
      </c>
      <c r="AN37" s="45">
        <f>AVERAGE(AL37:AM37)</f>
        <v>1774310400</v>
      </c>
    </row>
    <row r="38" spans="1:65" ht="15.75" customHeight="1" x14ac:dyDescent="0.2">
      <c r="A38" s="653" t="s">
        <v>133</v>
      </c>
      <c r="B38" s="654">
        <v>46104</v>
      </c>
      <c r="C38" s="654">
        <v>46105</v>
      </c>
      <c r="D38" s="655" t="s">
        <v>183</v>
      </c>
      <c r="E38" s="656">
        <v>1</v>
      </c>
      <c r="F38" s="655" t="s">
        <v>2641</v>
      </c>
      <c r="G38" s="657" t="s">
        <v>126</v>
      </c>
      <c r="H38" s="658">
        <v>600</v>
      </c>
      <c r="I38" s="659">
        <v>39</v>
      </c>
      <c r="J38" s="659"/>
      <c r="K38" s="659"/>
      <c r="L38" s="659"/>
      <c r="M38" s="659">
        <v>3</v>
      </c>
      <c r="N38" s="659"/>
      <c r="O38" s="659"/>
      <c r="P38" s="659"/>
      <c r="Q38" s="659"/>
      <c r="R38" s="660"/>
      <c r="S38" s="659"/>
      <c r="T38" s="659"/>
      <c r="U38" s="659"/>
      <c r="V38" s="659">
        <v>1</v>
      </c>
      <c r="W38" s="659"/>
      <c r="X38" s="659">
        <v>9</v>
      </c>
      <c r="Y38" s="659">
        <v>47</v>
      </c>
      <c r="Z38" s="661">
        <v>2</v>
      </c>
      <c r="AA38" s="659">
        <v>0</v>
      </c>
      <c r="AB38" s="662">
        <f>100/(SUM(I38:Z38))</f>
        <v>0.99009900990099009</v>
      </c>
      <c r="AC38" s="662">
        <f>SUM(I38:AA38)</f>
        <v>101</v>
      </c>
      <c r="AD38" s="659"/>
      <c r="AE38" s="659"/>
      <c r="AF38" s="659"/>
      <c r="AG38" s="663" t="s">
        <v>1928</v>
      </c>
      <c r="AH38" s="666" t="s">
        <v>2635</v>
      </c>
      <c r="AI38" s="666"/>
      <c r="AJ38" s="666"/>
      <c r="AK38" s="655" t="s">
        <v>2636</v>
      </c>
      <c r="AL38" s="663">
        <f>(B38-DATE(1970,1,1))*86400</f>
        <v>1774224000</v>
      </c>
      <c r="AM38" s="663">
        <f>(C38-DATE(1970,1,1))*86400</f>
        <v>1774310400</v>
      </c>
      <c r="AN38" s="663">
        <f>AVERAGE(AL38:AM38)</f>
        <v>1774267200</v>
      </c>
      <c r="AO38" s="631"/>
      <c r="AP38" s="631"/>
      <c r="AQ38" s="631"/>
      <c r="AR38" s="631"/>
      <c r="AS38" s="631"/>
      <c r="AT38" s="631"/>
      <c r="AU38" s="631"/>
      <c r="AV38" s="631"/>
      <c r="AW38" s="631"/>
      <c r="AX38" s="631"/>
      <c r="AY38" s="631"/>
      <c r="AZ38" s="631"/>
      <c r="BA38" s="631"/>
      <c r="BB38" s="631"/>
      <c r="BC38" s="631"/>
      <c r="BD38" s="631"/>
      <c r="BE38" s="631"/>
      <c r="BF38" s="631"/>
      <c r="BG38" s="631"/>
      <c r="BH38" s="631"/>
      <c r="BI38" s="631"/>
      <c r="BJ38" s="631"/>
      <c r="BK38" s="631"/>
      <c r="BL38" s="631"/>
      <c r="BM38" s="631"/>
    </row>
    <row r="39" spans="1:65" ht="15.75" customHeight="1" x14ac:dyDescent="0.2">
      <c r="A39" s="653" t="s">
        <v>133</v>
      </c>
      <c r="B39" s="654">
        <v>46104</v>
      </c>
      <c r="C39" s="654">
        <v>46105</v>
      </c>
      <c r="D39" s="655" t="s">
        <v>183</v>
      </c>
      <c r="E39" s="656">
        <v>1</v>
      </c>
      <c r="F39" s="655" t="s">
        <v>2641</v>
      </c>
      <c r="G39" s="657" t="s">
        <v>126</v>
      </c>
      <c r="H39" s="658">
        <v>600</v>
      </c>
      <c r="I39" s="659">
        <v>37</v>
      </c>
      <c r="J39" s="659"/>
      <c r="K39" s="659"/>
      <c r="L39" s="659"/>
      <c r="M39" s="659">
        <v>3</v>
      </c>
      <c r="N39" s="659"/>
      <c r="O39" s="659"/>
      <c r="P39" s="659"/>
      <c r="Q39" s="659"/>
      <c r="R39" s="660"/>
      <c r="S39" s="659"/>
      <c r="T39" s="659"/>
      <c r="U39" s="659"/>
      <c r="V39" s="659">
        <v>1</v>
      </c>
      <c r="W39" s="659"/>
      <c r="X39" s="659">
        <v>7</v>
      </c>
      <c r="Y39" s="659">
        <v>51</v>
      </c>
      <c r="Z39" s="661">
        <v>1</v>
      </c>
      <c r="AA39" s="659">
        <v>0</v>
      </c>
      <c r="AB39" s="662">
        <f>100/(SUM(I39:Z39))</f>
        <v>1</v>
      </c>
      <c r="AC39" s="662">
        <f>SUM(I39:AA39)</f>
        <v>100</v>
      </c>
      <c r="AD39" s="659"/>
      <c r="AE39" s="659"/>
      <c r="AF39" s="659"/>
      <c r="AG39" s="663" t="s">
        <v>1928</v>
      </c>
      <c r="AH39" s="666" t="s">
        <v>2635</v>
      </c>
      <c r="AI39" s="666"/>
      <c r="AJ39" s="666"/>
      <c r="AK39" s="655" t="s">
        <v>2636</v>
      </c>
      <c r="AL39" s="663">
        <f>(B39-DATE(1970,1,1))*86400</f>
        <v>1774224000</v>
      </c>
      <c r="AM39" s="663">
        <f>(C39-DATE(1970,1,1))*86400</f>
        <v>1774310400</v>
      </c>
      <c r="AN39" s="663">
        <f>AVERAGE(AL39:AM39)</f>
        <v>1774267200</v>
      </c>
    </row>
    <row r="40" spans="1:65" s="631" customFormat="1" x14ac:dyDescent="0.2">
      <c r="A40" s="653" t="s">
        <v>133</v>
      </c>
      <c r="B40" s="654">
        <v>46104</v>
      </c>
      <c r="C40" s="654">
        <v>46105</v>
      </c>
      <c r="D40" s="655" t="s">
        <v>183</v>
      </c>
      <c r="E40" s="656">
        <v>1</v>
      </c>
      <c r="F40" s="655" t="s">
        <v>2642</v>
      </c>
      <c r="G40" s="657" t="s">
        <v>126</v>
      </c>
      <c r="H40" s="658">
        <v>600</v>
      </c>
      <c r="I40" s="659">
        <v>38</v>
      </c>
      <c r="J40" s="659"/>
      <c r="K40" s="659"/>
      <c r="L40" s="659"/>
      <c r="M40" s="659">
        <v>1</v>
      </c>
      <c r="N40" s="659"/>
      <c r="O40" s="659"/>
      <c r="P40" s="659"/>
      <c r="Q40" s="659"/>
      <c r="R40" s="660"/>
      <c r="S40" s="659"/>
      <c r="T40" s="659"/>
      <c r="U40" s="659"/>
      <c r="V40" s="659">
        <v>1</v>
      </c>
      <c r="W40" s="659"/>
      <c r="X40" s="659">
        <v>13</v>
      </c>
      <c r="Y40" s="659">
        <v>47</v>
      </c>
      <c r="Z40" s="661">
        <v>0</v>
      </c>
      <c r="AA40" s="659">
        <v>0</v>
      </c>
      <c r="AB40" s="662">
        <f>100/(SUM(I40:Z40))</f>
        <v>1</v>
      </c>
      <c r="AC40" s="662">
        <f>SUM(I40:AA40)</f>
        <v>100</v>
      </c>
      <c r="AD40" s="659"/>
      <c r="AE40" s="659"/>
      <c r="AF40" s="659"/>
      <c r="AG40" s="663" t="s">
        <v>1928</v>
      </c>
      <c r="AH40" s="666" t="s">
        <v>2635</v>
      </c>
      <c r="AI40" s="666"/>
      <c r="AJ40" s="666"/>
      <c r="AK40" s="655" t="s">
        <v>2636</v>
      </c>
      <c r="AL40" s="663">
        <f>(B40-DATE(1970,1,1))*86400</f>
        <v>1774224000</v>
      </c>
      <c r="AM40" s="663">
        <f>(C40-DATE(1970,1,1))*86400</f>
        <v>1774310400</v>
      </c>
      <c r="AN40" s="663">
        <f>AVERAGE(AL40:AM40)</f>
        <v>1774267200</v>
      </c>
      <c r="AO40"/>
      <c r="AP40"/>
      <c r="AQ40"/>
      <c r="AR40"/>
      <c r="AS40"/>
      <c r="AT40"/>
      <c r="AU40"/>
      <c r="AV40"/>
      <c r="AW40"/>
      <c r="AX40"/>
      <c r="AY40"/>
      <c r="AZ40"/>
      <c r="BA40"/>
      <c r="BB40"/>
      <c r="BC40"/>
      <c r="BD40"/>
      <c r="BE40"/>
      <c r="BF40"/>
      <c r="BG40"/>
      <c r="BH40"/>
      <c r="BI40"/>
      <c r="BJ40"/>
      <c r="BK40"/>
      <c r="BL40"/>
      <c r="BM40"/>
    </row>
    <row r="41" spans="1:65" x14ac:dyDescent="0.2">
      <c r="A41" s="653" t="s">
        <v>133</v>
      </c>
      <c r="B41" s="654">
        <v>46104</v>
      </c>
      <c r="C41" s="654">
        <v>46105</v>
      </c>
      <c r="D41" s="655" t="s">
        <v>183</v>
      </c>
      <c r="E41" s="656">
        <v>1</v>
      </c>
      <c r="F41" s="655" t="s">
        <v>2642</v>
      </c>
      <c r="G41" s="657" t="s">
        <v>126</v>
      </c>
      <c r="H41" s="658">
        <v>600</v>
      </c>
      <c r="I41" s="659">
        <v>39</v>
      </c>
      <c r="J41" s="659"/>
      <c r="K41" s="659"/>
      <c r="L41" s="659"/>
      <c r="M41" s="659">
        <v>1</v>
      </c>
      <c r="N41" s="659"/>
      <c r="O41" s="659"/>
      <c r="P41" s="659"/>
      <c r="Q41" s="659"/>
      <c r="R41" s="660"/>
      <c r="S41" s="659"/>
      <c r="T41" s="659"/>
      <c r="U41" s="659"/>
      <c r="V41" s="659">
        <v>0</v>
      </c>
      <c r="W41" s="659"/>
      <c r="X41" s="659">
        <v>11</v>
      </c>
      <c r="Y41" s="659">
        <v>49</v>
      </c>
      <c r="Z41" s="661">
        <v>0</v>
      </c>
      <c r="AA41" s="659">
        <v>0</v>
      </c>
      <c r="AB41" s="662">
        <f>100/(SUM(I41:Z41))</f>
        <v>1</v>
      </c>
      <c r="AC41" s="662">
        <f>SUM(I41:AA41)</f>
        <v>100</v>
      </c>
      <c r="AD41" s="659"/>
      <c r="AE41" s="659"/>
      <c r="AF41" s="659"/>
      <c r="AG41" s="663" t="s">
        <v>1928</v>
      </c>
      <c r="AH41" s="666" t="s">
        <v>2635</v>
      </c>
      <c r="AI41" s="666"/>
      <c r="AJ41" s="666"/>
      <c r="AK41" s="655" t="s">
        <v>2636</v>
      </c>
      <c r="AL41" s="663">
        <f>(B41-DATE(1970,1,1))*86400</f>
        <v>1774224000</v>
      </c>
      <c r="AM41" s="663">
        <f>(C41-DATE(1970,1,1))*86400</f>
        <v>1774310400</v>
      </c>
      <c r="AN41" s="663">
        <f>AVERAGE(AL41:AM41)</f>
        <v>1774267200</v>
      </c>
      <c r="AO41" s="632"/>
      <c r="AP41" s="632"/>
      <c r="AQ41" s="632"/>
      <c r="AR41" s="632"/>
      <c r="AS41" s="632"/>
      <c r="AT41" s="632"/>
      <c r="AU41" s="632"/>
      <c r="AV41" s="632"/>
      <c r="AW41" s="632"/>
      <c r="AX41" s="632"/>
      <c r="AY41" s="632"/>
      <c r="AZ41" s="632"/>
      <c r="BA41" s="632"/>
      <c r="BB41" s="632"/>
      <c r="BC41" s="632"/>
      <c r="BD41" s="632"/>
      <c r="BE41" s="632"/>
      <c r="BF41" s="632"/>
      <c r="BG41" s="632"/>
      <c r="BH41" s="632"/>
      <c r="BI41" s="632"/>
      <c r="BJ41" s="632"/>
      <c r="BK41" s="632"/>
      <c r="BL41" s="632"/>
    </row>
    <row r="42" spans="1:65" x14ac:dyDescent="0.2">
      <c r="A42" s="403" t="s">
        <v>133</v>
      </c>
      <c r="B42" s="143">
        <v>46104</v>
      </c>
      <c r="C42" s="143">
        <v>46105</v>
      </c>
      <c r="D42" s="13" t="s">
        <v>124</v>
      </c>
      <c r="E42" s="401">
        <v>1</v>
      </c>
      <c r="F42" s="13"/>
      <c r="G42" s="13" t="s">
        <v>126</v>
      </c>
      <c r="H42" s="349">
        <v>1000</v>
      </c>
      <c r="I42" s="15">
        <v>40</v>
      </c>
      <c r="J42" s="15"/>
      <c r="K42" s="15"/>
      <c r="L42" s="15"/>
      <c r="M42" s="15">
        <v>3</v>
      </c>
      <c r="N42" s="15"/>
      <c r="O42" s="15"/>
      <c r="P42" s="15"/>
      <c r="Q42" s="15"/>
      <c r="R42" s="15"/>
      <c r="S42" s="15"/>
      <c r="T42" s="15"/>
      <c r="U42" s="15"/>
      <c r="V42" s="15">
        <v>3</v>
      </c>
      <c r="W42" s="15"/>
      <c r="X42" s="15">
        <v>6</v>
      </c>
      <c r="Y42" s="15">
        <v>35</v>
      </c>
      <c r="Z42" s="397">
        <v>0</v>
      </c>
      <c r="AA42" s="98">
        <v>13</v>
      </c>
      <c r="AB42" s="16">
        <f>100/(SUM(I42:Z42))</f>
        <v>1.1494252873563218</v>
      </c>
      <c r="AC42" s="259">
        <f>SUM(I42:AA42)</f>
        <v>100</v>
      </c>
      <c r="AD42" s="15"/>
      <c r="AE42" s="15"/>
      <c r="AF42" s="15"/>
      <c r="AG42" s="17" t="s">
        <v>127</v>
      </c>
      <c r="AH42" s="645" t="s">
        <v>2630</v>
      </c>
      <c r="AI42" s="645"/>
      <c r="AJ42" s="201"/>
      <c r="AK42" s="13"/>
      <c r="AL42" s="17">
        <f>(B42-DATE(1970,1,1))*86400</f>
        <v>1774224000</v>
      </c>
      <c r="AM42" s="17">
        <f>(C42-DATE(1970,1,1))*86400</f>
        <v>1774310400</v>
      </c>
      <c r="AN42" s="17">
        <f>AVERAGE(AL42:AM42)</f>
        <v>1774267200</v>
      </c>
      <c r="AO42" s="632"/>
      <c r="AP42" s="632"/>
      <c r="AQ42" s="632"/>
      <c r="AR42" s="632"/>
      <c r="AS42" s="632"/>
      <c r="AT42" s="632"/>
      <c r="AU42" s="632"/>
      <c r="AV42" s="632"/>
      <c r="AW42" s="632"/>
      <c r="AX42" s="632"/>
      <c r="AY42" s="632"/>
      <c r="AZ42" s="632"/>
      <c r="BA42" s="632"/>
      <c r="BB42" s="632"/>
      <c r="BC42" s="632"/>
      <c r="BD42" s="632"/>
      <c r="BE42" s="632"/>
      <c r="BF42" s="632"/>
      <c r="BG42" s="632"/>
      <c r="BH42" s="632"/>
      <c r="BI42" s="632"/>
      <c r="BJ42" s="632"/>
      <c r="BK42" s="632"/>
      <c r="BL42" s="632"/>
    </row>
    <row r="43" spans="1:65" x14ac:dyDescent="0.2">
      <c r="A43" s="403" t="s">
        <v>133</v>
      </c>
      <c r="B43" s="143">
        <v>46104</v>
      </c>
      <c r="C43" s="143">
        <v>46105</v>
      </c>
      <c r="D43" s="13" t="s">
        <v>124</v>
      </c>
      <c r="E43" s="401">
        <v>1</v>
      </c>
      <c r="F43" s="13"/>
      <c r="G43" s="13" t="s">
        <v>126</v>
      </c>
      <c r="H43" s="349">
        <v>1000</v>
      </c>
      <c r="I43" s="15">
        <v>46</v>
      </c>
      <c r="J43" s="15"/>
      <c r="K43" s="15"/>
      <c r="L43" s="15"/>
      <c r="M43" s="15">
        <v>3.5</v>
      </c>
      <c r="N43" s="15"/>
      <c r="O43" s="15"/>
      <c r="P43" s="15"/>
      <c r="Q43" s="15"/>
      <c r="R43" s="15"/>
      <c r="S43" s="15"/>
      <c r="T43" s="15"/>
      <c r="U43" s="15"/>
      <c r="V43" s="15">
        <v>3.5</v>
      </c>
      <c r="W43" s="15"/>
      <c r="X43" s="15">
        <v>7</v>
      </c>
      <c r="Y43" s="15">
        <v>40</v>
      </c>
      <c r="Z43" s="397">
        <v>0</v>
      </c>
      <c r="AA43" s="397">
        <v>0</v>
      </c>
      <c r="AB43" s="16">
        <f>100/(SUM(I43:Z43))</f>
        <v>1</v>
      </c>
      <c r="AC43" s="259">
        <f>SUM(I43:AA43)</f>
        <v>100</v>
      </c>
      <c r="AD43" s="15"/>
      <c r="AE43" s="15"/>
      <c r="AF43" s="15"/>
      <c r="AG43" s="17" t="s">
        <v>127</v>
      </c>
      <c r="AH43" s="645" t="s">
        <v>2630</v>
      </c>
      <c r="AI43" s="645"/>
      <c r="AJ43" s="645"/>
      <c r="AK43" s="13"/>
      <c r="AL43" s="17">
        <f>(B43-DATE(1970,1,1))*86400</f>
        <v>1774224000</v>
      </c>
      <c r="AM43" s="17">
        <f>(C43-DATE(1970,1,1))*86400</f>
        <v>1774310400</v>
      </c>
      <c r="AN43" s="17">
        <f>AVERAGE(AL43:AM43)</f>
        <v>1774267200</v>
      </c>
      <c r="AO43" s="633"/>
      <c r="AP43" s="633"/>
      <c r="AQ43" s="633"/>
      <c r="AR43" s="633"/>
      <c r="AS43" s="633"/>
      <c r="AT43" s="633"/>
      <c r="AU43" s="633"/>
      <c r="AV43" s="633"/>
      <c r="AW43" s="633"/>
      <c r="AX43" s="633"/>
      <c r="AY43" s="633"/>
      <c r="AZ43" s="633"/>
      <c r="BA43" s="633"/>
      <c r="BB43" s="633"/>
      <c r="BC43" s="633"/>
      <c r="BD43" s="633"/>
      <c r="BE43" s="633"/>
      <c r="BF43" s="633"/>
      <c r="BG43" s="633"/>
      <c r="BH43" s="633"/>
      <c r="BI43" s="633"/>
      <c r="BJ43" s="633"/>
      <c r="BK43" s="633"/>
      <c r="BL43" s="633"/>
    </row>
    <row r="44" spans="1:65" x14ac:dyDescent="0.2">
      <c r="A44" s="279" t="s">
        <v>123</v>
      </c>
      <c r="B44" s="143">
        <v>46104</v>
      </c>
      <c r="C44" s="143">
        <v>46105</v>
      </c>
      <c r="D44" s="13" t="s">
        <v>124</v>
      </c>
      <c r="E44" s="401">
        <v>1</v>
      </c>
      <c r="F44" s="13"/>
      <c r="G44" s="13" t="s">
        <v>126</v>
      </c>
      <c r="H44" s="349">
        <v>1000</v>
      </c>
      <c r="I44" s="15">
        <v>47</v>
      </c>
      <c r="J44" s="15"/>
      <c r="K44" s="15"/>
      <c r="L44" s="15"/>
      <c r="M44" s="15">
        <v>2</v>
      </c>
      <c r="N44" s="15"/>
      <c r="O44" s="15"/>
      <c r="P44" s="15"/>
      <c r="Q44" s="15"/>
      <c r="R44" s="15"/>
      <c r="S44" s="15"/>
      <c r="T44" s="15"/>
      <c r="U44" s="15"/>
      <c r="V44" s="15">
        <v>2</v>
      </c>
      <c r="W44" s="15"/>
      <c r="X44" s="15">
        <v>5</v>
      </c>
      <c r="Y44" s="15">
        <v>44</v>
      </c>
      <c r="Z44" s="15">
        <v>0</v>
      </c>
      <c r="AA44" s="15">
        <v>0</v>
      </c>
      <c r="AB44" s="16">
        <f>100/(SUM(I44:Z44))</f>
        <v>1</v>
      </c>
      <c r="AC44" s="259">
        <f>SUM(I44:AA44)</f>
        <v>100</v>
      </c>
      <c r="AD44" s="15"/>
      <c r="AE44" s="15"/>
      <c r="AF44" s="15"/>
      <c r="AG44" s="17" t="s">
        <v>127</v>
      </c>
      <c r="AH44" s="645" t="s">
        <v>2630</v>
      </c>
      <c r="AI44" s="645"/>
      <c r="AJ44" s="667"/>
      <c r="AK44" s="13"/>
      <c r="AL44" s="17">
        <f>(B44-DATE(1970,1,1))*86400</f>
        <v>1774224000</v>
      </c>
      <c r="AM44" s="17">
        <f>(C44-DATE(1970,1,1))*86400</f>
        <v>1774310400</v>
      </c>
      <c r="AN44" s="17">
        <f>AVERAGE(AL44:AM44)</f>
        <v>1774267200</v>
      </c>
      <c r="AO44" s="632"/>
      <c r="AP44" s="632"/>
      <c r="AQ44" s="632"/>
      <c r="AR44" s="632"/>
      <c r="AS44" s="632"/>
      <c r="AT44" s="632"/>
      <c r="AU44" s="632"/>
      <c r="AV44" s="632"/>
      <c r="AW44" s="632"/>
      <c r="AX44" s="632"/>
      <c r="AY44" s="632"/>
      <c r="AZ44" s="632"/>
      <c r="BA44" s="632"/>
      <c r="BB44" s="632"/>
      <c r="BC44" s="632"/>
      <c r="BD44" s="632"/>
      <c r="BE44" s="632"/>
      <c r="BF44" s="632"/>
      <c r="BG44" s="632"/>
      <c r="BH44" s="632"/>
      <c r="BI44" s="632"/>
      <c r="BJ44" s="632"/>
      <c r="BK44" s="632"/>
      <c r="BL44" s="632"/>
    </row>
    <row r="45" spans="1:65" x14ac:dyDescent="0.2">
      <c r="A45" s="279" t="s">
        <v>123</v>
      </c>
      <c r="B45" s="143">
        <v>46104</v>
      </c>
      <c r="C45" s="143">
        <v>46105</v>
      </c>
      <c r="D45" s="13" t="s">
        <v>124</v>
      </c>
      <c r="E45" s="401">
        <v>1</v>
      </c>
      <c r="F45" s="13"/>
      <c r="G45" s="13" t="s">
        <v>126</v>
      </c>
      <c r="H45" s="349">
        <v>1000</v>
      </c>
      <c r="I45" s="15">
        <v>46</v>
      </c>
      <c r="J45" s="15"/>
      <c r="K45" s="15"/>
      <c r="L45" s="15"/>
      <c r="M45" s="15">
        <v>3</v>
      </c>
      <c r="N45" s="15"/>
      <c r="O45" s="15"/>
      <c r="P45" s="15"/>
      <c r="Q45" s="15"/>
      <c r="R45" s="15"/>
      <c r="S45" s="15"/>
      <c r="T45" s="15"/>
      <c r="U45" s="15"/>
      <c r="V45" s="15">
        <v>3</v>
      </c>
      <c r="W45" s="15"/>
      <c r="X45" s="15">
        <v>8</v>
      </c>
      <c r="Y45" s="15">
        <v>40</v>
      </c>
      <c r="Z45" s="15">
        <v>0</v>
      </c>
      <c r="AA45" s="15">
        <v>0</v>
      </c>
      <c r="AB45" s="16">
        <f>100/(SUM(I45:Z45))</f>
        <v>1</v>
      </c>
      <c r="AC45" s="259">
        <f>SUM(I45:AA45)</f>
        <v>100</v>
      </c>
      <c r="AD45" s="15"/>
      <c r="AE45" s="15"/>
      <c r="AF45" s="15"/>
      <c r="AG45" s="17" t="s">
        <v>127</v>
      </c>
      <c r="AH45" s="645" t="s">
        <v>2630</v>
      </c>
      <c r="AI45" s="645"/>
      <c r="AJ45" s="18"/>
      <c r="AK45" s="13"/>
      <c r="AL45" s="17">
        <f>(B45-DATE(1970,1,1))*86400</f>
        <v>1774224000</v>
      </c>
      <c r="AM45" s="17">
        <f>(C45-DATE(1970,1,1))*86400</f>
        <v>1774310400</v>
      </c>
      <c r="AN45" s="17">
        <f>AVERAGE(AL45:AM45)</f>
        <v>1774267200</v>
      </c>
      <c r="AO45" s="632"/>
      <c r="AP45" s="632"/>
      <c r="AQ45" s="632"/>
      <c r="AR45" s="632"/>
      <c r="AS45" s="632"/>
      <c r="AT45" s="632"/>
      <c r="AU45" s="632"/>
      <c r="AV45" s="632"/>
      <c r="AW45" s="632"/>
      <c r="AX45" s="632"/>
      <c r="AY45" s="632"/>
      <c r="AZ45" s="632"/>
      <c r="BA45" s="632"/>
      <c r="BB45" s="632"/>
      <c r="BC45" s="632"/>
      <c r="BD45" s="632"/>
      <c r="BE45" s="632"/>
      <c r="BF45" s="632"/>
      <c r="BG45" s="632"/>
      <c r="BH45" s="632"/>
      <c r="BI45" s="632"/>
      <c r="BJ45" s="632"/>
      <c r="BK45" s="632"/>
      <c r="BL45" s="632"/>
    </row>
    <row r="46" spans="1:65" x14ac:dyDescent="0.2">
      <c r="A46" s="653" t="s">
        <v>133</v>
      </c>
      <c r="B46" s="654">
        <v>46101</v>
      </c>
      <c r="C46" s="654">
        <v>46102</v>
      </c>
      <c r="D46" s="655" t="s">
        <v>183</v>
      </c>
      <c r="E46" s="656">
        <v>1</v>
      </c>
      <c r="F46" s="655" t="s">
        <v>2640</v>
      </c>
      <c r="G46" s="657" t="s">
        <v>126</v>
      </c>
      <c r="H46" s="658">
        <v>600</v>
      </c>
      <c r="I46" s="659">
        <v>39</v>
      </c>
      <c r="J46" s="659"/>
      <c r="K46" s="659"/>
      <c r="L46" s="659"/>
      <c r="M46" s="659">
        <v>3</v>
      </c>
      <c r="N46" s="659"/>
      <c r="O46" s="659"/>
      <c r="P46" s="659"/>
      <c r="Q46" s="659"/>
      <c r="R46" s="660"/>
      <c r="S46" s="659"/>
      <c r="T46" s="659"/>
      <c r="U46" s="659"/>
      <c r="V46" s="659">
        <v>1</v>
      </c>
      <c r="W46" s="659"/>
      <c r="X46" s="659">
        <v>3</v>
      </c>
      <c r="Y46" s="659">
        <v>53</v>
      </c>
      <c r="Z46" s="661">
        <v>1</v>
      </c>
      <c r="AA46" s="659">
        <v>0</v>
      </c>
      <c r="AB46" s="662">
        <f>100/(SUM(I46:Z46))</f>
        <v>1</v>
      </c>
      <c r="AC46" s="662">
        <f>SUM(I46:AA46)</f>
        <v>100</v>
      </c>
      <c r="AD46" s="659"/>
      <c r="AE46" s="659"/>
      <c r="AF46" s="659"/>
      <c r="AG46" s="663" t="s">
        <v>1928</v>
      </c>
      <c r="AH46" s="664" t="s">
        <v>2635</v>
      </c>
      <c r="AI46" s="664"/>
      <c r="AJ46" s="664"/>
      <c r="AK46" s="655" t="s">
        <v>2636</v>
      </c>
      <c r="AL46" s="663">
        <f>(B46-DATE(1970,1,1))*86400</f>
        <v>1773964800</v>
      </c>
      <c r="AM46" s="663">
        <f>(C46-DATE(1970,1,1))*86400</f>
        <v>1774051200</v>
      </c>
      <c r="AN46" s="663">
        <f>AVERAGE(AL46:AM46)</f>
        <v>1774008000</v>
      </c>
      <c r="AO46" s="633"/>
      <c r="AP46" s="633"/>
      <c r="AQ46" s="633"/>
      <c r="AR46" s="633"/>
      <c r="AS46" s="633"/>
      <c r="AT46" s="633"/>
      <c r="AU46" s="633"/>
      <c r="AV46" s="633"/>
      <c r="AW46" s="633"/>
      <c r="AX46" s="633"/>
      <c r="AY46" s="633"/>
      <c r="AZ46" s="633"/>
      <c r="BA46" s="633"/>
      <c r="BB46" s="633"/>
      <c r="BC46" s="633"/>
      <c r="BD46" s="633"/>
      <c r="BE46" s="633"/>
      <c r="BF46" s="633"/>
      <c r="BG46" s="633"/>
      <c r="BH46" s="633"/>
      <c r="BI46" s="633"/>
      <c r="BJ46" s="633"/>
      <c r="BK46" s="633"/>
      <c r="BL46" s="633"/>
    </row>
    <row r="47" spans="1:65" x14ac:dyDescent="0.2">
      <c r="A47" s="653" t="s">
        <v>133</v>
      </c>
      <c r="B47" s="654">
        <v>46101</v>
      </c>
      <c r="C47" s="654">
        <v>46102</v>
      </c>
      <c r="D47" s="655" t="s">
        <v>183</v>
      </c>
      <c r="E47" s="656">
        <v>1</v>
      </c>
      <c r="F47" s="655" t="s">
        <v>2640</v>
      </c>
      <c r="G47" s="657" t="s">
        <v>126</v>
      </c>
      <c r="H47" s="658">
        <v>600</v>
      </c>
      <c r="I47" s="659">
        <v>38</v>
      </c>
      <c r="J47" s="659"/>
      <c r="K47" s="659"/>
      <c r="L47" s="659"/>
      <c r="M47" s="659">
        <v>3</v>
      </c>
      <c r="N47" s="659"/>
      <c r="O47" s="659"/>
      <c r="P47" s="659"/>
      <c r="Q47" s="659"/>
      <c r="R47" s="660"/>
      <c r="S47" s="659"/>
      <c r="T47" s="659"/>
      <c r="U47" s="659"/>
      <c r="V47" s="659">
        <v>1</v>
      </c>
      <c r="W47" s="659"/>
      <c r="X47" s="659">
        <v>3</v>
      </c>
      <c r="Y47" s="659">
        <v>55</v>
      </c>
      <c r="Z47" s="661">
        <v>0</v>
      </c>
      <c r="AA47" s="659">
        <v>0</v>
      </c>
      <c r="AB47" s="662">
        <f>100/(SUM(I47:Z47))</f>
        <v>1</v>
      </c>
      <c r="AC47" s="662">
        <f>SUM(I47:AA47)</f>
        <v>100</v>
      </c>
      <c r="AD47" s="659"/>
      <c r="AE47" s="659"/>
      <c r="AF47" s="659"/>
      <c r="AG47" s="663" t="s">
        <v>1928</v>
      </c>
      <c r="AH47" s="664" t="s">
        <v>2635</v>
      </c>
      <c r="AI47" s="664"/>
      <c r="AJ47" s="664"/>
      <c r="AK47" s="655" t="s">
        <v>2636</v>
      </c>
      <c r="AL47" s="663">
        <f>(B47-DATE(1970,1,1))*86400</f>
        <v>1773964800</v>
      </c>
      <c r="AM47" s="663">
        <f>(C47-DATE(1970,1,1))*86400</f>
        <v>1774051200</v>
      </c>
      <c r="AN47" s="663">
        <f>AVERAGE(AL47:AM47)</f>
        <v>1774008000</v>
      </c>
      <c r="AO47" s="632"/>
      <c r="AP47" s="632"/>
      <c r="AQ47" s="632"/>
      <c r="AR47" s="632"/>
      <c r="AS47" s="632"/>
      <c r="AT47" s="632"/>
      <c r="AU47" s="632"/>
      <c r="AV47" s="632"/>
      <c r="AW47" s="632"/>
      <c r="AX47" s="632"/>
      <c r="AY47" s="632"/>
      <c r="AZ47" s="632"/>
      <c r="BA47" s="632"/>
      <c r="BB47" s="632"/>
      <c r="BC47" s="632"/>
      <c r="BD47" s="632"/>
      <c r="BE47" s="632"/>
      <c r="BF47" s="632"/>
      <c r="BG47" s="632"/>
      <c r="BH47" s="632"/>
      <c r="BI47" s="632"/>
      <c r="BJ47" s="632"/>
      <c r="BK47" s="632"/>
      <c r="BL47" s="632"/>
    </row>
    <row r="48" spans="1:65" x14ac:dyDescent="0.2">
      <c r="A48" s="653" t="s">
        <v>133</v>
      </c>
      <c r="B48" s="654">
        <v>46100</v>
      </c>
      <c r="C48" s="654">
        <v>46101</v>
      </c>
      <c r="D48" s="655" t="s">
        <v>183</v>
      </c>
      <c r="E48" s="656">
        <v>1</v>
      </c>
      <c r="F48" s="655" t="s">
        <v>2639</v>
      </c>
      <c r="G48" s="657" t="s">
        <v>126</v>
      </c>
      <c r="H48" s="658">
        <v>600</v>
      </c>
      <c r="I48" s="659">
        <v>45</v>
      </c>
      <c r="J48" s="659"/>
      <c r="K48" s="659"/>
      <c r="L48" s="659"/>
      <c r="M48" s="659">
        <v>2</v>
      </c>
      <c r="N48" s="659"/>
      <c r="O48" s="659"/>
      <c r="P48" s="659"/>
      <c r="Q48" s="659"/>
      <c r="R48" s="660"/>
      <c r="S48" s="659"/>
      <c r="T48" s="659"/>
      <c r="U48" s="659"/>
      <c r="V48" s="659"/>
      <c r="W48" s="659"/>
      <c r="X48" s="659">
        <v>4</v>
      </c>
      <c r="Y48" s="659">
        <v>49</v>
      </c>
      <c r="Z48" s="661">
        <v>0</v>
      </c>
      <c r="AA48" s="659">
        <v>0</v>
      </c>
      <c r="AB48" s="662">
        <f>100/(SUM(I48:Z48))</f>
        <v>1</v>
      </c>
      <c r="AC48" s="662">
        <f>SUM(I48:AA48)</f>
        <v>100</v>
      </c>
      <c r="AD48" s="659"/>
      <c r="AE48" s="659"/>
      <c r="AF48" s="659"/>
      <c r="AG48" s="663" t="s">
        <v>1928</v>
      </c>
      <c r="AH48" s="664" t="s">
        <v>2635</v>
      </c>
      <c r="AI48" s="664"/>
      <c r="AJ48" s="666"/>
      <c r="AK48" s="655" t="s">
        <v>2636</v>
      </c>
      <c r="AL48" s="663">
        <f>(B48-DATE(1970,1,1))*86400</f>
        <v>1773878400</v>
      </c>
      <c r="AM48" s="663">
        <f>(C48-DATE(1970,1,1))*86400</f>
        <v>1773964800</v>
      </c>
      <c r="AN48" s="663">
        <f>AVERAGE(AL48:AM48)</f>
        <v>1773921600</v>
      </c>
      <c r="AO48" s="632"/>
      <c r="AP48" s="632"/>
      <c r="AQ48" s="632"/>
      <c r="AR48" s="632"/>
      <c r="AS48" s="632"/>
      <c r="AT48" s="632"/>
      <c r="AU48" s="632"/>
      <c r="AV48" s="632"/>
      <c r="AW48" s="632"/>
      <c r="AX48" s="632"/>
      <c r="AY48" s="632"/>
      <c r="AZ48" s="632"/>
      <c r="BA48" s="632"/>
      <c r="BB48" s="632"/>
      <c r="BC48" s="632"/>
      <c r="BD48" s="632"/>
      <c r="BE48" s="632"/>
      <c r="BF48" s="632"/>
      <c r="BG48" s="632"/>
      <c r="BH48" s="632"/>
      <c r="BI48" s="632"/>
      <c r="BJ48" s="632"/>
      <c r="BK48" s="632"/>
      <c r="BL48" s="632"/>
    </row>
    <row r="49" spans="1:64" x14ac:dyDescent="0.2">
      <c r="A49" s="653" t="s">
        <v>133</v>
      </c>
      <c r="B49" s="654">
        <v>46100</v>
      </c>
      <c r="C49" s="654">
        <v>46101</v>
      </c>
      <c r="D49" s="655" t="s">
        <v>183</v>
      </c>
      <c r="E49" s="656">
        <v>1</v>
      </c>
      <c r="F49" s="655" t="s">
        <v>2639</v>
      </c>
      <c r="G49" s="657" t="s">
        <v>126</v>
      </c>
      <c r="H49" s="658">
        <v>600</v>
      </c>
      <c r="I49" s="659">
        <v>45</v>
      </c>
      <c r="J49" s="659"/>
      <c r="K49" s="659"/>
      <c r="L49" s="659"/>
      <c r="M49" s="659">
        <v>1</v>
      </c>
      <c r="N49" s="659"/>
      <c r="O49" s="659"/>
      <c r="P49" s="659"/>
      <c r="Q49" s="659"/>
      <c r="R49" s="660"/>
      <c r="S49" s="659"/>
      <c r="T49" s="659"/>
      <c r="U49" s="659"/>
      <c r="V49" s="659"/>
      <c r="W49" s="659"/>
      <c r="X49" s="659">
        <v>4</v>
      </c>
      <c r="Y49" s="659">
        <v>50</v>
      </c>
      <c r="Z49" s="661">
        <v>0</v>
      </c>
      <c r="AA49" s="659">
        <v>0</v>
      </c>
      <c r="AB49" s="662">
        <f>100/(SUM(I49:Z49))</f>
        <v>1</v>
      </c>
      <c r="AC49" s="662">
        <f>SUM(I49:AA49)</f>
        <v>100</v>
      </c>
      <c r="AD49" s="659"/>
      <c r="AE49" s="659"/>
      <c r="AF49" s="659"/>
      <c r="AG49" s="663" t="s">
        <v>1928</v>
      </c>
      <c r="AH49" s="664" t="s">
        <v>2635</v>
      </c>
      <c r="AI49" s="664"/>
      <c r="AJ49" s="664"/>
      <c r="AK49" s="655" t="s">
        <v>2636</v>
      </c>
      <c r="AL49" s="663">
        <f>(B49-DATE(1970,1,1))*86400</f>
        <v>1773878400</v>
      </c>
      <c r="AM49" s="663">
        <f>(C49-DATE(1970,1,1))*86400</f>
        <v>1773964800</v>
      </c>
      <c r="AN49" s="663">
        <f>AVERAGE(AL49:AM49)</f>
        <v>1773921600</v>
      </c>
      <c r="AO49" s="633"/>
      <c r="AP49" s="633"/>
      <c r="AQ49" s="633"/>
      <c r="AR49" s="633"/>
      <c r="AS49" s="633"/>
      <c r="AT49" s="633"/>
      <c r="AU49" s="633"/>
      <c r="AV49" s="633"/>
      <c r="AW49" s="633"/>
      <c r="AX49" s="633"/>
      <c r="AY49" s="633"/>
      <c r="AZ49" s="633"/>
      <c r="BA49" s="633"/>
      <c r="BB49" s="633"/>
      <c r="BC49" s="633"/>
      <c r="BD49" s="633"/>
      <c r="BE49" s="633"/>
      <c r="BF49" s="633"/>
      <c r="BG49" s="633"/>
      <c r="BH49" s="633"/>
      <c r="BI49" s="633"/>
      <c r="BJ49" s="633"/>
      <c r="BK49" s="633"/>
      <c r="BL49" s="633"/>
    </row>
    <row r="50" spans="1:64" x14ac:dyDescent="0.2">
      <c r="A50" s="285" t="s">
        <v>133</v>
      </c>
      <c r="B50" s="581">
        <v>46098</v>
      </c>
      <c r="C50" s="581">
        <v>46101</v>
      </c>
      <c r="D50" s="33" t="s">
        <v>143</v>
      </c>
      <c r="E50" s="319" t="s">
        <v>125</v>
      </c>
      <c r="F50" s="33"/>
      <c r="G50" s="33" t="s">
        <v>126</v>
      </c>
      <c r="H50" s="353">
        <v>1000</v>
      </c>
      <c r="I50" s="35">
        <v>30</v>
      </c>
      <c r="J50" s="35"/>
      <c r="K50" s="35"/>
      <c r="L50" s="35"/>
      <c r="M50" s="35">
        <v>1</v>
      </c>
      <c r="N50" s="35"/>
      <c r="O50" s="35"/>
      <c r="P50" s="35"/>
      <c r="Q50" s="35"/>
      <c r="R50" s="36"/>
      <c r="S50" s="35"/>
      <c r="T50" s="35"/>
      <c r="U50" s="35"/>
      <c r="V50" s="35">
        <v>2</v>
      </c>
      <c r="W50" s="35"/>
      <c r="X50" s="35">
        <v>3</v>
      </c>
      <c r="Y50" s="35">
        <v>46</v>
      </c>
      <c r="Z50" s="35">
        <v>0</v>
      </c>
      <c r="AA50" s="35">
        <v>18</v>
      </c>
      <c r="AB50" s="37">
        <f>100/(SUM(I50:Z50))</f>
        <v>1.2195121951219512</v>
      </c>
      <c r="AC50" s="259">
        <f>SUM(I50:AA50)</f>
        <v>100</v>
      </c>
      <c r="AD50" s="35">
        <v>89</v>
      </c>
      <c r="AE50" s="35"/>
      <c r="AF50" s="35"/>
      <c r="AG50" s="33" t="s">
        <v>144</v>
      </c>
      <c r="AH50" s="642" t="s">
        <v>2626</v>
      </c>
      <c r="AI50" s="648" t="s">
        <v>2655</v>
      </c>
      <c r="AJ50" s="648"/>
      <c r="AK50" s="33" t="s">
        <v>2653</v>
      </c>
      <c r="AL50" s="39">
        <f>(B50-DATE(1970,1,1))*86400</f>
        <v>1773705600</v>
      </c>
      <c r="AM50" s="39">
        <f>(C50-DATE(1970,1,1))*86400</f>
        <v>1773964800</v>
      </c>
      <c r="AN50" s="39">
        <f>AVERAGE(AL50:AM50)</f>
        <v>1773835200</v>
      </c>
      <c r="AO50" s="633"/>
      <c r="AP50" s="633"/>
      <c r="AQ50" s="633"/>
      <c r="AR50" s="633"/>
      <c r="AS50" s="633"/>
      <c r="AT50" s="633"/>
      <c r="AU50" s="633"/>
      <c r="AV50" s="633"/>
      <c r="AW50" s="633"/>
      <c r="AX50" s="633"/>
      <c r="AY50" s="633"/>
      <c r="AZ50" s="633"/>
      <c r="BA50" s="633"/>
      <c r="BB50" s="633"/>
      <c r="BC50" s="633"/>
      <c r="BD50" s="633"/>
      <c r="BE50" s="633"/>
      <c r="BF50" s="633"/>
      <c r="BG50" s="633"/>
      <c r="BH50" s="633"/>
      <c r="BI50" s="633"/>
      <c r="BJ50" s="633"/>
      <c r="BK50" s="633"/>
      <c r="BL50" s="633"/>
    </row>
    <row r="51" spans="1:64" x14ac:dyDescent="0.2">
      <c r="A51" s="285" t="s">
        <v>133</v>
      </c>
      <c r="B51" s="581">
        <v>46098</v>
      </c>
      <c r="C51" s="581">
        <v>46101</v>
      </c>
      <c r="D51" s="33" t="s">
        <v>143</v>
      </c>
      <c r="E51" s="319" t="s">
        <v>125</v>
      </c>
      <c r="F51" s="33"/>
      <c r="G51" s="33" t="s">
        <v>126</v>
      </c>
      <c r="H51" s="353">
        <v>1000</v>
      </c>
      <c r="I51" s="35">
        <v>36</v>
      </c>
      <c r="J51" s="35"/>
      <c r="K51" s="35" t="s">
        <v>355</v>
      </c>
      <c r="L51" s="35"/>
      <c r="M51" s="35">
        <v>1</v>
      </c>
      <c r="N51" s="35"/>
      <c r="O51" s="35"/>
      <c r="P51" s="35"/>
      <c r="Q51" s="35"/>
      <c r="R51" s="36"/>
      <c r="S51" s="35"/>
      <c r="T51" s="35"/>
      <c r="U51" s="35"/>
      <c r="V51" s="35">
        <v>2</v>
      </c>
      <c r="W51" s="35"/>
      <c r="X51" s="35">
        <v>4</v>
      </c>
      <c r="Y51" s="35">
        <v>56</v>
      </c>
      <c r="Z51" s="35">
        <v>0</v>
      </c>
      <c r="AA51" s="35">
        <v>0</v>
      </c>
      <c r="AB51" s="37">
        <f>100/(SUM(I51:Z51))</f>
        <v>1.0101010101010102</v>
      </c>
      <c r="AC51" s="259">
        <f>SUM(I51:AA51)</f>
        <v>99</v>
      </c>
      <c r="AD51" s="35"/>
      <c r="AE51" s="35"/>
      <c r="AF51" s="35"/>
      <c r="AG51" s="33" t="s">
        <v>144</v>
      </c>
      <c r="AH51" s="642" t="s">
        <v>2626</v>
      </c>
      <c r="AI51" s="190"/>
      <c r="AJ51" s="190"/>
      <c r="AK51" s="33"/>
      <c r="AL51" s="39">
        <f>(B51-DATE(1970,1,1))*86400</f>
        <v>1773705600</v>
      </c>
      <c r="AM51" s="39">
        <f>(C51-DATE(1970,1,1))*86400</f>
        <v>1773964800</v>
      </c>
      <c r="AN51" s="39">
        <f>AVERAGE(AL51:AM51)</f>
        <v>1773835200</v>
      </c>
      <c r="AO51" s="633"/>
      <c r="AP51" s="633"/>
      <c r="AQ51" s="633"/>
      <c r="AR51" s="633"/>
      <c r="AS51" s="633"/>
      <c r="AT51" s="633"/>
      <c r="AU51" s="633"/>
      <c r="AV51" s="633"/>
      <c r="AW51" s="633"/>
      <c r="AX51" s="633"/>
      <c r="AY51" s="633"/>
      <c r="AZ51" s="633"/>
      <c r="BA51" s="633"/>
      <c r="BB51" s="633"/>
      <c r="BC51" s="633"/>
      <c r="BD51" s="633"/>
      <c r="BE51" s="633"/>
      <c r="BF51" s="633"/>
      <c r="BG51" s="633"/>
      <c r="BH51" s="633"/>
      <c r="BI51" s="633"/>
      <c r="BJ51" s="633"/>
      <c r="BK51" s="633"/>
      <c r="BL51" s="633"/>
    </row>
    <row r="52" spans="1:64" x14ac:dyDescent="0.2">
      <c r="A52" s="285" t="s">
        <v>123</v>
      </c>
      <c r="B52" s="581">
        <v>46098</v>
      </c>
      <c r="C52" s="581">
        <v>46101</v>
      </c>
      <c r="D52" s="33" t="s">
        <v>143</v>
      </c>
      <c r="E52" s="319" t="s">
        <v>125</v>
      </c>
      <c r="F52" s="33"/>
      <c r="G52" s="33" t="s">
        <v>126</v>
      </c>
      <c r="H52" s="353">
        <v>1000</v>
      </c>
      <c r="I52" s="35">
        <v>35</v>
      </c>
      <c r="J52" s="35"/>
      <c r="K52" s="35" t="s">
        <v>355</v>
      </c>
      <c r="L52" s="35"/>
      <c r="M52" s="35">
        <v>1</v>
      </c>
      <c r="N52" s="35"/>
      <c r="O52" s="35"/>
      <c r="P52" s="35"/>
      <c r="Q52" s="35"/>
      <c r="R52" s="36"/>
      <c r="S52" s="35"/>
      <c r="T52" s="35"/>
      <c r="U52" s="35"/>
      <c r="V52" s="35">
        <v>2</v>
      </c>
      <c r="W52" s="35"/>
      <c r="X52" s="35">
        <v>4</v>
      </c>
      <c r="Y52" s="35">
        <v>58</v>
      </c>
      <c r="Z52" s="35">
        <v>0</v>
      </c>
      <c r="AA52" s="35">
        <v>0</v>
      </c>
      <c r="AB52" s="37">
        <f>100/(SUM(I52:Z52))</f>
        <v>1</v>
      </c>
      <c r="AC52" s="259">
        <f>SUM(I52:AA52)</f>
        <v>100</v>
      </c>
      <c r="AD52" s="35"/>
      <c r="AE52" s="35"/>
      <c r="AF52" s="35"/>
      <c r="AG52" s="33" t="s">
        <v>144</v>
      </c>
      <c r="AH52" s="642" t="s">
        <v>2626</v>
      </c>
      <c r="AI52" s="190"/>
      <c r="AJ52" s="33"/>
      <c r="AK52" s="33"/>
      <c r="AL52" s="39">
        <f>(B52-DATE(1970,1,1))*86400</f>
        <v>1773705600</v>
      </c>
      <c r="AM52" s="39">
        <f>(C52-DATE(1970,1,1))*86400</f>
        <v>1773964800</v>
      </c>
      <c r="AN52" s="39">
        <f>AVERAGE(AL52:AM52)</f>
        <v>1773835200</v>
      </c>
      <c r="AO52" s="633"/>
      <c r="AP52" s="633"/>
      <c r="AQ52" s="633"/>
      <c r="AR52" s="633"/>
      <c r="AS52" s="633"/>
      <c r="AT52" s="633"/>
      <c r="AU52" s="633"/>
      <c r="AV52" s="633"/>
      <c r="AW52" s="633"/>
      <c r="AX52" s="633"/>
      <c r="AY52" s="633"/>
      <c r="AZ52" s="633"/>
      <c r="BA52" s="633"/>
      <c r="BB52" s="633"/>
      <c r="BC52" s="633"/>
      <c r="BD52" s="633"/>
      <c r="BE52" s="633"/>
      <c r="BF52" s="633"/>
      <c r="BG52" s="633"/>
      <c r="BH52" s="633"/>
      <c r="BI52" s="633"/>
      <c r="BJ52" s="633"/>
      <c r="BK52" s="633"/>
      <c r="BL52" s="633"/>
    </row>
    <row r="53" spans="1:64" x14ac:dyDescent="0.2">
      <c r="A53" s="653" t="s">
        <v>133</v>
      </c>
      <c r="B53" s="654">
        <v>46097</v>
      </c>
      <c r="C53" s="654">
        <v>46098</v>
      </c>
      <c r="D53" s="655" t="s">
        <v>183</v>
      </c>
      <c r="E53" s="656">
        <v>1</v>
      </c>
      <c r="F53" s="655" t="s">
        <v>2637</v>
      </c>
      <c r="G53" s="657" t="s">
        <v>126</v>
      </c>
      <c r="H53" s="658">
        <v>600</v>
      </c>
      <c r="I53" s="659">
        <v>35</v>
      </c>
      <c r="J53" s="659"/>
      <c r="K53" s="659"/>
      <c r="L53" s="659"/>
      <c r="M53" s="659">
        <v>2</v>
      </c>
      <c r="N53" s="659"/>
      <c r="O53" s="659"/>
      <c r="P53" s="659"/>
      <c r="Q53" s="659"/>
      <c r="R53" s="660"/>
      <c r="S53" s="659"/>
      <c r="T53" s="659"/>
      <c r="U53" s="659"/>
      <c r="V53" s="659">
        <v>2</v>
      </c>
      <c r="W53" s="659"/>
      <c r="X53" s="659">
        <v>4</v>
      </c>
      <c r="Y53" s="659">
        <v>57</v>
      </c>
      <c r="Z53" s="661">
        <v>0</v>
      </c>
      <c r="AA53" s="659">
        <v>0</v>
      </c>
      <c r="AB53" s="662">
        <f>100/(SUM(I53:Z53))</f>
        <v>1</v>
      </c>
      <c r="AC53" s="662">
        <f>SUM(I53:AA53)</f>
        <v>100</v>
      </c>
      <c r="AD53" s="659"/>
      <c r="AE53" s="659"/>
      <c r="AF53" s="659"/>
      <c r="AG53" s="663" t="s">
        <v>1928</v>
      </c>
      <c r="AH53" s="664" t="s">
        <v>2635</v>
      </c>
      <c r="AI53" s="664"/>
      <c r="AJ53" s="664"/>
      <c r="AK53" s="655" t="s">
        <v>2636</v>
      </c>
      <c r="AL53" s="663">
        <f>(B53-DATE(1970,1,1))*86400</f>
        <v>1773619200</v>
      </c>
      <c r="AM53" s="663">
        <f>(C53-DATE(1970,1,1))*86400</f>
        <v>1773705600</v>
      </c>
      <c r="AN53" s="663">
        <f>AVERAGE(AL53:AM53)</f>
        <v>1773662400</v>
      </c>
      <c r="AO53" s="274"/>
      <c r="AP53" s="274"/>
      <c r="AQ53" s="274"/>
      <c r="AR53" s="274"/>
      <c r="AS53" s="274"/>
      <c r="AT53" s="274"/>
      <c r="AU53" s="274"/>
      <c r="AV53" s="274"/>
      <c r="AW53" s="274"/>
      <c r="AX53" s="274"/>
      <c r="AY53" s="274"/>
      <c r="AZ53" s="274"/>
      <c r="BA53" s="274"/>
      <c r="BB53" s="274"/>
      <c r="BC53" s="274"/>
      <c r="BD53" s="274"/>
      <c r="BE53" s="274"/>
      <c r="BF53" s="274"/>
      <c r="BG53" s="274"/>
      <c r="BH53" s="274"/>
      <c r="BI53" s="274"/>
      <c r="BJ53" s="274"/>
      <c r="BK53" s="274"/>
      <c r="BL53" s="274"/>
    </row>
    <row r="54" spans="1:64" x14ac:dyDescent="0.2">
      <c r="A54" s="653" t="s">
        <v>133</v>
      </c>
      <c r="B54" s="654">
        <v>46097</v>
      </c>
      <c r="C54" s="654">
        <v>46098</v>
      </c>
      <c r="D54" s="655" t="s">
        <v>183</v>
      </c>
      <c r="E54" s="656">
        <v>1</v>
      </c>
      <c r="F54" s="655" t="s">
        <v>2637</v>
      </c>
      <c r="G54" s="657" t="s">
        <v>126</v>
      </c>
      <c r="H54" s="658">
        <v>600</v>
      </c>
      <c r="I54" s="659">
        <v>34</v>
      </c>
      <c r="J54" s="659"/>
      <c r="K54" s="659"/>
      <c r="L54" s="659"/>
      <c r="M54" s="659">
        <v>3</v>
      </c>
      <c r="N54" s="659"/>
      <c r="O54" s="659"/>
      <c r="P54" s="659"/>
      <c r="Q54" s="659"/>
      <c r="R54" s="660"/>
      <c r="S54" s="659"/>
      <c r="T54" s="659"/>
      <c r="U54" s="659"/>
      <c r="V54" s="659">
        <v>1</v>
      </c>
      <c r="W54" s="659"/>
      <c r="X54" s="659">
        <v>3</v>
      </c>
      <c r="Y54" s="659">
        <v>59</v>
      </c>
      <c r="Z54" s="661">
        <v>0</v>
      </c>
      <c r="AA54" s="659">
        <v>0</v>
      </c>
      <c r="AB54" s="662">
        <f>100/(SUM(I54:Z54))</f>
        <v>1</v>
      </c>
      <c r="AC54" s="662">
        <f>SUM(I54:AA54)</f>
        <v>100</v>
      </c>
      <c r="AD54" s="659"/>
      <c r="AE54" s="659"/>
      <c r="AF54" s="659"/>
      <c r="AG54" s="663" t="s">
        <v>1928</v>
      </c>
      <c r="AH54" s="664" t="s">
        <v>2635</v>
      </c>
      <c r="AI54" s="664"/>
      <c r="AJ54" s="664"/>
      <c r="AK54" s="655" t="s">
        <v>2636</v>
      </c>
      <c r="AL54" s="663">
        <f>(B54-DATE(1970,1,1))*86400</f>
        <v>1773619200</v>
      </c>
      <c r="AM54" s="663">
        <f>(C54-DATE(1970,1,1))*86400</f>
        <v>1773705600</v>
      </c>
      <c r="AN54" s="663">
        <f>AVERAGE(AL54:AM54)</f>
        <v>1773662400</v>
      </c>
    </row>
    <row r="55" spans="1:64" x14ac:dyDescent="0.2">
      <c r="A55" s="653" t="s">
        <v>133</v>
      </c>
      <c r="B55" s="654">
        <v>46097</v>
      </c>
      <c r="C55" s="654">
        <v>46098</v>
      </c>
      <c r="D55" s="655" t="s">
        <v>183</v>
      </c>
      <c r="E55" s="656">
        <v>1</v>
      </c>
      <c r="F55" s="655" t="s">
        <v>2638</v>
      </c>
      <c r="G55" s="657" t="s">
        <v>126</v>
      </c>
      <c r="H55" s="658">
        <v>800</v>
      </c>
      <c r="I55" s="659">
        <v>46</v>
      </c>
      <c r="J55" s="659"/>
      <c r="K55" s="659"/>
      <c r="L55" s="659"/>
      <c r="M55" s="659">
        <v>2</v>
      </c>
      <c r="N55" s="659"/>
      <c r="O55" s="659"/>
      <c r="P55" s="659"/>
      <c r="Q55" s="659"/>
      <c r="R55" s="660"/>
      <c r="S55" s="659"/>
      <c r="T55" s="659"/>
      <c r="U55" s="659"/>
      <c r="V55" s="659">
        <v>2</v>
      </c>
      <c r="W55" s="659"/>
      <c r="X55" s="659">
        <v>6</v>
      </c>
      <c r="Y55" s="659">
        <v>44</v>
      </c>
      <c r="Z55" s="661">
        <v>0</v>
      </c>
      <c r="AA55" s="659">
        <v>0</v>
      </c>
      <c r="AB55" s="662">
        <f>100/(SUM(I55:Z55))</f>
        <v>1</v>
      </c>
      <c r="AC55" s="662">
        <f>SUM(I55:AA55)</f>
        <v>100</v>
      </c>
      <c r="AD55" s="659"/>
      <c r="AE55" s="659"/>
      <c r="AF55" s="659"/>
      <c r="AG55" s="663" t="s">
        <v>1928</v>
      </c>
      <c r="AH55" s="664" t="s">
        <v>2635</v>
      </c>
      <c r="AI55" s="664"/>
      <c r="AJ55" s="666"/>
      <c r="AK55" s="655" t="s">
        <v>2636</v>
      </c>
      <c r="AL55" s="663">
        <f>(B55-DATE(1970,1,1))*86400</f>
        <v>1773619200</v>
      </c>
      <c r="AM55" s="663">
        <f>(C55-DATE(1970,1,1))*86400</f>
        <v>1773705600</v>
      </c>
      <c r="AN55" s="663">
        <f>AVERAGE(AL55:AM55)</f>
        <v>1773662400</v>
      </c>
    </row>
    <row r="56" spans="1:64" x14ac:dyDescent="0.2">
      <c r="A56" s="653" t="s">
        <v>133</v>
      </c>
      <c r="B56" s="654">
        <v>46097</v>
      </c>
      <c r="C56" s="654">
        <v>46098</v>
      </c>
      <c r="D56" s="655" t="s">
        <v>183</v>
      </c>
      <c r="E56" s="656">
        <v>1</v>
      </c>
      <c r="F56" s="655" t="s">
        <v>2638</v>
      </c>
      <c r="G56" s="657" t="s">
        <v>126</v>
      </c>
      <c r="H56" s="658">
        <v>800</v>
      </c>
      <c r="I56" s="659">
        <v>44</v>
      </c>
      <c r="J56" s="659"/>
      <c r="K56" s="659"/>
      <c r="L56" s="659"/>
      <c r="M56" s="659">
        <v>2</v>
      </c>
      <c r="N56" s="659"/>
      <c r="O56" s="659"/>
      <c r="P56" s="659"/>
      <c r="Q56" s="659"/>
      <c r="R56" s="660"/>
      <c r="S56" s="659"/>
      <c r="T56" s="659"/>
      <c r="U56" s="659"/>
      <c r="V56" s="659">
        <v>1</v>
      </c>
      <c r="W56" s="659"/>
      <c r="X56" s="659">
        <v>5</v>
      </c>
      <c r="Y56" s="659">
        <v>48</v>
      </c>
      <c r="Z56" s="661">
        <v>0</v>
      </c>
      <c r="AA56" s="659">
        <v>0</v>
      </c>
      <c r="AB56" s="662">
        <f>100/(SUM(I56:Z56))</f>
        <v>1</v>
      </c>
      <c r="AC56" s="662">
        <f>SUM(I56:AA56)</f>
        <v>100</v>
      </c>
      <c r="AD56" s="659"/>
      <c r="AE56" s="659"/>
      <c r="AF56" s="659"/>
      <c r="AG56" s="663" t="s">
        <v>1928</v>
      </c>
      <c r="AH56" s="664" t="s">
        <v>2635</v>
      </c>
      <c r="AI56" s="664"/>
      <c r="AJ56" s="664"/>
      <c r="AK56" s="655" t="s">
        <v>2636</v>
      </c>
      <c r="AL56" s="663">
        <f>(B56-DATE(1970,1,1))*86400</f>
        <v>1773619200</v>
      </c>
      <c r="AM56" s="663">
        <f>(C56-DATE(1970,1,1))*86400</f>
        <v>1773705600</v>
      </c>
      <c r="AN56" s="663">
        <f>AVERAGE(AL56:AM56)</f>
        <v>1773662400</v>
      </c>
      <c r="AO56" s="274"/>
      <c r="AP56" s="274"/>
      <c r="AQ56" s="274"/>
      <c r="AR56" s="274"/>
      <c r="AS56" s="274"/>
      <c r="AT56" s="274"/>
      <c r="AU56" s="274"/>
      <c r="AV56" s="274"/>
      <c r="AW56" s="274"/>
      <c r="AX56" s="274"/>
      <c r="AY56" s="274"/>
      <c r="AZ56" s="274"/>
      <c r="BA56" s="274"/>
      <c r="BB56" s="274"/>
      <c r="BC56" s="274"/>
      <c r="BD56" s="274"/>
      <c r="BE56" s="274"/>
      <c r="BF56" s="274"/>
      <c r="BG56" s="274"/>
      <c r="BH56" s="274"/>
      <c r="BI56" s="274"/>
      <c r="BJ56" s="274"/>
      <c r="BK56" s="274"/>
      <c r="BL56" s="274"/>
    </row>
    <row r="57" spans="1:64" x14ac:dyDescent="0.2">
      <c r="A57" s="403" t="s">
        <v>133</v>
      </c>
      <c r="B57" s="14">
        <v>46097</v>
      </c>
      <c r="C57" s="14">
        <v>46098</v>
      </c>
      <c r="D57" s="13" t="s">
        <v>124</v>
      </c>
      <c r="E57" s="401">
        <v>1</v>
      </c>
      <c r="F57" s="13"/>
      <c r="G57" s="13" t="s">
        <v>126</v>
      </c>
      <c r="H57" s="349">
        <v>1000</v>
      </c>
      <c r="I57" s="15">
        <v>40</v>
      </c>
      <c r="J57" s="15"/>
      <c r="K57" s="15"/>
      <c r="L57" s="15"/>
      <c r="M57" s="15">
        <v>3</v>
      </c>
      <c r="N57" s="15"/>
      <c r="O57" s="15"/>
      <c r="P57" s="15"/>
      <c r="Q57" s="15"/>
      <c r="R57" s="15"/>
      <c r="S57" s="15"/>
      <c r="T57" s="15"/>
      <c r="U57" s="15"/>
      <c r="V57" s="15">
        <v>3</v>
      </c>
      <c r="W57" s="15"/>
      <c r="X57" s="15">
        <v>6</v>
      </c>
      <c r="Y57" s="15">
        <v>35</v>
      </c>
      <c r="Z57" s="397">
        <v>0</v>
      </c>
      <c r="AA57" s="98">
        <v>13</v>
      </c>
      <c r="AB57" s="16">
        <f>100/(SUM(I57:Z57))</f>
        <v>1.1494252873563218</v>
      </c>
      <c r="AC57" s="259">
        <f>SUM(I57:AA57)</f>
        <v>100</v>
      </c>
      <c r="AD57" s="15"/>
      <c r="AE57" s="15"/>
      <c r="AF57" s="15"/>
      <c r="AG57" s="17" t="s">
        <v>127</v>
      </c>
      <c r="AH57" s="645" t="s">
        <v>2558</v>
      </c>
      <c r="AI57" s="645" t="s">
        <v>2559</v>
      </c>
      <c r="AJ57" s="645" t="s">
        <v>2597</v>
      </c>
      <c r="AK57" s="13"/>
      <c r="AL57" s="17">
        <f>(B57-DATE(1970,1,1))*86400</f>
        <v>1773619200</v>
      </c>
      <c r="AM57" s="17">
        <f>(C57-DATE(1970,1,1))*86400</f>
        <v>1773705600</v>
      </c>
      <c r="AN57" s="17">
        <f>AVERAGE(AL57:AM57)</f>
        <v>1773662400</v>
      </c>
    </row>
    <row r="58" spans="1:64" ht="15.75" customHeight="1" x14ac:dyDescent="0.2">
      <c r="A58" s="279" t="s">
        <v>123</v>
      </c>
      <c r="B58" s="14">
        <v>46097</v>
      </c>
      <c r="C58" s="14">
        <v>46098</v>
      </c>
      <c r="D58" s="13" t="s">
        <v>124</v>
      </c>
      <c r="E58" s="401">
        <v>1</v>
      </c>
      <c r="F58" s="13"/>
      <c r="G58" s="13" t="s">
        <v>126</v>
      </c>
      <c r="H58" s="349">
        <v>1000</v>
      </c>
      <c r="I58" s="15">
        <v>46</v>
      </c>
      <c r="J58" s="15"/>
      <c r="K58" s="15"/>
      <c r="L58" s="15"/>
      <c r="M58" s="15">
        <v>3</v>
      </c>
      <c r="N58" s="15"/>
      <c r="O58" s="15"/>
      <c r="P58" s="15"/>
      <c r="Q58" s="15"/>
      <c r="R58" s="15"/>
      <c r="S58" s="15"/>
      <c r="T58" s="15"/>
      <c r="U58" s="15"/>
      <c r="V58" s="15">
        <v>3</v>
      </c>
      <c r="W58" s="15"/>
      <c r="X58" s="15">
        <v>8</v>
      </c>
      <c r="Y58" s="15">
        <v>40</v>
      </c>
      <c r="Z58" s="15">
        <v>0</v>
      </c>
      <c r="AA58" s="15">
        <v>0</v>
      </c>
      <c r="AB58" s="16">
        <f>100/(SUM(I58:Z58))</f>
        <v>1</v>
      </c>
      <c r="AC58" s="259">
        <f>SUM(I58:AA58)</f>
        <v>100</v>
      </c>
      <c r="AD58" s="15"/>
      <c r="AE58" s="15"/>
      <c r="AF58" s="15"/>
      <c r="AG58" s="17" t="s">
        <v>127</v>
      </c>
      <c r="AH58" s="201" t="s">
        <v>2558</v>
      </c>
      <c r="AI58" s="201" t="s">
        <v>2559</v>
      </c>
      <c r="AJ58" s="18"/>
      <c r="AK58" s="13"/>
      <c r="AL58" s="17">
        <f>(B58-DATE(1970,1,1))*86400</f>
        <v>1773619200</v>
      </c>
      <c r="AM58" s="17">
        <f>(C58-DATE(1970,1,1))*86400</f>
        <v>1773705600</v>
      </c>
      <c r="AN58" s="17">
        <f>AVERAGE(AL58:AM58)</f>
        <v>1773662400</v>
      </c>
    </row>
    <row r="59" spans="1:64" x14ac:dyDescent="0.2">
      <c r="A59" s="278" t="s">
        <v>133</v>
      </c>
      <c r="B59" s="203">
        <v>46097</v>
      </c>
      <c r="C59" s="203">
        <v>46097</v>
      </c>
      <c r="D59" s="202" t="s">
        <v>1706</v>
      </c>
      <c r="E59" s="330" t="s">
        <v>184</v>
      </c>
      <c r="F59" s="202" t="s">
        <v>140</v>
      </c>
      <c r="G59" s="202" t="s">
        <v>135</v>
      </c>
      <c r="H59" s="330">
        <v>1500</v>
      </c>
      <c r="I59" s="202"/>
      <c r="J59" s="202"/>
      <c r="K59" s="202"/>
      <c r="L59" s="202"/>
      <c r="M59" s="202"/>
      <c r="N59" s="202"/>
      <c r="O59" s="202"/>
      <c r="P59" s="202"/>
      <c r="Q59" s="202"/>
      <c r="R59" s="202"/>
      <c r="S59" s="202"/>
      <c r="T59" s="202"/>
      <c r="U59" s="202"/>
      <c r="V59" s="202"/>
      <c r="W59" s="204"/>
      <c r="X59" s="202"/>
      <c r="Y59" s="202"/>
      <c r="Z59" s="202"/>
      <c r="AA59" s="202"/>
      <c r="AB59" s="205"/>
      <c r="AC59" s="259">
        <f>SUM(I59:AA59)</f>
        <v>0</v>
      </c>
      <c r="AD59" s="206"/>
      <c r="AE59" s="206"/>
      <c r="AF59" s="206"/>
      <c r="AG59" s="206" t="s">
        <v>1940</v>
      </c>
      <c r="AH59" s="207" t="s">
        <v>2624</v>
      </c>
      <c r="AI59" s="202"/>
      <c r="AJ59" s="202"/>
      <c r="AK59" s="202" t="s">
        <v>138</v>
      </c>
      <c r="AL59" s="208">
        <f>(B59-DATE(1970,1,1))*86400</f>
        <v>1773619200</v>
      </c>
      <c r="AM59" s="208">
        <f>(C59-DATE(1970,1,1))*86400</f>
        <v>1773619200</v>
      </c>
      <c r="AN59" s="208">
        <f>AVERAGE(AL59:AM59)</f>
        <v>1773619200</v>
      </c>
    </row>
    <row r="60" spans="1:64" x14ac:dyDescent="0.2">
      <c r="A60" s="287" t="s">
        <v>133</v>
      </c>
      <c r="B60" s="187">
        <v>46093</v>
      </c>
      <c r="C60" s="187">
        <v>46094</v>
      </c>
      <c r="D60" s="69" t="s">
        <v>183</v>
      </c>
      <c r="E60" s="400">
        <v>1</v>
      </c>
      <c r="F60" s="69" t="s">
        <v>2503</v>
      </c>
      <c r="G60" s="188" t="s">
        <v>126</v>
      </c>
      <c r="H60" s="354">
        <v>800</v>
      </c>
      <c r="I60" s="71">
        <v>40</v>
      </c>
      <c r="J60" s="71"/>
      <c r="K60" s="71"/>
      <c r="L60" s="71"/>
      <c r="M60" s="71">
        <v>1</v>
      </c>
      <c r="N60" s="71"/>
      <c r="O60" s="71"/>
      <c r="P60" s="71"/>
      <c r="Q60" s="71"/>
      <c r="R60" s="72"/>
      <c r="S60" s="71"/>
      <c r="T60" s="71"/>
      <c r="U60" s="71"/>
      <c r="V60" s="71">
        <v>1</v>
      </c>
      <c r="W60" s="71"/>
      <c r="X60" s="71">
        <v>5</v>
      </c>
      <c r="Y60" s="71">
        <v>40</v>
      </c>
      <c r="Z60" s="630">
        <v>0</v>
      </c>
      <c r="AA60" s="71">
        <v>13</v>
      </c>
      <c r="AB60" s="73">
        <f>100/(SUM(I60:Z60))</f>
        <v>1.1494252873563218</v>
      </c>
      <c r="AC60" s="259">
        <f>SUM(I60:AA60)</f>
        <v>100</v>
      </c>
      <c r="AD60" s="71"/>
      <c r="AE60" s="71"/>
      <c r="AF60" s="71"/>
      <c r="AG60" s="74" t="s">
        <v>2612</v>
      </c>
      <c r="AH60" s="199" t="s">
        <v>2613</v>
      </c>
      <c r="AI60" s="199"/>
      <c r="AJ60" s="199"/>
      <c r="AK60" s="69" t="s">
        <v>2600</v>
      </c>
      <c r="AL60" s="74">
        <f>(B60-DATE(1970,1,1))*86400</f>
        <v>1773273600</v>
      </c>
      <c r="AM60" s="74">
        <f>(C60-DATE(1970,1,1))*86400</f>
        <v>1773360000</v>
      </c>
      <c r="AN60" s="74">
        <f>AVERAGE(AL60:AM60)</f>
        <v>1773316800</v>
      </c>
    </row>
    <row r="61" spans="1:64" x14ac:dyDescent="0.2">
      <c r="A61" s="287" t="s">
        <v>133</v>
      </c>
      <c r="B61" s="187">
        <v>46093</v>
      </c>
      <c r="C61" s="187">
        <v>46094</v>
      </c>
      <c r="D61" s="69" t="s">
        <v>183</v>
      </c>
      <c r="E61" s="400">
        <v>1</v>
      </c>
      <c r="F61" s="69" t="s">
        <v>2503</v>
      </c>
      <c r="G61" s="188" t="s">
        <v>126</v>
      </c>
      <c r="H61" s="354">
        <v>800</v>
      </c>
      <c r="I61" s="71">
        <v>40</v>
      </c>
      <c r="J61" s="71"/>
      <c r="K61" s="71"/>
      <c r="L61" s="71"/>
      <c r="M61" s="71">
        <v>0</v>
      </c>
      <c r="N61" s="71"/>
      <c r="O61" s="71"/>
      <c r="P61" s="71"/>
      <c r="Q61" s="71"/>
      <c r="R61" s="72"/>
      <c r="S61" s="71"/>
      <c r="T61" s="71"/>
      <c r="U61" s="71"/>
      <c r="V61" s="71"/>
      <c r="W61" s="71"/>
      <c r="X61" s="71">
        <v>5</v>
      </c>
      <c r="Y61" s="71">
        <v>39</v>
      </c>
      <c r="Z61" s="630">
        <v>2</v>
      </c>
      <c r="AA61" s="71">
        <v>12</v>
      </c>
      <c r="AB61" s="73">
        <f>100/(SUM(I61:Z61))</f>
        <v>1.1627906976744187</v>
      </c>
      <c r="AC61" s="259">
        <f>SUM(I61:AA61)</f>
        <v>98</v>
      </c>
      <c r="AD61" s="71"/>
      <c r="AE61" s="71"/>
      <c r="AF61" s="71"/>
      <c r="AG61" s="74" t="s">
        <v>2612</v>
      </c>
      <c r="AH61" s="199" t="s">
        <v>2613</v>
      </c>
      <c r="AI61" s="199"/>
      <c r="AJ61" s="199"/>
      <c r="AK61" s="69" t="s">
        <v>2615</v>
      </c>
      <c r="AL61" s="74">
        <f>(B61-DATE(1970,1,1))*86400</f>
        <v>1773273600</v>
      </c>
      <c r="AM61" s="74">
        <f>(C61-DATE(1970,1,1))*86400</f>
        <v>1773360000</v>
      </c>
      <c r="AN61" s="74">
        <f>AVERAGE(AL61:AM61)</f>
        <v>1773316800</v>
      </c>
    </row>
    <row r="62" spans="1:64" x14ac:dyDescent="0.2">
      <c r="A62" s="287" t="s">
        <v>133</v>
      </c>
      <c r="B62" s="187">
        <v>46093</v>
      </c>
      <c r="C62" s="187">
        <v>46094</v>
      </c>
      <c r="D62" s="69" t="s">
        <v>183</v>
      </c>
      <c r="E62" s="400">
        <v>1</v>
      </c>
      <c r="F62" s="69" t="s">
        <v>2503</v>
      </c>
      <c r="G62" s="188" t="s">
        <v>126</v>
      </c>
      <c r="H62" s="354">
        <v>800</v>
      </c>
      <c r="I62" s="71">
        <v>46</v>
      </c>
      <c r="J62" s="71"/>
      <c r="K62" s="71"/>
      <c r="L62" s="71"/>
      <c r="M62" s="630">
        <v>1</v>
      </c>
      <c r="N62" s="71"/>
      <c r="O62" s="71"/>
      <c r="P62" s="71"/>
      <c r="Q62" s="71"/>
      <c r="R62" s="72"/>
      <c r="S62" s="71"/>
      <c r="T62" s="71"/>
      <c r="U62" s="71"/>
      <c r="V62" s="630">
        <v>1</v>
      </c>
      <c r="W62" s="71"/>
      <c r="X62" s="71">
        <v>6</v>
      </c>
      <c r="Y62" s="71">
        <v>46</v>
      </c>
      <c r="Z62" s="630">
        <v>0</v>
      </c>
      <c r="AA62" s="71">
        <v>0</v>
      </c>
      <c r="AB62" s="73">
        <f>100/(SUM(I62:Z62))</f>
        <v>1</v>
      </c>
      <c r="AC62" s="259">
        <f>SUM(I62:AA62)</f>
        <v>100</v>
      </c>
      <c r="AD62" s="71"/>
      <c r="AE62" s="71"/>
      <c r="AF62" s="71"/>
      <c r="AG62" s="74" t="s">
        <v>2612</v>
      </c>
      <c r="AH62" s="199" t="s">
        <v>2613</v>
      </c>
      <c r="AI62" s="199"/>
      <c r="AJ62" s="199"/>
      <c r="AK62" s="69" t="s">
        <v>2600</v>
      </c>
      <c r="AL62" s="74">
        <f>(B62-DATE(1970,1,1))*86400</f>
        <v>1773273600</v>
      </c>
      <c r="AM62" s="74">
        <f>(C62-DATE(1970,1,1))*86400</f>
        <v>1773360000</v>
      </c>
      <c r="AN62" s="74">
        <f>AVERAGE(AL62:AM62)</f>
        <v>1773316800</v>
      </c>
    </row>
    <row r="63" spans="1:64" x14ac:dyDescent="0.2">
      <c r="A63" s="287" t="s">
        <v>133</v>
      </c>
      <c r="B63" s="187">
        <v>46093</v>
      </c>
      <c r="C63" s="187">
        <v>46094</v>
      </c>
      <c r="D63" s="69" t="s">
        <v>183</v>
      </c>
      <c r="E63" s="400">
        <v>1</v>
      </c>
      <c r="F63" s="69" t="s">
        <v>2503</v>
      </c>
      <c r="G63" s="188" t="s">
        <v>126</v>
      </c>
      <c r="H63" s="354">
        <v>800</v>
      </c>
      <c r="I63" s="71">
        <v>46</v>
      </c>
      <c r="J63" s="71"/>
      <c r="K63" s="71"/>
      <c r="L63" s="71"/>
      <c r="M63" s="630"/>
      <c r="N63" s="71"/>
      <c r="O63" s="71"/>
      <c r="P63" s="71"/>
      <c r="Q63" s="71"/>
      <c r="R63" s="72"/>
      <c r="S63" s="71"/>
      <c r="T63" s="71"/>
      <c r="U63" s="71"/>
      <c r="V63" s="72"/>
      <c r="W63" s="71"/>
      <c r="X63" s="71">
        <v>6</v>
      </c>
      <c r="Y63" s="71">
        <v>45</v>
      </c>
      <c r="Z63" s="630">
        <v>3</v>
      </c>
      <c r="AA63" s="71">
        <v>0</v>
      </c>
      <c r="AB63" s="73">
        <f>100/(SUM(I63:Z63))</f>
        <v>1</v>
      </c>
      <c r="AC63" s="259">
        <f>SUM(I63:AA63)</f>
        <v>100</v>
      </c>
      <c r="AD63" s="71"/>
      <c r="AE63" s="71"/>
      <c r="AF63" s="71"/>
      <c r="AG63" s="74" t="s">
        <v>2612</v>
      </c>
      <c r="AH63" s="558" t="s">
        <v>2613</v>
      </c>
      <c r="AI63" s="558"/>
      <c r="AJ63" s="199"/>
      <c r="AK63" s="69" t="s">
        <v>2615</v>
      </c>
      <c r="AL63" s="74">
        <f>(B63-DATE(1970,1,1))*86400</f>
        <v>1773273600</v>
      </c>
      <c r="AM63" s="74">
        <f>(C63-DATE(1970,1,1))*86400</f>
        <v>1773360000</v>
      </c>
      <c r="AN63" s="74">
        <f>AVERAGE(AL63:AM63)</f>
        <v>1773316800</v>
      </c>
      <c r="AO63" s="633"/>
      <c r="AP63" s="633"/>
      <c r="AQ63" s="633"/>
      <c r="AR63" s="633"/>
      <c r="AS63" s="633"/>
      <c r="AT63" s="633"/>
      <c r="AU63" s="633"/>
      <c r="AV63" s="633"/>
      <c r="AW63" s="633"/>
      <c r="AX63" s="633"/>
      <c r="AY63" s="633"/>
      <c r="AZ63" s="633"/>
      <c r="BA63" s="633"/>
      <c r="BB63" s="633"/>
      <c r="BC63" s="633"/>
      <c r="BD63" s="633"/>
      <c r="BE63" s="633"/>
      <c r="BF63" s="633"/>
      <c r="BG63" s="633"/>
      <c r="BH63" s="633"/>
      <c r="BI63" s="633"/>
      <c r="BJ63" s="633"/>
      <c r="BK63" s="633"/>
      <c r="BL63" s="633"/>
    </row>
    <row r="64" spans="1:64" x14ac:dyDescent="0.2">
      <c r="A64" s="287" t="s">
        <v>123</v>
      </c>
      <c r="B64" s="187">
        <v>46093</v>
      </c>
      <c r="C64" s="187">
        <v>46094</v>
      </c>
      <c r="D64" s="69" t="s">
        <v>183</v>
      </c>
      <c r="E64" s="400">
        <v>1</v>
      </c>
      <c r="F64" s="69" t="s">
        <v>2503</v>
      </c>
      <c r="G64" s="188" t="s">
        <v>126</v>
      </c>
      <c r="H64" s="354">
        <v>800</v>
      </c>
      <c r="I64" s="71">
        <v>48</v>
      </c>
      <c r="J64" s="71"/>
      <c r="K64" s="71"/>
      <c r="L64" s="71"/>
      <c r="M64" s="71">
        <v>1</v>
      </c>
      <c r="N64" s="71"/>
      <c r="O64" s="71"/>
      <c r="P64" s="71"/>
      <c r="Q64" s="71"/>
      <c r="R64" s="72"/>
      <c r="S64" s="71"/>
      <c r="T64" s="71"/>
      <c r="U64" s="71"/>
      <c r="V64" s="71">
        <v>0</v>
      </c>
      <c r="W64" s="71"/>
      <c r="X64" s="71">
        <v>5</v>
      </c>
      <c r="Y64" s="71">
        <v>48</v>
      </c>
      <c r="Z64" s="630">
        <v>0</v>
      </c>
      <c r="AA64" s="71">
        <v>0</v>
      </c>
      <c r="AB64" s="73">
        <f>100/(SUM(I64:Z64))</f>
        <v>0.98039215686274506</v>
      </c>
      <c r="AC64" s="259">
        <f>SUM(I64:AA64)</f>
        <v>102</v>
      </c>
      <c r="AD64" s="71"/>
      <c r="AE64" s="71"/>
      <c r="AF64" s="71"/>
      <c r="AG64" s="74" t="s">
        <v>2612</v>
      </c>
      <c r="AH64" s="558" t="s">
        <v>2613</v>
      </c>
      <c r="AI64" s="558"/>
      <c r="AJ64" s="199"/>
      <c r="AK64" s="69" t="s">
        <v>2600</v>
      </c>
      <c r="AL64" s="74">
        <f>(B64-DATE(1970,1,1))*86400</f>
        <v>1773273600</v>
      </c>
      <c r="AM64" s="74">
        <f>(C64-DATE(1970,1,1))*86400</f>
        <v>1773360000</v>
      </c>
      <c r="AN64" s="74">
        <f>AVERAGE(AL64:AM64)</f>
        <v>1773316800</v>
      </c>
      <c r="AO64" s="633"/>
      <c r="AP64" s="633"/>
      <c r="AQ64" s="633"/>
      <c r="AR64" s="633"/>
      <c r="AS64" s="633"/>
      <c r="AT64" s="633"/>
      <c r="AU64" s="633"/>
      <c r="AV64" s="633"/>
      <c r="AW64" s="633"/>
      <c r="AX64" s="633"/>
      <c r="AY64" s="633"/>
      <c r="AZ64" s="633"/>
      <c r="BA64" s="633"/>
      <c r="BB64" s="633"/>
      <c r="BC64" s="633"/>
      <c r="BD64" s="633"/>
      <c r="BE64" s="633"/>
      <c r="BF64" s="633"/>
      <c r="BG64" s="633"/>
      <c r="BH64" s="633"/>
      <c r="BI64" s="633"/>
      <c r="BJ64" s="633"/>
      <c r="BK64" s="633"/>
      <c r="BL64" s="633"/>
    </row>
    <row r="65" spans="1:64" x14ac:dyDescent="0.2">
      <c r="A65" s="287" t="s">
        <v>123</v>
      </c>
      <c r="B65" s="187">
        <v>46093</v>
      </c>
      <c r="C65" s="187">
        <v>46094</v>
      </c>
      <c r="D65" s="69" t="s">
        <v>183</v>
      </c>
      <c r="E65" s="400">
        <v>1</v>
      </c>
      <c r="F65" s="69" t="s">
        <v>2503</v>
      </c>
      <c r="G65" s="188" t="s">
        <v>126</v>
      </c>
      <c r="H65" s="354">
        <v>800</v>
      </c>
      <c r="I65" s="71">
        <v>46</v>
      </c>
      <c r="J65" s="71"/>
      <c r="K65" s="71"/>
      <c r="L65" s="71"/>
      <c r="M65" s="71"/>
      <c r="N65" s="71"/>
      <c r="O65" s="71"/>
      <c r="P65" s="71"/>
      <c r="Q65" s="71"/>
      <c r="R65" s="72"/>
      <c r="S65" s="71"/>
      <c r="T65" s="71"/>
      <c r="U65" s="71"/>
      <c r="V65" s="71"/>
      <c r="W65" s="71"/>
      <c r="X65" s="71">
        <v>5</v>
      </c>
      <c r="Y65" s="71">
        <v>47</v>
      </c>
      <c r="Z65" s="630">
        <v>2</v>
      </c>
      <c r="AA65" s="71">
        <v>0</v>
      </c>
      <c r="AB65" s="73">
        <f>100/(SUM(I65:Z65))</f>
        <v>1</v>
      </c>
      <c r="AC65" s="259">
        <f>SUM(I65:AA65)</f>
        <v>100</v>
      </c>
      <c r="AD65" s="71"/>
      <c r="AE65" s="71"/>
      <c r="AF65" s="71"/>
      <c r="AG65" s="74" t="s">
        <v>2612</v>
      </c>
      <c r="AH65" s="558" t="s">
        <v>2613</v>
      </c>
      <c r="AI65" s="558"/>
      <c r="AJ65" s="199"/>
      <c r="AK65" s="69" t="s">
        <v>2615</v>
      </c>
      <c r="AL65" s="74">
        <f>(B65-DATE(1970,1,1))*86400</f>
        <v>1773273600</v>
      </c>
      <c r="AM65" s="74">
        <f>(C65-DATE(1970,1,1))*86400</f>
        <v>1773360000</v>
      </c>
      <c r="AN65" s="74">
        <f>AVERAGE(AL65:AM65)</f>
        <v>1773316800</v>
      </c>
      <c r="AO65" s="632"/>
      <c r="AP65" s="632"/>
      <c r="AQ65" s="632"/>
      <c r="AR65" s="632"/>
      <c r="AS65" s="632"/>
      <c r="AT65" s="632"/>
      <c r="AU65" s="632"/>
      <c r="AV65" s="632"/>
      <c r="AW65" s="632"/>
      <c r="AX65" s="632"/>
      <c r="AY65" s="632"/>
      <c r="AZ65" s="632"/>
      <c r="BA65" s="632"/>
      <c r="BB65" s="632"/>
      <c r="BC65" s="632"/>
      <c r="BD65" s="632"/>
      <c r="BE65" s="632"/>
      <c r="BF65" s="632"/>
      <c r="BG65" s="632"/>
      <c r="BH65" s="632"/>
      <c r="BI65" s="632"/>
      <c r="BJ65" s="632"/>
      <c r="BK65" s="632"/>
      <c r="BL65" s="632"/>
    </row>
    <row r="66" spans="1:64" x14ac:dyDescent="0.2">
      <c r="A66" s="287" t="s">
        <v>133</v>
      </c>
      <c r="B66" s="187">
        <v>46092</v>
      </c>
      <c r="C66" s="187">
        <v>46093</v>
      </c>
      <c r="D66" s="69" t="s">
        <v>183</v>
      </c>
      <c r="E66" s="400">
        <v>1</v>
      </c>
      <c r="F66" s="69" t="s">
        <v>2614</v>
      </c>
      <c r="G66" s="188" t="s">
        <v>126</v>
      </c>
      <c r="H66" s="354">
        <v>800</v>
      </c>
      <c r="I66" s="71">
        <v>43</v>
      </c>
      <c r="J66" s="71"/>
      <c r="K66" s="71"/>
      <c r="L66" s="71"/>
      <c r="M66" s="71">
        <v>1</v>
      </c>
      <c r="N66" s="71"/>
      <c r="O66" s="71"/>
      <c r="P66" s="71"/>
      <c r="Q66" s="71"/>
      <c r="R66" s="72"/>
      <c r="S66" s="71"/>
      <c r="T66" s="71"/>
      <c r="U66" s="71"/>
      <c r="V66" s="71">
        <v>1</v>
      </c>
      <c r="W66" s="71"/>
      <c r="X66" s="71">
        <v>5</v>
      </c>
      <c r="Y66" s="71">
        <v>41</v>
      </c>
      <c r="Z66" s="630">
        <v>0</v>
      </c>
      <c r="AA66" s="71">
        <v>9</v>
      </c>
      <c r="AB66" s="73">
        <f>100/(SUM(I66:Z66))</f>
        <v>1.098901098901099</v>
      </c>
      <c r="AC66" s="259">
        <f>SUM(I66:AA66)</f>
        <v>100</v>
      </c>
      <c r="AD66" s="71"/>
      <c r="AE66" s="71"/>
      <c r="AF66" s="71"/>
      <c r="AG66" s="74" t="s">
        <v>2612</v>
      </c>
      <c r="AH66" s="558" t="s">
        <v>2613</v>
      </c>
      <c r="AI66" s="558"/>
      <c r="AJ66" s="558"/>
      <c r="AK66" s="69" t="s">
        <v>2600</v>
      </c>
      <c r="AL66" s="74">
        <f>(B66-DATE(1970,1,1))*86400</f>
        <v>1773187200</v>
      </c>
      <c r="AM66" s="74">
        <f>(C66-DATE(1970,1,1))*86400</f>
        <v>1773273600</v>
      </c>
      <c r="AN66" s="74">
        <f>AVERAGE(AL66:AM66)</f>
        <v>1773230400</v>
      </c>
      <c r="AO66" s="633"/>
      <c r="AP66" s="633"/>
      <c r="AQ66" s="633"/>
      <c r="AR66" s="633"/>
      <c r="AS66" s="633"/>
      <c r="AT66" s="633"/>
      <c r="AU66" s="633"/>
      <c r="AV66" s="633"/>
      <c r="AW66" s="633"/>
      <c r="AX66" s="633"/>
      <c r="AY66" s="633"/>
      <c r="AZ66" s="633"/>
      <c r="BA66" s="633"/>
      <c r="BB66" s="633"/>
      <c r="BC66" s="633"/>
      <c r="BD66" s="633"/>
      <c r="BE66" s="633"/>
      <c r="BF66" s="633"/>
      <c r="BG66" s="633"/>
      <c r="BH66" s="633"/>
      <c r="BI66" s="633"/>
      <c r="BJ66" s="633"/>
      <c r="BK66" s="633"/>
      <c r="BL66" s="633"/>
    </row>
    <row r="67" spans="1:64" x14ac:dyDescent="0.2">
      <c r="A67" s="287" t="s">
        <v>133</v>
      </c>
      <c r="B67" s="187">
        <v>46092</v>
      </c>
      <c r="C67" s="187">
        <v>46093</v>
      </c>
      <c r="D67" s="69" t="s">
        <v>183</v>
      </c>
      <c r="E67" s="400">
        <v>1</v>
      </c>
      <c r="F67" s="69" t="s">
        <v>2614</v>
      </c>
      <c r="G67" s="188" t="s">
        <v>126</v>
      </c>
      <c r="H67" s="354">
        <v>800</v>
      </c>
      <c r="I67" s="71">
        <v>46</v>
      </c>
      <c r="J67" s="71"/>
      <c r="K67" s="71">
        <v>0</v>
      </c>
      <c r="L67" s="71"/>
      <c r="M67" s="71">
        <v>1</v>
      </c>
      <c r="N67" s="71"/>
      <c r="O67" s="71"/>
      <c r="P67" s="71"/>
      <c r="Q67" s="71"/>
      <c r="R67" s="72"/>
      <c r="S67" s="71"/>
      <c r="T67" s="71"/>
      <c r="U67" s="71"/>
      <c r="V67" s="71"/>
      <c r="W67" s="71"/>
      <c r="X67" s="71">
        <v>5</v>
      </c>
      <c r="Y67" s="71">
        <v>41</v>
      </c>
      <c r="Z67" s="630">
        <v>0</v>
      </c>
      <c r="AA67" s="71">
        <v>7</v>
      </c>
      <c r="AB67" s="73">
        <f>100/(SUM(I67:Z67))</f>
        <v>1.075268817204301</v>
      </c>
      <c r="AC67" s="259">
        <f>SUM(I67:AA67)</f>
        <v>100</v>
      </c>
      <c r="AD67" s="71"/>
      <c r="AE67" s="71"/>
      <c r="AF67" s="71"/>
      <c r="AG67" s="74" t="s">
        <v>2612</v>
      </c>
      <c r="AH67" s="558" t="s">
        <v>2613</v>
      </c>
      <c r="AI67" s="558"/>
      <c r="AJ67" s="558"/>
      <c r="AK67" s="69" t="s">
        <v>2615</v>
      </c>
      <c r="AL67" s="74">
        <f>(B67-DATE(1970,1,1))*86400</f>
        <v>1773187200</v>
      </c>
      <c r="AM67" s="74">
        <f>(C67-DATE(1970,1,1))*86400</f>
        <v>1773273600</v>
      </c>
      <c r="AN67" s="74">
        <f>AVERAGE(AL67:AM67)</f>
        <v>1773230400</v>
      </c>
    </row>
    <row r="68" spans="1:64" ht="15.75" customHeight="1" x14ac:dyDescent="0.2">
      <c r="A68" s="287" t="s">
        <v>133</v>
      </c>
      <c r="B68" s="187">
        <v>46092</v>
      </c>
      <c r="C68" s="187">
        <v>46093</v>
      </c>
      <c r="D68" s="69" t="s">
        <v>183</v>
      </c>
      <c r="E68" s="400">
        <v>1</v>
      </c>
      <c r="F68" s="69" t="s">
        <v>2614</v>
      </c>
      <c r="G68" s="188" t="s">
        <v>126</v>
      </c>
      <c r="H68" s="354">
        <v>800</v>
      </c>
      <c r="I68" s="71">
        <v>47</v>
      </c>
      <c r="J68" s="71"/>
      <c r="K68" s="71"/>
      <c r="L68" s="71"/>
      <c r="M68" s="630">
        <v>1</v>
      </c>
      <c r="N68" s="71"/>
      <c r="O68" s="71"/>
      <c r="P68" s="71"/>
      <c r="Q68" s="71"/>
      <c r="R68" s="72"/>
      <c r="S68" s="71"/>
      <c r="T68" s="71"/>
      <c r="U68" s="71"/>
      <c r="V68" s="630">
        <v>1</v>
      </c>
      <c r="W68" s="71"/>
      <c r="X68" s="71">
        <v>6</v>
      </c>
      <c r="Y68" s="71">
        <v>45</v>
      </c>
      <c r="Z68" s="630">
        <v>0</v>
      </c>
      <c r="AA68" s="71">
        <v>0</v>
      </c>
      <c r="AB68" s="73">
        <f>100/(SUM(I68:Z68))</f>
        <v>1</v>
      </c>
      <c r="AC68" s="259">
        <f>SUM(I68:AA68)</f>
        <v>100</v>
      </c>
      <c r="AD68" s="71"/>
      <c r="AE68" s="71"/>
      <c r="AF68" s="71"/>
      <c r="AG68" s="74" t="s">
        <v>2612</v>
      </c>
      <c r="AH68" s="199" t="s">
        <v>2613</v>
      </c>
      <c r="AI68" s="199"/>
      <c r="AJ68" s="199"/>
      <c r="AK68" s="69" t="s">
        <v>2600</v>
      </c>
      <c r="AL68" s="74">
        <f>(B68-DATE(1970,1,1))*86400</f>
        <v>1773187200</v>
      </c>
      <c r="AM68" s="74">
        <f>(C68-DATE(1970,1,1))*86400</f>
        <v>1773273600</v>
      </c>
      <c r="AN68" s="74">
        <f>AVERAGE(AL68:AM68)</f>
        <v>1773230400</v>
      </c>
    </row>
    <row r="69" spans="1:64" x14ac:dyDescent="0.2">
      <c r="A69" s="287" t="s">
        <v>133</v>
      </c>
      <c r="B69" s="187">
        <v>46092</v>
      </c>
      <c r="C69" s="187">
        <v>46093</v>
      </c>
      <c r="D69" s="69" t="s">
        <v>183</v>
      </c>
      <c r="E69" s="400">
        <v>1</v>
      </c>
      <c r="F69" s="69" t="s">
        <v>2614</v>
      </c>
      <c r="G69" s="188" t="s">
        <v>126</v>
      </c>
      <c r="H69" s="354">
        <v>800</v>
      </c>
      <c r="I69" s="71">
        <v>49</v>
      </c>
      <c r="J69" s="71"/>
      <c r="K69" s="71">
        <v>1</v>
      </c>
      <c r="L69" s="71"/>
      <c r="M69" s="71">
        <v>2</v>
      </c>
      <c r="N69" s="71"/>
      <c r="O69" s="71"/>
      <c r="P69" s="71"/>
      <c r="Q69" s="71"/>
      <c r="R69" s="72"/>
      <c r="S69" s="71"/>
      <c r="T69" s="71"/>
      <c r="U69" s="71"/>
      <c r="V69" s="71"/>
      <c r="W69" s="71"/>
      <c r="X69" s="71">
        <v>5</v>
      </c>
      <c r="Y69" s="71">
        <v>43</v>
      </c>
      <c r="Z69" s="630">
        <v>0</v>
      </c>
      <c r="AA69" s="71">
        <v>0</v>
      </c>
      <c r="AB69" s="73">
        <f>100/(SUM(I69:Z69))</f>
        <v>1</v>
      </c>
      <c r="AC69" s="259">
        <f>SUM(I69:AA69)</f>
        <v>100</v>
      </c>
      <c r="AD69" s="71"/>
      <c r="AE69" s="71"/>
      <c r="AF69" s="71"/>
      <c r="AG69" s="74" t="s">
        <v>2612</v>
      </c>
      <c r="AH69" s="199" t="s">
        <v>2613</v>
      </c>
      <c r="AI69" s="199"/>
      <c r="AJ69" s="199"/>
      <c r="AK69" s="69" t="s">
        <v>2615</v>
      </c>
      <c r="AL69" s="74">
        <f>(B69-DATE(1970,1,1))*86400</f>
        <v>1773187200</v>
      </c>
      <c r="AM69" s="74">
        <f>(C69-DATE(1970,1,1))*86400</f>
        <v>1773273600</v>
      </c>
      <c r="AN69" s="74">
        <f>AVERAGE(AL69:AM69)</f>
        <v>1773230400</v>
      </c>
    </row>
    <row r="70" spans="1:64" x14ac:dyDescent="0.2">
      <c r="A70" s="287" t="s">
        <v>123</v>
      </c>
      <c r="B70" s="187">
        <v>46092</v>
      </c>
      <c r="C70" s="187">
        <v>46093</v>
      </c>
      <c r="D70" s="69" t="s">
        <v>183</v>
      </c>
      <c r="E70" s="400">
        <v>1</v>
      </c>
      <c r="F70" s="69" t="s">
        <v>2614</v>
      </c>
      <c r="G70" s="188" t="s">
        <v>126</v>
      </c>
      <c r="H70" s="354">
        <v>800</v>
      </c>
      <c r="I70" s="71">
        <v>46</v>
      </c>
      <c r="J70" s="71"/>
      <c r="K70" s="71"/>
      <c r="L70" s="71"/>
      <c r="M70" s="71">
        <v>1</v>
      </c>
      <c r="N70" s="71"/>
      <c r="O70" s="71"/>
      <c r="P70" s="71"/>
      <c r="Q70" s="71"/>
      <c r="R70" s="72"/>
      <c r="S70" s="71"/>
      <c r="T70" s="71"/>
      <c r="U70" s="71"/>
      <c r="V70" s="71">
        <v>1</v>
      </c>
      <c r="W70" s="71"/>
      <c r="X70" s="71">
        <v>4</v>
      </c>
      <c r="Y70" s="71">
        <v>48</v>
      </c>
      <c r="Z70" s="630">
        <v>0</v>
      </c>
      <c r="AA70" s="71">
        <v>0</v>
      </c>
      <c r="AB70" s="73">
        <f>100/(SUM(I70:Z70))</f>
        <v>1</v>
      </c>
      <c r="AC70" s="259">
        <f>SUM(I70:AA70)</f>
        <v>100</v>
      </c>
      <c r="AD70" s="71"/>
      <c r="AE70" s="71"/>
      <c r="AF70" s="71"/>
      <c r="AG70" s="74" t="s">
        <v>2612</v>
      </c>
      <c r="AH70" s="199" t="s">
        <v>2613</v>
      </c>
      <c r="AI70" s="199"/>
      <c r="AJ70" s="199"/>
      <c r="AK70" s="69" t="s">
        <v>2600</v>
      </c>
      <c r="AL70" s="74">
        <f>(B70-DATE(1970,1,1))*86400</f>
        <v>1773187200</v>
      </c>
      <c r="AM70" s="74">
        <f>(C70-DATE(1970,1,1))*86400</f>
        <v>1773273600</v>
      </c>
      <c r="AN70" s="74">
        <f>AVERAGE(AL70:AM70)</f>
        <v>1773230400</v>
      </c>
    </row>
    <row r="71" spans="1:64" ht="15.75" customHeight="1" x14ac:dyDescent="0.2">
      <c r="A71" s="287" t="s">
        <v>123</v>
      </c>
      <c r="B71" s="187">
        <v>46092</v>
      </c>
      <c r="C71" s="187">
        <v>46093</v>
      </c>
      <c r="D71" s="69" t="s">
        <v>183</v>
      </c>
      <c r="E71" s="400">
        <v>1</v>
      </c>
      <c r="F71" s="69" t="s">
        <v>2614</v>
      </c>
      <c r="G71" s="188" t="s">
        <v>126</v>
      </c>
      <c r="H71" s="354">
        <v>800</v>
      </c>
      <c r="I71" s="71">
        <v>48</v>
      </c>
      <c r="J71" s="71"/>
      <c r="K71" s="71">
        <v>1</v>
      </c>
      <c r="L71" s="71"/>
      <c r="M71" s="71">
        <v>1</v>
      </c>
      <c r="N71" s="71"/>
      <c r="O71" s="71"/>
      <c r="P71" s="71"/>
      <c r="Q71" s="71"/>
      <c r="R71" s="72"/>
      <c r="S71" s="71"/>
      <c r="T71" s="71"/>
      <c r="U71" s="71"/>
      <c r="V71" s="71"/>
      <c r="W71" s="71"/>
      <c r="X71" s="71">
        <v>4</v>
      </c>
      <c r="Y71" s="71">
        <v>46</v>
      </c>
      <c r="Z71" s="630">
        <v>0</v>
      </c>
      <c r="AA71" s="71">
        <v>0</v>
      </c>
      <c r="AB71" s="73">
        <f>100/(SUM(I71:Z71))</f>
        <v>1</v>
      </c>
      <c r="AC71" s="259">
        <f>SUM(I71:AA71)</f>
        <v>100</v>
      </c>
      <c r="AD71" s="71"/>
      <c r="AE71" s="71"/>
      <c r="AF71" s="71"/>
      <c r="AG71" s="74" t="s">
        <v>2612</v>
      </c>
      <c r="AH71" s="199" t="s">
        <v>2613</v>
      </c>
      <c r="AI71" s="199"/>
      <c r="AJ71" s="199"/>
      <c r="AK71" s="69" t="s">
        <v>2615</v>
      </c>
      <c r="AL71" s="74">
        <f>(B71-DATE(1970,1,1))*86400</f>
        <v>1773187200</v>
      </c>
      <c r="AM71" s="74">
        <f>(C71-DATE(1970,1,1))*86400</f>
        <v>1773273600</v>
      </c>
      <c r="AN71" s="74">
        <f>AVERAGE(AL71:AM71)</f>
        <v>1773230400</v>
      </c>
    </row>
    <row r="72" spans="1:64" ht="15.75" customHeight="1" x14ac:dyDescent="0.2">
      <c r="A72" s="277" t="s">
        <v>133</v>
      </c>
      <c r="B72" s="244">
        <v>46091</v>
      </c>
      <c r="C72" s="244">
        <v>46092</v>
      </c>
      <c r="D72" s="243" t="s">
        <v>1975</v>
      </c>
      <c r="E72" s="399">
        <v>0</v>
      </c>
      <c r="F72" s="243"/>
      <c r="G72" s="245" t="s">
        <v>1025</v>
      </c>
      <c r="H72" s="348">
        <v>1000</v>
      </c>
      <c r="I72" s="246">
        <v>32.9</v>
      </c>
      <c r="J72" s="246"/>
      <c r="K72" s="246"/>
      <c r="L72" s="246"/>
      <c r="M72" s="246">
        <v>1.1000000000000001</v>
      </c>
      <c r="N72" s="246"/>
      <c r="O72" s="246"/>
      <c r="P72" s="246"/>
      <c r="Q72" s="246"/>
      <c r="R72" s="247"/>
      <c r="S72" s="246"/>
      <c r="T72" s="246"/>
      <c r="U72" s="246"/>
      <c r="V72" s="246">
        <v>1.4</v>
      </c>
      <c r="W72" s="246"/>
      <c r="X72" s="246">
        <v>4.5</v>
      </c>
      <c r="Y72" s="246">
        <v>41.9</v>
      </c>
      <c r="Z72" s="246"/>
      <c r="AA72" s="246">
        <v>18.2</v>
      </c>
      <c r="AB72" s="248">
        <f>100/(SUM(I72:Z72))</f>
        <v>1.2224938875305624</v>
      </c>
      <c r="AC72" s="259">
        <f>SUM(I72:AA72)</f>
        <v>100</v>
      </c>
      <c r="AD72" s="246">
        <v>82</v>
      </c>
      <c r="AE72" s="246"/>
      <c r="AF72" s="246"/>
      <c r="AG72" s="249"/>
      <c r="AH72" s="250" t="s">
        <v>2622</v>
      </c>
      <c r="AI72" s="251"/>
      <c r="AJ72" s="250"/>
      <c r="AK72" s="243"/>
      <c r="AL72" s="249">
        <f>(B72-DATE(1970,1,1))*86400</f>
        <v>1773100800</v>
      </c>
      <c r="AM72" s="249">
        <f>(C72-DATE(1970,1,1))*86400</f>
        <v>1773187200</v>
      </c>
      <c r="AN72" s="249">
        <f>AVERAGE(AL72:AM72)</f>
        <v>1773144000</v>
      </c>
    </row>
    <row r="73" spans="1:64" ht="15.75" customHeight="1" x14ac:dyDescent="0.2">
      <c r="A73" s="277" t="s">
        <v>123</v>
      </c>
      <c r="B73" s="244">
        <v>46091</v>
      </c>
      <c r="C73" s="244">
        <v>46092</v>
      </c>
      <c r="D73" s="243" t="s">
        <v>1975</v>
      </c>
      <c r="E73" s="399">
        <v>0</v>
      </c>
      <c r="F73" s="243"/>
      <c r="G73" s="245" t="s">
        <v>1025</v>
      </c>
      <c r="H73" s="348">
        <v>1000</v>
      </c>
      <c r="I73" s="246">
        <v>40.1</v>
      </c>
      <c r="J73" s="246"/>
      <c r="K73" s="246"/>
      <c r="L73" s="246"/>
      <c r="M73" s="246">
        <v>1.4</v>
      </c>
      <c r="N73" s="246"/>
      <c r="O73" s="246"/>
      <c r="P73" s="246"/>
      <c r="Q73" s="246"/>
      <c r="R73" s="247"/>
      <c r="S73" s="246"/>
      <c r="T73" s="246"/>
      <c r="U73" s="246"/>
      <c r="V73" s="246">
        <v>1.7</v>
      </c>
      <c r="W73" s="246"/>
      <c r="X73" s="246">
        <v>5.5</v>
      </c>
      <c r="Y73" s="246">
        <v>51.3</v>
      </c>
      <c r="Z73" s="246"/>
      <c r="AA73" s="246">
        <v>0</v>
      </c>
      <c r="AB73" s="248">
        <f>100/(SUM(I73:Z73))</f>
        <v>1</v>
      </c>
      <c r="AC73" s="259">
        <f>SUM(I73:AA73)</f>
        <v>100</v>
      </c>
      <c r="AD73" s="246"/>
      <c r="AE73" s="246"/>
      <c r="AF73" s="246"/>
      <c r="AG73" s="249"/>
      <c r="AH73" s="250" t="s">
        <v>2622</v>
      </c>
      <c r="AI73" s="251"/>
      <c r="AJ73" s="251"/>
      <c r="AK73" s="243"/>
      <c r="AL73" s="249">
        <f>(B73-DATE(1970,1,1))*86400</f>
        <v>1773100800</v>
      </c>
      <c r="AM73" s="249">
        <f>(C73-DATE(1970,1,1))*86400</f>
        <v>1773187200</v>
      </c>
      <c r="AN73" s="249">
        <f>AVERAGE(AL73:AM73)</f>
        <v>1773144000</v>
      </c>
    </row>
    <row r="74" spans="1:64" x14ac:dyDescent="0.2">
      <c r="A74" s="285" t="s">
        <v>133</v>
      </c>
      <c r="B74" s="581">
        <v>46071</v>
      </c>
      <c r="C74" s="581">
        <v>46107</v>
      </c>
      <c r="D74" s="33" t="s">
        <v>143</v>
      </c>
      <c r="E74" s="319" t="s">
        <v>125</v>
      </c>
      <c r="F74" s="33" t="s">
        <v>355</v>
      </c>
      <c r="G74" s="33" t="s">
        <v>126</v>
      </c>
      <c r="H74" s="353">
        <v>5000</v>
      </c>
      <c r="I74" s="35">
        <v>30</v>
      </c>
      <c r="J74" s="35"/>
      <c r="K74" s="35"/>
      <c r="L74" s="35"/>
      <c r="M74" s="35">
        <v>2</v>
      </c>
      <c r="N74" s="35"/>
      <c r="O74" s="35"/>
      <c r="P74" s="35"/>
      <c r="Q74" s="35"/>
      <c r="R74" s="36"/>
      <c r="S74" s="35"/>
      <c r="T74" s="35"/>
      <c r="U74" s="35"/>
      <c r="V74" s="35">
        <v>1</v>
      </c>
      <c r="W74" s="35"/>
      <c r="X74" s="35">
        <v>4</v>
      </c>
      <c r="Y74" s="35">
        <v>48</v>
      </c>
      <c r="Z74" s="36">
        <v>0</v>
      </c>
      <c r="AA74" s="35">
        <v>15</v>
      </c>
      <c r="AB74" s="37">
        <f>100/(SUM(I74:Z74))</f>
        <v>1.1764705882352942</v>
      </c>
      <c r="AC74" s="259">
        <f>SUM(I74:AA74)</f>
        <v>100</v>
      </c>
      <c r="AD74" s="35"/>
      <c r="AE74" s="35">
        <v>5</v>
      </c>
      <c r="AF74" s="35">
        <v>6</v>
      </c>
      <c r="AG74" s="33" t="s">
        <v>2667</v>
      </c>
      <c r="AH74" s="33" t="s">
        <v>2666</v>
      </c>
      <c r="AI74" s="190"/>
      <c r="AJ74" s="190"/>
      <c r="AK74" s="33" t="s">
        <v>2665</v>
      </c>
      <c r="AL74" s="39">
        <f>(B74-DATE(1970,1,1))*86400</f>
        <v>1771372800</v>
      </c>
      <c r="AM74" s="39">
        <f>(C74-DATE(1970,1,1))*86400</f>
        <v>1774483200</v>
      </c>
      <c r="AN74" s="39">
        <f>AVERAGE(AL74:AM74)</f>
        <v>1772928000</v>
      </c>
      <c r="AO74" s="632"/>
      <c r="AP74" s="632"/>
      <c r="AQ74" s="632"/>
      <c r="AR74" s="632"/>
      <c r="AS74" s="632"/>
      <c r="AT74" s="632"/>
      <c r="AU74" s="632"/>
      <c r="AV74" s="632"/>
      <c r="AW74" s="632"/>
      <c r="AX74" s="632"/>
      <c r="AY74" s="632"/>
      <c r="AZ74" s="632"/>
      <c r="BA74" s="632"/>
      <c r="BB74" s="632"/>
      <c r="BC74" s="632"/>
      <c r="BD74" s="632"/>
      <c r="BE74" s="632"/>
      <c r="BF74" s="632"/>
      <c r="BG74" s="632"/>
      <c r="BH74" s="632"/>
      <c r="BI74" s="632"/>
      <c r="BJ74" s="632"/>
      <c r="BK74" s="632"/>
      <c r="BL74" s="632"/>
    </row>
    <row r="75" spans="1:64" x14ac:dyDescent="0.2">
      <c r="A75" s="279" t="s">
        <v>123</v>
      </c>
      <c r="B75" s="14">
        <v>46088</v>
      </c>
      <c r="C75" s="14">
        <v>46090</v>
      </c>
      <c r="D75" s="13" t="s">
        <v>2288</v>
      </c>
      <c r="E75" s="401">
        <v>1</v>
      </c>
      <c r="F75" s="13"/>
      <c r="G75" s="13" t="s">
        <v>126</v>
      </c>
      <c r="H75" s="349">
        <v>1000</v>
      </c>
      <c r="I75" s="15">
        <v>46</v>
      </c>
      <c r="J75" s="15"/>
      <c r="K75" s="15"/>
      <c r="L75" s="15"/>
      <c r="M75" s="15">
        <v>4</v>
      </c>
      <c r="N75" s="15"/>
      <c r="O75" s="15"/>
      <c r="P75" s="15"/>
      <c r="Q75" s="15"/>
      <c r="R75" s="15"/>
      <c r="S75" s="15"/>
      <c r="T75" s="15"/>
      <c r="U75" s="15"/>
      <c r="V75" s="15">
        <v>3</v>
      </c>
      <c r="W75" s="15"/>
      <c r="X75" s="15">
        <v>6</v>
      </c>
      <c r="Y75" s="15">
        <v>41</v>
      </c>
      <c r="Z75" s="397">
        <v>0</v>
      </c>
      <c r="AA75" s="397">
        <v>0</v>
      </c>
      <c r="AB75" s="16">
        <f>100/(SUM(I75:Z75))</f>
        <v>1</v>
      </c>
      <c r="AC75" s="259">
        <f>SUM(I75:AA75)</f>
        <v>100</v>
      </c>
      <c r="AD75" s="15"/>
      <c r="AE75" s="15"/>
      <c r="AF75" s="15"/>
      <c r="AG75" s="17" t="s">
        <v>2221</v>
      </c>
      <c r="AH75" s="201" t="s">
        <v>2623</v>
      </c>
      <c r="AI75" s="201"/>
      <c r="AJ75" s="201"/>
      <c r="AK75" s="13"/>
      <c r="AL75" s="17">
        <f>(B75-DATE(1970,1,1))*86400</f>
        <v>1772841600</v>
      </c>
      <c r="AM75" s="17">
        <f>(C75-DATE(1970,1,1))*86400</f>
        <v>1773014400</v>
      </c>
      <c r="AN75" s="17">
        <f>AVERAGE(AL75:AM75)</f>
        <v>1772928000</v>
      </c>
    </row>
    <row r="76" spans="1:64" x14ac:dyDescent="0.2">
      <c r="A76" s="287" t="s">
        <v>133</v>
      </c>
      <c r="B76" s="187">
        <v>46083</v>
      </c>
      <c r="C76" s="187">
        <v>46087</v>
      </c>
      <c r="D76" s="69" t="s">
        <v>183</v>
      </c>
      <c r="E76" s="333" t="s">
        <v>125</v>
      </c>
      <c r="F76" s="69"/>
      <c r="G76" s="188" t="s">
        <v>597</v>
      </c>
      <c r="H76" s="354">
        <v>1200</v>
      </c>
      <c r="I76" s="71">
        <v>30</v>
      </c>
      <c r="J76" s="71"/>
      <c r="K76" s="71"/>
      <c r="L76" s="71"/>
      <c r="M76" s="71">
        <v>1</v>
      </c>
      <c r="N76" s="71"/>
      <c r="O76" s="71"/>
      <c r="P76" s="71"/>
      <c r="Q76" s="71"/>
      <c r="R76" s="72"/>
      <c r="S76" s="71"/>
      <c r="T76" s="71"/>
      <c r="U76" s="71"/>
      <c r="V76" s="71">
        <v>1</v>
      </c>
      <c r="W76" s="71"/>
      <c r="X76" s="71">
        <v>4</v>
      </c>
      <c r="Y76" s="71">
        <v>38</v>
      </c>
      <c r="Z76" s="71">
        <v>0</v>
      </c>
      <c r="AA76" s="71">
        <v>26</v>
      </c>
      <c r="AB76" s="73">
        <f>100/(SUM(I76:Z76))</f>
        <v>1.3513513513513513</v>
      </c>
      <c r="AC76" s="259">
        <f>SUM(I76:AA76)</f>
        <v>100</v>
      </c>
      <c r="AD76" s="71">
        <v>83</v>
      </c>
      <c r="AE76" s="71">
        <v>8.6</v>
      </c>
      <c r="AF76" s="71">
        <v>10.199999999999999</v>
      </c>
      <c r="AG76" s="74" t="s">
        <v>237</v>
      </c>
      <c r="AH76" s="199" t="s">
        <v>2607</v>
      </c>
      <c r="AI76" s="199" t="s">
        <v>2608</v>
      </c>
      <c r="AJ76" s="199" t="s">
        <v>2616</v>
      </c>
      <c r="AK76" s="69" t="s">
        <v>2625</v>
      </c>
      <c r="AL76" s="74">
        <f>(B76-DATE(1970,1,1))*86400</f>
        <v>1772409600</v>
      </c>
      <c r="AM76" s="74">
        <f>(C76-DATE(1970,1,1))*86400</f>
        <v>1772755200</v>
      </c>
      <c r="AN76" s="74">
        <f>AVERAGE(AL76:AM76)</f>
        <v>1772582400</v>
      </c>
    </row>
    <row r="77" spans="1:64" x14ac:dyDescent="0.2">
      <c r="A77" s="287" t="s">
        <v>133</v>
      </c>
      <c r="B77" s="187">
        <v>46083</v>
      </c>
      <c r="C77" s="187">
        <v>46087</v>
      </c>
      <c r="D77" s="69" t="s">
        <v>183</v>
      </c>
      <c r="E77" s="400">
        <v>1</v>
      </c>
      <c r="F77" s="69"/>
      <c r="G77" s="188" t="s">
        <v>597</v>
      </c>
      <c r="H77" s="354">
        <v>1200</v>
      </c>
      <c r="I77" s="71">
        <v>41</v>
      </c>
      <c r="J77" s="71"/>
      <c r="K77" s="71"/>
      <c r="L77" s="71"/>
      <c r="M77" s="71">
        <v>1</v>
      </c>
      <c r="N77" s="71"/>
      <c r="O77" s="71"/>
      <c r="P77" s="71"/>
      <c r="Q77" s="71"/>
      <c r="R77" s="72"/>
      <c r="S77" s="71"/>
      <c r="T77" s="71"/>
      <c r="U77" s="71"/>
      <c r="V77" s="71">
        <v>1</v>
      </c>
      <c r="W77" s="71"/>
      <c r="X77" s="71">
        <v>6</v>
      </c>
      <c r="Y77" s="71">
        <v>51</v>
      </c>
      <c r="Z77" s="71">
        <v>0</v>
      </c>
      <c r="AA77" s="71">
        <v>0</v>
      </c>
      <c r="AB77" s="73">
        <f>100/(SUM(I77:Z77))</f>
        <v>1</v>
      </c>
      <c r="AC77" s="259">
        <f>SUM(I77:AA77)</f>
        <v>100</v>
      </c>
      <c r="AD77" s="71"/>
      <c r="AE77" s="71"/>
      <c r="AF77" s="71"/>
      <c r="AG77" s="74" t="s">
        <v>237</v>
      </c>
      <c r="AH77" s="199" t="s">
        <v>2607</v>
      </c>
      <c r="AI77" s="199" t="s">
        <v>2608</v>
      </c>
      <c r="AJ77" s="199"/>
      <c r="AK77" s="69"/>
      <c r="AL77" s="74">
        <f>(B77-DATE(1970,1,1))*86400</f>
        <v>1772409600</v>
      </c>
      <c r="AM77" s="74">
        <f>(C77-DATE(1970,1,1))*86400</f>
        <v>1772755200</v>
      </c>
      <c r="AN77" s="74">
        <f>AVERAGE(AL77:AM77)</f>
        <v>1772582400</v>
      </c>
    </row>
    <row r="78" spans="1:64" ht="15.75" customHeight="1" x14ac:dyDescent="0.2">
      <c r="A78" s="287" t="s">
        <v>123</v>
      </c>
      <c r="B78" s="187">
        <v>46083</v>
      </c>
      <c r="C78" s="187">
        <v>46087</v>
      </c>
      <c r="D78" s="69" t="s">
        <v>183</v>
      </c>
      <c r="E78" s="400">
        <v>1</v>
      </c>
      <c r="F78" s="69"/>
      <c r="G78" s="188" t="s">
        <v>597</v>
      </c>
      <c r="H78" s="354">
        <v>1200</v>
      </c>
      <c r="I78" s="71">
        <v>39</v>
      </c>
      <c r="J78" s="71"/>
      <c r="K78" s="71"/>
      <c r="L78" s="71"/>
      <c r="M78" s="71">
        <v>1</v>
      </c>
      <c r="N78" s="71"/>
      <c r="O78" s="71"/>
      <c r="P78" s="71"/>
      <c r="Q78" s="71"/>
      <c r="R78" s="72"/>
      <c r="S78" s="71"/>
      <c r="T78" s="71"/>
      <c r="U78" s="71"/>
      <c r="V78" s="71">
        <v>2</v>
      </c>
      <c r="W78" s="71"/>
      <c r="X78" s="71">
        <v>5</v>
      </c>
      <c r="Y78" s="71">
        <v>53</v>
      </c>
      <c r="Z78" s="71">
        <v>0</v>
      </c>
      <c r="AA78" s="71">
        <v>0</v>
      </c>
      <c r="AB78" s="73">
        <f>100/(SUM(I78:Z78))</f>
        <v>1</v>
      </c>
      <c r="AC78" s="259">
        <f>SUM(I78:AA78)</f>
        <v>100</v>
      </c>
      <c r="AD78" s="71"/>
      <c r="AE78" s="71"/>
      <c r="AF78" s="71"/>
      <c r="AG78" s="74" t="s">
        <v>237</v>
      </c>
      <c r="AH78" s="199" t="s">
        <v>2607</v>
      </c>
      <c r="AI78" s="199" t="s">
        <v>2608</v>
      </c>
      <c r="AJ78" s="199"/>
      <c r="AK78" s="69"/>
      <c r="AL78" s="74">
        <f>(B78-DATE(1970,1,1))*86400</f>
        <v>1772409600</v>
      </c>
      <c r="AM78" s="74">
        <f>(C78-DATE(1970,1,1))*86400</f>
        <v>1772755200</v>
      </c>
      <c r="AN78" s="74">
        <f>AVERAGE(AL78:AM78)</f>
        <v>1772582400</v>
      </c>
    </row>
    <row r="79" spans="1:64" ht="15.75" customHeight="1" x14ac:dyDescent="0.2">
      <c r="A79" s="284" t="s">
        <v>133</v>
      </c>
      <c r="B79" s="20">
        <v>46081</v>
      </c>
      <c r="C79" s="20">
        <v>46087</v>
      </c>
      <c r="D79" s="19" t="s">
        <v>134</v>
      </c>
      <c r="E79" s="332" t="s">
        <v>125</v>
      </c>
      <c r="F79" s="19"/>
      <c r="G79" s="19" t="s">
        <v>135</v>
      </c>
      <c r="H79" s="332">
        <v>1500</v>
      </c>
      <c r="I79" s="21">
        <v>29</v>
      </c>
      <c r="J79" s="21">
        <v>0</v>
      </c>
      <c r="K79" s="21">
        <v>0</v>
      </c>
      <c r="L79" s="21">
        <v>0</v>
      </c>
      <c r="M79" s="21">
        <v>4</v>
      </c>
      <c r="N79" s="21"/>
      <c r="O79" s="21">
        <v>0</v>
      </c>
      <c r="P79" s="21">
        <v>0</v>
      </c>
      <c r="Q79" s="21"/>
      <c r="R79" s="22"/>
      <c r="S79" s="21">
        <v>0</v>
      </c>
      <c r="T79" s="21">
        <v>0</v>
      </c>
      <c r="U79" s="21"/>
      <c r="V79" s="21">
        <v>2</v>
      </c>
      <c r="W79" s="21">
        <v>0</v>
      </c>
      <c r="X79" s="21">
        <v>5</v>
      </c>
      <c r="Y79" s="21">
        <v>38</v>
      </c>
      <c r="Z79" s="21">
        <v>1</v>
      </c>
      <c r="AA79" s="21">
        <v>21</v>
      </c>
      <c r="AB79" s="23">
        <f>100/(SUM(I79:Z79))</f>
        <v>1.2658227848101267</v>
      </c>
      <c r="AC79" s="259">
        <f>SUM(I79:AA79)</f>
        <v>100</v>
      </c>
      <c r="AD79" s="21"/>
      <c r="AE79" s="24"/>
      <c r="AF79" s="24"/>
      <c r="AG79" s="25" t="s">
        <v>136</v>
      </c>
      <c r="AH79" s="219" t="s">
        <v>2611</v>
      </c>
      <c r="AI79" s="26" t="s">
        <v>2610</v>
      </c>
      <c r="AJ79" s="219" t="s">
        <v>2654</v>
      </c>
      <c r="AK79" s="19"/>
      <c r="AL79" s="25">
        <f>(B79-DATE(1970,1,1))*86400</f>
        <v>1772236800</v>
      </c>
      <c r="AM79" s="25">
        <f>(C79-DATE(1970,1,1))*86400</f>
        <v>1772755200</v>
      </c>
      <c r="AN79" s="25">
        <f>AVERAGE(AL79:AM79)</f>
        <v>1772496000</v>
      </c>
    </row>
    <row r="80" spans="1:64" ht="15.75" customHeight="1" x14ac:dyDescent="0.2">
      <c r="A80" s="284" t="s">
        <v>123</v>
      </c>
      <c r="B80" s="20">
        <v>46081</v>
      </c>
      <c r="C80" s="20">
        <v>46087</v>
      </c>
      <c r="D80" s="19" t="s">
        <v>134</v>
      </c>
      <c r="E80" s="332" t="s">
        <v>125</v>
      </c>
      <c r="F80" s="19"/>
      <c r="G80" s="19" t="s">
        <v>135</v>
      </c>
      <c r="H80" s="332">
        <v>1500</v>
      </c>
      <c r="I80" s="21">
        <v>37</v>
      </c>
      <c r="J80" s="21">
        <v>0</v>
      </c>
      <c r="K80" s="21">
        <v>0</v>
      </c>
      <c r="L80" s="21">
        <v>0</v>
      </c>
      <c r="M80" s="21">
        <v>5</v>
      </c>
      <c r="N80" s="21"/>
      <c r="O80" s="21">
        <v>0</v>
      </c>
      <c r="P80" s="21">
        <v>0</v>
      </c>
      <c r="Q80" s="21"/>
      <c r="R80" s="22"/>
      <c r="S80" s="21">
        <v>0</v>
      </c>
      <c r="T80" s="21">
        <v>0</v>
      </c>
      <c r="U80" s="21"/>
      <c r="V80" s="21">
        <v>2</v>
      </c>
      <c r="W80" s="21">
        <v>0</v>
      </c>
      <c r="X80" s="21">
        <v>6</v>
      </c>
      <c r="Y80" s="21">
        <v>49</v>
      </c>
      <c r="Z80" s="21">
        <v>1</v>
      </c>
      <c r="AA80" s="21">
        <v>0</v>
      </c>
      <c r="AB80" s="23">
        <f>100/(SUM(I80:Z80))</f>
        <v>1</v>
      </c>
      <c r="AC80" s="259">
        <f>SUM(I80:AA80)</f>
        <v>100</v>
      </c>
      <c r="AD80" s="24"/>
      <c r="AE80" s="24"/>
      <c r="AF80" s="24"/>
      <c r="AG80" s="25" t="s">
        <v>136</v>
      </c>
      <c r="AH80" s="219" t="s">
        <v>2611</v>
      </c>
      <c r="AI80" s="26" t="s">
        <v>2610</v>
      </c>
      <c r="AJ80" s="219"/>
      <c r="AK80" s="19"/>
      <c r="AL80" s="25">
        <f>(B80-DATE(1970,1,1))*86400</f>
        <v>1772236800</v>
      </c>
      <c r="AM80" s="25">
        <f>(C80-DATE(1970,1,1))*86400</f>
        <v>1772755200</v>
      </c>
      <c r="AN80" s="25">
        <f>AVERAGE(AL80:AM80)</f>
        <v>1772496000</v>
      </c>
    </row>
    <row r="81" spans="1:65" ht="15.75" customHeight="1" x14ac:dyDescent="0.2">
      <c r="A81" s="280" t="s">
        <v>123</v>
      </c>
      <c r="B81" s="197">
        <v>46078</v>
      </c>
      <c r="C81" s="197">
        <v>46083</v>
      </c>
      <c r="D81" s="76" t="s">
        <v>2097</v>
      </c>
      <c r="E81" s="320">
        <v>1</v>
      </c>
      <c r="F81" s="76"/>
      <c r="G81" s="76" t="s">
        <v>126</v>
      </c>
      <c r="H81" s="350">
        <v>1000</v>
      </c>
      <c r="I81" s="78">
        <v>43</v>
      </c>
      <c r="J81" s="78" t="s">
        <v>355</v>
      </c>
      <c r="K81" s="78"/>
      <c r="L81" s="78"/>
      <c r="M81" s="78">
        <v>5</v>
      </c>
      <c r="N81" s="78"/>
      <c r="O81" s="78"/>
      <c r="P81" s="78"/>
      <c r="Q81" s="78"/>
      <c r="R81" s="78"/>
      <c r="S81" s="78"/>
      <c r="T81" s="78"/>
      <c r="U81" s="78"/>
      <c r="V81" s="78">
        <v>3</v>
      </c>
      <c r="W81" s="78"/>
      <c r="X81" s="78">
        <v>5</v>
      </c>
      <c r="Y81" s="78">
        <v>37</v>
      </c>
      <c r="Z81" s="158">
        <v>1</v>
      </c>
      <c r="AA81" s="158">
        <v>6</v>
      </c>
      <c r="AB81" s="79">
        <f>100/(SUM(I81:Z81))</f>
        <v>1.0638297872340425</v>
      </c>
      <c r="AC81" s="259">
        <f>SUM(I81:AA81)</f>
        <v>100</v>
      </c>
      <c r="AD81" s="78"/>
      <c r="AE81" s="78"/>
      <c r="AF81" s="78"/>
      <c r="AG81" s="80" t="s">
        <v>127</v>
      </c>
      <c r="AH81" s="195" t="s">
        <v>2463</v>
      </c>
      <c r="AI81" s="195"/>
      <c r="AJ81" s="195"/>
      <c r="AK81" s="76" t="s">
        <v>2593</v>
      </c>
      <c r="AL81" s="80">
        <f>(B81-DATE(1970,1,1))*86400</f>
        <v>1771977600</v>
      </c>
      <c r="AM81" s="80">
        <f>(C81-DATE(1970,1,1))*86400</f>
        <v>1772409600</v>
      </c>
      <c r="AN81" s="80">
        <f>AVERAGE(AL81:AM81)</f>
        <v>1772193600</v>
      </c>
    </row>
    <row r="82" spans="1:65" ht="15.75" customHeight="1" x14ac:dyDescent="0.2">
      <c r="A82" s="287" t="s">
        <v>133</v>
      </c>
      <c r="B82" s="187">
        <v>46071</v>
      </c>
      <c r="C82" s="187">
        <v>46086</v>
      </c>
      <c r="D82" s="69" t="s">
        <v>183</v>
      </c>
      <c r="E82" s="333" t="s">
        <v>125</v>
      </c>
      <c r="F82" s="69" t="s">
        <v>2598</v>
      </c>
      <c r="G82" s="188" t="s">
        <v>126</v>
      </c>
      <c r="H82" s="354">
        <v>700</v>
      </c>
      <c r="I82" s="71">
        <v>23</v>
      </c>
      <c r="J82" s="71"/>
      <c r="K82" s="71"/>
      <c r="L82" s="71"/>
      <c r="M82" s="71">
        <v>5</v>
      </c>
      <c r="N82" s="71"/>
      <c r="O82" s="71"/>
      <c r="P82" s="71"/>
      <c r="Q82" s="71"/>
      <c r="R82" s="72"/>
      <c r="S82" s="71"/>
      <c r="T82" s="71"/>
      <c r="U82" s="71"/>
      <c r="V82" s="71">
        <v>3</v>
      </c>
      <c r="W82" s="71"/>
      <c r="X82" s="71">
        <v>3</v>
      </c>
      <c r="Y82" s="71">
        <v>48</v>
      </c>
      <c r="Z82" s="630">
        <v>1</v>
      </c>
      <c r="AA82" s="71">
        <v>17</v>
      </c>
      <c r="AB82" s="73">
        <f>100/(SUM(I82:Z82))</f>
        <v>1.2048192771084338</v>
      </c>
      <c r="AC82" s="259">
        <f>SUM(I82:AA82)</f>
        <v>100</v>
      </c>
      <c r="AD82" s="71"/>
      <c r="AE82" s="71"/>
      <c r="AF82" s="71"/>
      <c r="AG82" s="74" t="s">
        <v>2602</v>
      </c>
      <c r="AH82" s="199" t="s">
        <v>2601</v>
      </c>
      <c r="AI82" s="199" t="s">
        <v>2603</v>
      </c>
      <c r="AJ82" s="199"/>
      <c r="AK82" s="69" t="s">
        <v>2605</v>
      </c>
      <c r="AL82" s="74">
        <f>(B82-DATE(1970,1,1))*86400</f>
        <v>1771372800</v>
      </c>
      <c r="AM82" s="74">
        <f>(C82-DATE(1970,1,1))*86400</f>
        <v>1772668800</v>
      </c>
      <c r="AN82" s="74">
        <f>AVERAGE(AL82:AM82)</f>
        <v>1772020800</v>
      </c>
    </row>
    <row r="83" spans="1:65" s="416" customFormat="1" ht="15.75" customHeight="1" x14ac:dyDescent="0.2">
      <c r="A83" s="287" t="s">
        <v>133</v>
      </c>
      <c r="B83" s="187">
        <v>46071</v>
      </c>
      <c r="C83" s="187">
        <v>46086</v>
      </c>
      <c r="D83" s="69" t="s">
        <v>183</v>
      </c>
      <c r="E83" s="400">
        <v>1</v>
      </c>
      <c r="F83" s="69" t="s">
        <v>2598</v>
      </c>
      <c r="G83" s="188" t="s">
        <v>126</v>
      </c>
      <c r="H83" s="354">
        <v>700</v>
      </c>
      <c r="I83" s="71">
        <v>28</v>
      </c>
      <c r="J83" s="71"/>
      <c r="K83" s="71"/>
      <c r="L83" s="71"/>
      <c r="M83" s="71">
        <v>6</v>
      </c>
      <c r="N83" s="71"/>
      <c r="O83" s="71"/>
      <c r="P83" s="71"/>
      <c r="Q83" s="71"/>
      <c r="R83" s="72"/>
      <c r="S83" s="71"/>
      <c r="T83" s="71"/>
      <c r="U83" s="71"/>
      <c r="V83" s="71">
        <v>4</v>
      </c>
      <c r="W83" s="71"/>
      <c r="X83" s="71">
        <v>4</v>
      </c>
      <c r="Y83" s="71">
        <v>57</v>
      </c>
      <c r="Z83" s="630">
        <v>1</v>
      </c>
      <c r="AA83" s="71">
        <v>0</v>
      </c>
      <c r="AB83" s="73">
        <f>100/(SUM(I83:Z83))</f>
        <v>1</v>
      </c>
      <c r="AC83" s="259">
        <f>SUM(I83:AA83)</f>
        <v>100</v>
      </c>
      <c r="AD83" s="71"/>
      <c r="AE83" s="71"/>
      <c r="AF83" s="71"/>
      <c r="AG83" s="74" t="s">
        <v>2602</v>
      </c>
      <c r="AH83" s="199" t="s">
        <v>2601</v>
      </c>
      <c r="AI83" s="199" t="s">
        <v>2603</v>
      </c>
      <c r="AJ83" s="199"/>
      <c r="AK83" s="69" t="s">
        <v>2600</v>
      </c>
      <c r="AL83" s="74">
        <f>(B83-DATE(1970,1,1))*86400</f>
        <v>1771372800</v>
      </c>
      <c r="AM83" s="74">
        <f>(C83-DATE(1970,1,1))*86400</f>
        <v>1772668800</v>
      </c>
      <c r="AN83" s="74">
        <f>AVERAGE(AL83:AM83)</f>
        <v>1772020800</v>
      </c>
      <c r="AO83"/>
      <c r="AP83"/>
      <c r="AQ83"/>
      <c r="AR83"/>
      <c r="AS83"/>
      <c r="AT83"/>
      <c r="AU83"/>
      <c r="AV83"/>
      <c r="AW83"/>
      <c r="AX83"/>
      <c r="AY83"/>
      <c r="AZ83"/>
      <c r="BA83"/>
      <c r="BB83"/>
      <c r="BC83"/>
      <c r="BD83"/>
      <c r="BE83"/>
      <c r="BF83"/>
      <c r="BG83"/>
      <c r="BH83"/>
      <c r="BI83"/>
      <c r="BJ83"/>
      <c r="BK83"/>
      <c r="BL83"/>
      <c r="BM83"/>
    </row>
    <row r="84" spans="1:65" s="416" customFormat="1" ht="15.75" customHeight="1" x14ac:dyDescent="0.2">
      <c r="A84" s="287" t="s">
        <v>133</v>
      </c>
      <c r="B84" s="187">
        <v>46071</v>
      </c>
      <c r="C84" s="187">
        <v>46086</v>
      </c>
      <c r="D84" s="69" t="s">
        <v>183</v>
      </c>
      <c r="E84" s="400">
        <v>1</v>
      </c>
      <c r="F84" s="69" t="s">
        <v>2598</v>
      </c>
      <c r="G84" s="188" t="s">
        <v>126</v>
      </c>
      <c r="H84" s="354">
        <v>700</v>
      </c>
      <c r="I84" s="71">
        <v>26</v>
      </c>
      <c r="J84" s="71"/>
      <c r="K84" s="71"/>
      <c r="L84" s="71"/>
      <c r="M84" s="630">
        <v>3</v>
      </c>
      <c r="N84" s="71"/>
      <c r="O84" s="71">
        <v>17</v>
      </c>
      <c r="P84" s="71"/>
      <c r="Q84" s="71"/>
      <c r="R84" s="72"/>
      <c r="S84" s="71"/>
      <c r="T84" s="71"/>
      <c r="U84" s="71"/>
      <c r="V84" s="72"/>
      <c r="W84" s="71"/>
      <c r="X84" s="71">
        <v>5</v>
      </c>
      <c r="Y84" s="71">
        <v>44</v>
      </c>
      <c r="Z84" s="630">
        <v>5</v>
      </c>
      <c r="AA84" s="71">
        <v>0</v>
      </c>
      <c r="AB84" s="73">
        <f>100/(SUM(I84:Z84))</f>
        <v>1</v>
      </c>
      <c r="AC84" s="259">
        <f>SUM(I84:AA84)</f>
        <v>100</v>
      </c>
      <c r="AD84" s="71"/>
      <c r="AE84" s="71"/>
      <c r="AF84" s="71"/>
      <c r="AG84" s="74" t="s">
        <v>2602</v>
      </c>
      <c r="AH84" s="199" t="s">
        <v>2604</v>
      </c>
      <c r="AI84" s="199" t="s">
        <v>2601</v>
      </c>
      <c r="AJ84" s="199" t="s">
        <v>2603</v>
      </c>
      <c r="AK84" s="69" t="s">
        <v>2599</v>
      </c>
      <c r="AL84" s="74">
        <f>(B84-DATE(1970,1,1))*86400</f>
        <v>1771372800</v>
      </c>
      <c r="AM84" s="74">
        <f>(C84-DATE(1970,1,1))*86400</f>
        <v>1772668800</v>
      </c>
      <c r="AN84" s="74">
        <f>AVERAGE(AL84:AM84)</f>
        <v>1772020800</v>
      </c>
      <c r="AO84"/>
      <c r="AP84"/>
      <c r="AQ84"/>
      <c r="AR84"/>
      <c r="AS84"/>
      <c r="AT84"/>
      <c r="AU84"/>
      <c r="AV84"/>
      <c r="AW84"/>
      <c r="AX84"/>
      <c r="AY84"/>
      <c r="AZ84"/>
      <c r="BA84"/>
      <c r="BB84"/>
      <c r="BC84"/>
      <c r="BD84"/>
      <c r="BE84"/>
      <c r="BF84"/>
      <c r="BG84"/>
      <c r="BH84"/>
      <c r="BI84"/>
      <c r="BJ84"/>
      <c r="BK84"/>
      <c r="BL84"/>
      <c r="BM84"/>
    </row>
    <row r="85" spans="1:65" ht="15.75" customHeight="1" x14ac:dyDescent="0.2">
      <c r="A85" s="287" t="s">
        <v>123</v>
      </c>
      <c r="B85" s="187">
        <v>46071</v>
      </c>
      <c r="C85" s="187">
        <v>46086</v>
      </c>
      <c r="D85" s="69" t="s">
        <v>183</v>
      </c>
      <c r="E85" s="400">
        <v>1</v>
      </c>
      <c r="F85" s="69" t="s">
        <v>2598</v>
      </c>
      <c r="G85" s="188" t="s">
        <v>126</v>
      </c>
      <c r="H85" s="354">
        <v>700</v>
      </c>
      <c r="I85" s="71">
        <v>25</v>
      </c>
      <c r="J85" s="71"/>
      <c r="K85" s="71"/>
      <c r="L85" s="71"/>
      <c r="M85" s="71">
        <v>5</v>
      </c>
      <c r="N85" s="71"/>
      <c r="O85" s="71"/>
      <c r="P85" s="71"/>
      <c r="Q85" s="71"/>
      <c r="R85" s="72"/>
      <c r="S85" s="71"/>
      <c r="T85" s="71"/>
      <c r="U85" s="71"/>
      <c r="V85" s="71">
        <v>3</v>
      </c>
      <c r="W85" s="71"/>
      <c r="X85" s="71">
        <v>4</v>
      </c>
      <c r="Y85" s="71">
        <v>62</v>
      </c>
      <c r="Z85" s="630">
        <v>1</v>
      </c>
      <c r="AA85" s="71">
        <v>0</v>
      </c>
      <c r="AB85" s="73">
        <f>100/(SUM(I85:Z85))</f>
        <v>1</v>
      </c>
      <c r="AC85" s="259">
        <f>SUM(I85:AA85)</f>
        <v>100</v>
      </c>
      <c r="AD85" s="71"/>
      <c r="AE85" s="71"/>
      <c r="AF85" s="71"/>
      <c r="AG85" s="74" t="s">
        <v>2602</v>
      </c>
      <c r="AH85" s="199" t="s">
        <v>2601</v>
      </c>
      <c r="AI85" s="199" t="s">
        <v>2603</v>
      </c>
      <c r="AJ85" s="199"/>
      <c r="AK85" s="69" t="s">
        <v>2600</v>
      </c>
      <c r="AL85" s="74">
        <f>(B85-DATE(1970,1,1))*86400</f>
        <v>1771372800</v>
      </c>
      <c r="AM85" s="74">
        <f>(C85-DATE(1970,1,1))*86400</f>
        <v>1772668800</v>
      </c>
      <c r="AN85" s="74">
        <f>AVERAGE(AL85:AM85)</f>
        <v>1772020800</v>
      </c>
    </row>
    <row r="86" spans="1:65" ht="15.75" customHeight="1" x14ac:dyDescent="0.2">
      <c r="A86" s="287" t="s">
        <v>123</v>
      </c>
      <c r="B86" s="187">
        <v>46071</v>
      </c>
      <c r="C86" s="187">
        <v>46086</v>
      </c>
      <c r="D86" s="69" t="s">
        <v>183</v>
      </c>
      <c r="E86" s="400">
        <v>1</v>
      </c>
      <c r="F86" s="69" t="s">
        <v>2598</v>
      </c>
      <c r="G86" s="188" t="s">
        <v>126</v>
      </c>
      <c r="H86" s="354">
        <v>700</v>
      </c>
      <c r="I86" s="71">
        <v>25</v>
      </c>
      <c r="J86" s="71"/>
      <c r="K86" s="71"/>
      <c r="L86" s="71"/>
      <c r="M86" s="630">
        <v>3</v>
      </c>
      <c r="N86" s="71"/>
      <c r="O86" s="71">
        <v>17</v>
      </c>
      <c r="P86" s="71"/>
      <c r="Q86" s="71"/>
      <c r="R86" s="72"/>
      <c r="S86" s="71"/>
      <c r="T86" s="71"/>
      <c r="U86" s="71"/>
      <c r="V86" s="72"/>
      <c r="W86" s="71"/>
      <c r="X86" s="71">
        <v>4</v>
      </c>
      <c r="Y86" s="71">
        <v>48</v>
      </c>
      <c r="Z86" s="630">
        <v>3</v>
      </c>
      <c r="AA86" s="71">
        <v>0</v>
      </c>
      <c r="AB86" s="73">
        <f>100/(SUM(I86:Z86))</f>
        <v>1</v>
      </c>
      <c r="AC86" s="259">
        <f>SUM(I86:AA86)</f>
        <v>100</v>
      </c>
      <c r="AD86" s="71"/>
      <c r="AE86" s="71"/>
      <c r="AF86" s="71"/>
      <c r="AG86" s="74" t="s">
        <v>2602</v>
      </c>
      <c r="AH86" s="199" t="s">
        <v>2604</v>
      </c>
      <c r="AI86" s="199" t="s">
        <v>2601</v>
      </c>
      <c r="AJ86" s="199" t="s">
        <v>2603</v>
      </c>
      <c r="AK86" s="69" t="s">
        <v>2599</v>
      </c>
      <c r="AL86" s="74">
        <f>(B86-DATE(1970,1,1))*86400</f>
        <v>1771372800</v>
      </c>
      <c r="AM86" s="74">
        <f>(C86-DATE(1970,1,1))*86400</f>
        <v>1772668800</v>
      </c>
      <c r="AN86" s="74">
        <f>AVERAGE(AL86:AM86)</f>
        <v>1772020800</v>
      </c>
    </row>
    <row r="87" spans="1:65" ht="15.75" customHeight="1" x14ac:dyDescent="0.2">
      <c r="A87" s="281" t="s">
        <v>133</v>
      </c>
      <c r="B87" s="240">
        <v>46077</v>
      </c>
      <c r="C87" s="240">
        <v>46080</v>
      </c>
      <c r="D87" s="53" t="s">
        <v>154</v>
      </c>
      <c r="E87" s="323" t="s">
        <v>125</v>
      </c>
      <c r="F87" s="53"/>
      <c r="G87" s="53" t="s">
        <v>126</v>
      </c>
      <c r="H87" s="351">
        <v>1001</v>
      </c>
      <c r="I87" s="55">
        <v>30</v>
      </c>
      <c r="J87" s="55"/>
      <c r="K87" s="55"/>
      <c r="L87" s="55"/>
      <c r="M87" s="55">
        <v>3</v>
      </c>
      <c r="N87" s="55"/>
      <c r="O87" s="55"/>
      <c r="P87" s="547"/>
      <c r="Q87" s="55"/>
      <c r="R87" s="56"/>
      <c r="S87" s="547"/>
      <c r="T87" s="55"/>
      <c r="U87" s="547"/>
      <c r="V87" s="55">
        <v>3</v>
      </c>
      <c r="W87" s="55"/>
      <c r="X87" s="55">
        <v>4</v>
      </c>
      <c r="Y87" s="55">
        <v>35</v>
      </c>
      <c r="Z87" s="547"/>
      <c r="AA87" s="547">
        <v>25</v>
      </c>
      <c r="AB87" s="57">
        <f>100/(SUM(I87:Z87))</f>
        <v>1.3333333333333333</v>
      </c>
      <c r="AC87" s="259">
        <f>SUM(I87:AA87)</f>
        <v>100</v>
      </c>
      <c r="AD87" s="55"/>
      <c r="AE87" s="55"/>
      <c r="AF87" s="55"/>
      <c r="AG87" s="58" t="s">
        <v>155</v>
      </c>
      <c r="AH87" s="186" t="s">
        <v>2590</v>
      </c>
      <c r="AI87" s="186" t="s">
        <v>2591</v>
      </c>
      <c r="AJ87" s="186"/>
      <c r="AK87" s="53" t="s">
        <v>2594</v>
      </c>
      <c r="AL87" s="58">
        <f>(B87-DATE(1970,1,1))*86400</f>
        <v>1771891200</v>
      </c>
      <c r="AM87" s="58">
        <f>(C87-DATE(1970,1,1))*86400</f>
        <v>1772150400</v>
      </c>
      <c r="AN87" s="58">
        <f>AVERAGE(AL87:AM87)</f>
        <v>1772020800</v>
      </c>
    </row>
    <row r="88" spans="1:65" ht="15.75" customHeight="1" x14ac:dyDescent="0.2">
      <c r="A88" s="281" t="s">
        <v>123</v>
      </c>
      <c r="B88" s="240">
        <v>46077</v>
      </c>
      <c r="C88" s="240">
        <v>46080</v>
      </c>
      <c r="D88" s="53" t="s">
        <v>154</v>
      </c>
      <c r="E88" s="323" t="s">
        <v>125</v>
      </c>
      <c r="F88" s="53"/>
      <c r="G88" s="53" t="s">
        <v>126</v>
      </c>
      <c r="H88" s="351">
        <v>1001</v>
      </c>
      <c r="I88" s="55">
        <v>35</v>
      </c>
      <c r="J88" s="55"/>
      <c r="K88" s="55"/>
      <c r="L88" s="55"/>
      <c r="M88" s="55">
        <v>4</v>
      </c>
      <c r="N88" s="55"/>
      <c r="O88" s="55"/>
      <c r="P88" s="547"/>
      <c r="Q88" s="55"/>
      <c r="R88" s="56"/>
      <c r="S88" s="547"/>
      <c r="T88" s="55"/>
      <c r="U88" s="547"/>
      <c r="V88" s="55">
        <v>3</v>
      </c>
      <c r="W88" s="55"/>
      <c r="X88" s="55">
        <v>5</v>
      </c>
      <c r="Y88" s="55">
        <v>40</v>
      </c>
      <c r="Z88" s="547"/>
      <c r="AA88" s="547">
        <v>14</v>
      </c>
      <c r="AB88" s="57">
        <f>100/(SUM(I88:Z88))</f>
        <v>1.1494252873563218</v>
      </c>
      <c r="AC88" s="259">
        <f>SUM(I88:AA88)</f>
        <v>101</v>
      </c>
      <c r="AD88" s="55"/>
      <c r="AE88" s="55"/>
      <c r="AF88" s="55"/>
      <c r="AG88" s="58" t="s">
        <v>155</v>
      </c>
      <c r="AH88" s="186" t="s">
        <v>2590</v>
      </c>
      <c r="AI88" s="186" t="s">
        <v>2591</v>
      </c>
      <c r="AJ88" s="186"/>
      <c r="AK88" s="53"/>
      <c r="AL88" s="58">
        <f>(B88-DATE(1970,1,1))*86400</f>
        <v>1771891200</v>
      </c>
      <c r="AM88" s="58">
        <f>(C88-DATE(1970,1,1))*86400</f>
        <v>1772150400</v>
      </c>
      <c r="AN88" s="58">
        <f>AVERAGE(AL88:AM88)</f>
        <v>1772020800</v>
      </c>
    </row>
    <row r="89" spans="1:65" ht="15.75" customHeight="1" x14ac:dyDescent="0.2">
      <c r="A89" s="281" t="s">
        <v>123</v>
      </c>
      <c r="B89" s="240">
        <v>46077</v>
      </c>
      <c r="C89" s="240">
        <v>46080</v>
      </c>
      <c r="D89" s="53" t="s">
        <v>154</v>
      </c>
      <c r="E89" s="323" t="s">
        <v>125</v>
      </c>
      <c r="F89" s="53"/>
      <c r="G89" s="53" t="s">
        <v>126</v>
      </c>
      <c r="H89" s="351">
        <v>1001</v>
      </c>
      <c r="I89" s="55">
        <v>39</v>
      </c>
      <c r="J89" s="55"/>
      <c r="K89" s="55"/>
      <c r="L89" s="55"/>
      <c r="M89" s="55">
        <v>4</v>
      </c>
      <c r="N89" s="55"/>
      <c r="O89" s="55"/>
      <c r="P89" s="547"/>
      <c r="Q89" s="55"/>
      <c r="R89" s="56"/>
      <c r="S89" s="547"/>
      <c r="T89" s="55"/>
      <c r="U89" s="547"/>
      <c r="V89" s="55">
        <v>4</v>
      </c>
      <c r="W89" s="55"/>
      <c r="X89" s="55">
        <v>6</v>
      </c>
      <c r="Y89" s="55">
        <v>47</v>
      </c>
      <c r="Z89" s="547"/>
      <c r="AA89" s="547">
        <v>0</v>
      </c>
      <c r="AB89" s="57">
        <f>100/(SUM(I89:Z89))</f>
        <v>1</v>
      </c>
      <c r="AC89" s="259">
        <f>SUM(I89:AA89)</f>
        <v>100</v>
      </c>
      <c r="AD89" s="55"/>
      <c r="AE89" s="55"/>
      <c r="AF89" s="55"/>
      <c r="AG89" s="58" t="s">
        <v>155</v>
      </c>
      <c r="AH89" s="186" t="s">
        <v>2590</v>
      </c>
      <c r="AI89" s="186" t="s">
        <v>2591</v>
      </c>
      <c r="AJ89" s="186"/>
      <c r="AK89" s="53"/>
      <c r="AL89" s="58">
        <f>(B89-DATE(1970,1,1))*86400</f>
        <v>1771891200</v>
      </c>
      <c r="AM89" s="58">
        <f>(C89-DATE(1970,1,1))*86400</f>
        <v>1772150400</v>
      </c>
      <c r="AN89" s="58">
        <f>AVERAGE(AL89:AM89)</f>
        <v>1772020800</v>
      </c>
    </row>
    <row r="90" spans="1:65" ht="15.75" customHeight="1" x14ac:dyDescent="0.2">
      <c r="A90" s="286" t="s">
        <v>133</v>
      </c>
      <c r="B90" s="41">
        <v>46075</v>
      </c>
      <c r="C90" s="41">
        <v>46081</v>
      </c>
      <c r="D90" s="40" t="s">
        <v>148</v>
      </c>
      <c r="E90" s="325" t="s">
        <v>125</v>
      </c>
      <c r="F90" s="40"/>
      <c r="G90" s="40" t="s">
        <v>597</v>
      </c>
      <c r="H90" s="325">
        <v>1000</v>
      </c>
      <c r="I90" s="42">
        <v>32</v>
      </c>
      <c r="J90" s="42"/>
      <c r="K90" s="42"/>
      <c r="L90" s="42"/>
      <c r="M90" s="42">
        <v>3</v>
      </c>
      <c r="N90" s="42"/>
      <c r="O90" s="42"/>
      <c r="P90" s="42" t="s">
        <v>355</v>
      </c>
      <c r="Q90" s="42"/>
      <c r="R90" s="43"/>
      <c r="S90" s="42"/>
      <c r="T90" s="42"/>
      <c r="U90" s="42"/>
      <c r="V90" s="42">
        <v>2</v>
      </c>
      <c r="W90" s="42"/>
      <c r="X90" s="42">
        <v>5</v>
      </c>
      <c r="Y90" s="42">
        <v>38</v>
      </c>
      <c r="Z90" s="42">
        <v>0</v>
      </c>
      <c r="AA90" s="42">
        <v>20</v>
      </c>
      <c r="AB90" s="44">
        <f>100/(SUM(I90:Z90))</f>
        <v>1.25</v>
      </c>
      <c r="AC90" s="259">
        <f>SUM(I90:AA90)</f>
        <v>100</v>
      </c>
      <c r="AD90" s="42"/>
      <c r="AE90" s="43"/>
      <c r="AF90" s="43"/>
      <c r="AG90" s="45" t="s">
        <v>136</v>
      </c>
      <c r="AH90" s="189" t="s">
        <v>2588</v>
      </c>
      <c r="AI90" s="46" t="s">
        <v>2587</v>
      </c>
      <c r="AJ90" s="46" t="s">
        <v>2589</v>
      </c>
      <c r="AK90" s="40" t="s">
        <v>2594</v>
      </c>
      <c r="AL90" s="45">
        <f>(B90-DATE(1970,1,1))*86400</f>
        <v>1771718400</v>
      </c>
      <c r="AM90" s="45">
        <f>(C90-DATE(1970,1,1))*86400</f>
        <v>1772236800</v>
      </c>
      <c r="AN90" s="45">
        <f>AVERAGE(AL90:AM90)</f>
        <v>1771977600</v>
      </c>
    </row>
    <row r="91" spans="1:65" x14ac:dyDescent="0.2">
      <c r="A91" s="286" t="s">
        <v>133</v>
      </c>
      <c r="B91" s="41">
        <v>46075</v>
      </c>
      <c r="C91" s="41">
        <v>46081</v>
      </c>
      <c r="D91" s="40" t="s">
        <v>148</v>
      </c>
      <c r="E91" s="325" t="s">
        <v>125</v>
      </c>
      <c r="F91" s="40"/>
      <c r="G91" s="40" t="s">
        <v>597</v>
      </c>
      <c r="H91" s="325">
        <v>1000</v>
      </c>
      <c r="I91" s="42">
        <v>40</v>
      </c>
      <c r="J91" s="42"/>
      <c r="K91" s="42"/>
      <c r="L91" s="42"/>
      <c r="M91" s="42">
        <v>4</v>
      </c>
      <c r="N91" s="42"/>
      <c r="O91" s="42"/>
      <c r="P91" s="42" t="s">
        <v>355</v>
      </c>
      <c r="Q91" s="42"/>
      <c r="R91" s="43"/>
      <c r="S91" s="42"/>
      <c r="T91" s="42"/>
      <c r="U91" s="42"/>
      <c r="V91" s="42">
        <v>2</v>
      </c>
      <c r="W91" s="42"/>
      <c r="X91" s="42">
        <v>6</v>
      </c>
      <c r="Y91" s="42">
        <v>48</v>
      </c>
      <c r="Z91" s="42">
        <v>0</v>
      </c>
      <c r="AA91" s="42">
        <v>0</v>
      </c>
      <c r="AB91" s="44">
        <f>100/(SUM(I91:Z91))</f>
        <v>1</v>
      </c>
      <c r="AC91" s="259">
        <f>SUM(I91:AA91)</f>
        <v>100</v>
      </c>
      <c r="AD91" s="42"/>
      <c r="AE91" s="43"/>
      <c r="AF91" s="43"/>
      <c r="AG91" s="45" t="s">
        <v>136</v>
      </c>
      <c r="AH91" s="189" t="s">
        <v>2588</v>
      </c>
      <c r="AI91" s="46" t="s">
        <v>2587</v>
      </c>
      <c r="AJ91" s="46" t="s">
        <v>2589</v>
      </c>
      <c r="AK91" s="40"/>
      <c r="AL91" s="45">
        <f>(B91-DATE(1970,1,1))*86400</f>
        <v>1771718400</v>
      </c>
      <c r="AM91" s="45">
        <f>(C91-DATE(1970,1,1))*86400</f>
        <v>1772236800</v>
      </c>
      <c r="AN91" s="45">
        <f>AVERAGE(AL91:AM91)</f>
        <v>1771977600</v>
      </c>
    </row>
    <row r="92" spans="1:65" s="575" customFormat="1" x14ac:dyDescent="0.2">
      <c r="A92" s="286" t="s">
        <v>123</v>
      </c>
      <c r="B92" s="41">
        <v>46075</v>
      </c>
      <c r="C92" s="41">
        <v>46081</v>
      </c>
      <c r="D92" s="40" t="s">
        <v>148</v>
      </c>
      <c r="E92" s="325" t="s">
        <v>125</v>
      </c>
      <c r="F92" s="40"/>
      <c r="G92" s="40" t="s">
        <v>597</v>
      </c>
      <c r="H92" s="325">
        <v>1000</v>
      </c>
      <c r="I92" s="42">
        <v>38</v>
      </c>
      <c r="J92" s="42"/>
      <c r="K92" s="42"/>
      <c r="L92" s="42"/>
      <c r="M92" s="42">
        <v>3</v>
      </c>
      <c r="N92" s="42"/>
      <c r="O92" s="42"/>
      <c r="P92" s="42" t="s">
        <v>355</v>
      </c>
      <c r="Q92" s="42"/>
      <c r="R92" s="43"/>
      <c r="S92" s="42"/>
      <c r="T92" s="42"/>
      <c r="U92" s="42"/>
      <c r="V92" s="42">
        <v>2</v>
      </c>
      <c r="W92" s="42"/>
      <c r="X92" s="42">
        <v>7</v>
      </c>
      <c r="Y92" s="42">
        <v>50</v>
      </c>
      <c r="Z92" s="42">
        <v>0</v>
      </c>
      <c r="AA92" s="42">
        <v>0</v>
      </c>
      <c r="AB92" s="44">
        <f>100/(SUM(I92:Z92))</f>
        <v>1</v>
      </c>
      <c r="AC92" s="259">
        <f>SUM(I92:AA92)</f>
        <v>100</v>
      </c>
      <c r="AD92" s="42"/>
      <c r="AE92" s="43"/>
      <c r="AF92" s="43"/>
      <c r="AG92" s="45" t="s">
        <v>136</v>
      </c>
      <c r="AH92" s="189" t="s">
        <v>2588</v>
      </c>
      <c r="AI92" s="46" t="s">
        <v>2587</v>
      </c>
      <c r="AJ92" s="46" t="s">
        <v>2589</v>
      </c>
      <c r="AK92" s="40"/>
      <c r="AL92" s="45">
        <f>(B92-DATE(1970,1,1))*86400</f>
        <v>1771718400</v>
      </c>
      <c r="AM92" s="45">
        <f>(C92-DATE(1970,1,1))*86400</f>
        <v>1772236800</v>
      </c>
      <c r="AN92" s="45">
        <f>AVERAGE(AL92:AM92)</f>
        <v>1771977600</v>
      </c>
      <c r="AO92"/>
      <c r="AP92"/>
      <c r="AQ92"/>
      <c r="AR92"/>
      <c r="AS92"/>
      <c r="AT92"/>
      <c r="AU92"/>
      <c r="AV92"/>
      <c r="AW92"/>
      <c r="AX92"/>
      <c r="AY92"/>
      <c r="AZ92"/>
      <c r="BA92"/>
      <c r="BB92"/>
      <c r="BC92"/>
      <c r="BD92"/>
      <c r="BE92"/>
      <c r="BF92"/>
      <c r="BG92"/>
      <c r="BH92"/>
      <c r="BI92"/>
      <c r="BJ92"/>
      <c r="BK92"/>
      <c r="BL92"/>
      <c r="BM92"/>
    </row>
    <row r="93" spans="1:65" s="575" customFormat="1" x14ac:dyDescent="0.2">
      <c r="A93" s="653" t="s">
        <v>133</v>
      </c>
      <c r="B93" s="654">
        <v>46077</v>
      </c>
      <c r="C93" s="654">
        <v>46078</v>
      </c>
      <c r="D93" s="655" t="s">
        <v>183</v>
      </c>
      <c r="E93" s="656">
        <v>1</v>
      </c>
      <c r="F93" s="655" t="s">
        <v>2642</v>
      </c>
      <c r="G93" s="657" t="s">
        <v>126</v>
      </c>
      <c r="H93" s="658">
        <v>800</v>
      </c>
      <c r="I93" s="659">
        <v>41</v>
      </c>
      <c r="J93" s="659"/>
      <c r="K93" s="659"/>
      <c r="L93" s="659"/>
      <c r="M93" s="659">
        <v>1</v>
      </c>
      <c r="N93" s="659"/>
      <c r="O93" s="659"/>
      <c r="P93" s="659"/>
      <c r="Q93" s="659"/>
      <c r="R93" s="660"/>
      <c r="S93" s="659"/>
      <c r="T93" s="659"/>
      <c r="U93" s="659"/>
      <c r="V93" s="659">
        <v>2</v>
      </c>
      <c r="W93" s="659"/>
      <c r="X93" s="659">
        <v>13</v>
      </c>
      <c r="Y93" s="659">
        <v>41</v>
      </c>
      <c r="Z93" s="661">
        <v>2</v>
      </c>
      <c r="AA93" s="659">
        <v>0</v>
      </c>
      <c r="AB93" s="662">
        <f>100/(SUM(I93:Z93))</f>
        <v>1</v>
      </c>
      <c r="AC93" s="662">
        <f>SUM(I93:AA93)</f>
        <v>100</v>
      </c>
      <c r="AD93" s="659"/>
      <c r="AE93" s="659"/>
      <c r="AF93" s="659"/>
      <c r="AG93" s="663" t="s">
        <v>1928</v>
      </c>
      <c r="AH93" s="666" t="s">
        <v>2635</v>
      </c>
      <c r="AI93" s="666"/>
      <c r="AJ93" s="666"/>
      <c r="AK93" s="655" t="s">
        <v>2636</v>
      </c>
      <c r="AL93" s="663">
        <f>(B93-DATE(1970,1,1))*86400</f>
        <v>1771891200</v>
      </c>
      <c r="AM93" s="663">
        <f>(C93-DATE(1970,1,1))*86400</f>
        <v>1771977600</v>
      </c>
      <c r="AN93" s="663">
        <f>AVERAGE(AL93:AM93)</f>
        <v>1771934400</v>
      </c>
      <c r="AO93"/>
      <c r="AP93"/>
      <c r="AQ93"/>
      <c r="AR93"/>
      <c r="AS93"/>
      <c r="AT93"/>
      <c r="AU93"/>
      <c r="AV93"/>
      <c r="AW93"/>
      <c r="AX93"/>
      <c r="AY93"/>
      <c r="AZ93"/>
      <c r="BA93"/>
      <c r="BB93"/>
      <c r="BC93"/>
      <c r="BD93"/>
      <c r="BE93"/>
      <c r="BF93"/>
      <c r="BG93"/>
      <c r="BH93"/>
      <c r="BI93"/>
      <c r="BJ93"/>
      <c r="BK93"/>
      <c r="BL93"/>
      <c r="BM93"/>
    </row>
    <row r="94" spans="1:65" x14ac:dyDescent="0.2">
      <c r="A94" s="653" t="s">
        <v>133</v>
      </c>
      <c r="B94" s="654">
        <v>46077</v>
      </c>
      <c r="C94" s="654">
        <v>46078</v>
      </c>
      <c r="D94" s="655" t="s">
        <v>183</v>
      </c>
      <c r="E94" s="656">
        <v>1</v>
      </c>
      <c r="F94" s="655" t="s">
        <v>2642</v>
      </c>
      <c r="G94" s="657" t="s">
        <v>126</v>
      </c>
      <c r="H94" s="658">
        <v>800</v>
      </c>
      <c r="I94" s="659">
        <v>42</v>
      </c>
      <c r="J94" s="659"/>
      <c r="K94" s="659"/>
      <c r="L94" s="659"/>
      <c r="M94" s="659">
        <v>1</v>
      </c>
      <c r="N94" s="659"/>
      <c r="O94" s="659"/>
      <c r="P94" s="659"/>
      <c r="Q94" s="659"/>
      <c r="R94" s="660"/>
      <c r="S94" s="659"/>
      <c r="T94" s="659"/>
      <c r="U94" s="659"/>
      <c r="V94" s="659">
        <v>1</v>
      </c>
      <c r="W94" s="659"/>
      <c r="X94" s="659">
        <v>12</v>
      </c>
      <c r="Y94" s="659">
        <v>43</v>
      </c>
      <c r="Z94" s="661">
        <v>1</v>
      </c>
      <c r="AA94" s="659">
        <v>0</v>
      </c>
      <c r="AB94" s="662">
        <f>100/(SUM(I94:Z94))</f>
        <v>1</v>
      </c>
      <c r="AC94" s="662">
        <f>SUM(I94:AA94)</f>
        <v>100</v>
      </c>
      <c r="AD94" s="659"/>
      <c r="AE94" s="659"/>
      <c r="AF94" s="659"/>
      <c r="AG94" s="663" t="s">
        <v>1928</v>
      </c>
      <c r="AH94" s="666" t="s">
        <v>2635</v>
      </c>
      <c r="AI94" s="666"/>
      <c r="AJ94" s="666"/>
      <c r="AK94" s="655" t="s">
        <v>2636</v>
      </c>
      <c r="AL94" s="663">
        <f>(B94-DATE(1970,1,1))*86400</f>
        <v>1771891200</v>
      </c>
      <c r="AM94" s="663">
        <f>(C94-DATE(1970,1,1))*86400</f>
        <v>1771977600</v>
      </c>
      <c r="AN94" s="663">
        <f>AVERAGE(AL94:AM94)</f>
        <v>1771934400</v>
      </c>
    </row>
    <row r="95" spans="1:65" x14ac:dyDescent="0.2">
      <c r="A95" s="403" t="s">
        <v>133</v>
      </c>
      <c r="B95" s="14">
        <v>46076</v>
      </c>
      <c r="C95" s="14">
        <v>46079</v>
      </c>
      <c r="D95" s="13" t="s">
        <v>124</v>
      </c>
      <c r="E95" s="324" t="s">
        <v>125</v>
      </c>
      <c r="F95" s="13"/>
      <c r="G95" s="13" t="s">
        <v>126</v>
      </c>
      <c r="H95" s="349">
        <v>1000</v>
      </c>
      <c r="I95" s="15">
        <v>40</v>
      </c>
      <c r="J95" s="15"/>
      <c r="K95" s="15"/>
      <c r="L95" s="15"/>
      <c r="M95" s="15">
        <v>3</v>
      </c>
      <c r="N95" s="15"/>
      <c r="O95" s="15"/>
      <c r="P95" s="15"/>
      <c r="Q95" s="15"/>
      <c r="R95" s="15"/>
      <c r="S95" s="15"/>
      <c r="T95" s="15"/>
      <c r="U95" s="15"/>
      <c r="V95" s="15">
        <v>3</v>
      </c>
      <c r="W95" s="15"/>
      <c r="X95" s="15">
        <v>7</v>
      </c>
      <c r="Y95" s="15">
        <v>35</v>
      </c>
      <c r="Z95" s="397">
        <v>0</v>
      </c>
      <c r="AA95" s="98">
        <v>12</v>
      </c>
      <c r="AB95" s="16">
        <f>100/(SUM(I95:Z95))</f>
        <v>1.1363636363636365</v>
      </c>
      <c r="AC95" s="259">
        <f>SUM(I95:AA95)</f>
        <v>100</v>
      </c>
      <c r="AD95" s="15"/>
      <c r="AE95" s="15"/>
      <c r="AF95" s="15"/>
      <c r="AG95" s="17" t="s">
        <v>127</v>
      </c>
      <c r="AH95" s="201" t="s">
        <v>2558</v>
      </c>
      <c r="AI95" s="201" t="s">
        <v>2559</v>
      </c>
      <c r="AJ95" s="201" t="s">
        <v>2597</v>
      </c>
      <c r="AK95" s="201" t="s">
        <v>2621</v>
      </c>
      <c r="AL95" s="17">
        <f>(B95-DATE(1970,1,1))*86400</f>
        <v>1771804800</v>
      </c>
      <c r="AM95" s="17">
        <f>(C95-DATE(1970,1,1))*86400</f>
        <v>1772064000</v>
      </c>
      <c r="AN95" s="17">
        <f>AVERAGE(AL95:AM95)</f>
        <v>1771934400</v>
      </c>
    </row>
    <row r="96" spans="1:65" x14ac:dyDescent="0.2">
      <c r="A96" s="279" t="s">
        <v>123</v>
      </c>
      <c r="B96" s="14">
        <v>46076</v>
      </c>
      <c r="C96" s="14">
        <v>46079</v>
      </c>
      <c r="D96" s="13" t="s">
        <v>124</v>
      </c>
      <c r="E96" s="401">
        <v>1</v>
      </c>
      <c r="F96" s="13"/>
      <c r="G96" s="13" t="s">
        <v>126</v>
      </c>
      <c r="H96" s="349">
        <v>1000</v>
      </c>
      <c r="I96" s="15">
        <v>45</v>
      </c>
      <c r="J96" s="15"/>
      <c r="K96" s="15"/>
      <c r="L96" s="15"/>
      <c r="M96" s="15">
        <v>3</v>
      </c>
      <c r="N96" s="15"/>
      <c r="O96" s="15"/>
      <c r="P96" s="15"/>
      <c r="Q96" s="15"/>
      <c r="R96" s="15"/>
      <c r="S96" s="15"/>
      <c r="T96" s="15"/>
      <c r="U96" s="15"/>
      <c r="V96" s="15">
        <v>4</v>
      </c>
      <c r="W96" s="15"/>
      <c r="X96" s="15">
        <v>8</v>
      </c>
      <c r="Y96" s="15">
        <v>40</v>
      </c>
      <c r="Z96" s="15">
        <v>0</v>
      </c>
      <c r="AA96" s="15">
        <v>0</v>
      </c>
      <c r="AB96" s="16">
        <f>100/(SUM(I96:Z96))</f>
        <v>1</v>
      </c>
      <c r="AC96" s="259">
        <f>SUM(I96:AA96)</f>
        <v>100</v>
      </c>
      <c r="AD96" s="15"/>
      <c r="AE96" s="15"/>
      <c r="AF96" s="15"/>
      <c r="AG96" s="17" t="s">
        <v>127</v>
      </c>
      <c r="AH96" s="201" t="s">
        <v>2558</v>
      </c>
      <c r="AI96" s="201" t="s">
        <v>2559</v>
      </c>
      <c r="AJ96" s="18"/>
      <c r="AK96" s="13"/>
      <c r="AL96" s="17">
        <f>(B96-DATE(1970,1,1))*86400</f>
        <v>1771804800</v>
      </c>
      <c r="AM96" s="17">
        <f>(C96-DATE(1970,1,1))*86400</f>
        <v>1772064000</v>
      </c>
      <c r="AN96" s="17">
        <f>AVERAGE(AL96:AM96)</f>
        <v>1771934400</v>
      </c>
    </row>
    <row r="97" spans="1:64" ht="15.75" customHeight="1" x14ac:dyDescent="0.2">
      <c r="A97" s="277" t="s">
        <v>133</v>
      </c>
      <c r="B97" s="244">
        <v>46073</v>
      </c>
      <c r="C97" s="244">
        <v>46078</v>
      </c>
      <c r="D97" s="243" t="s">
        <v>1975</v>
      </c>
      <c r="E97" s="399">
        <v>0</v>
      </c>
      <c r="F97" s="243"/>
      <c r="G97" s="245" t="s">
        <v>1025</v>
      </c>
      <c r="H97" s="348">
        <v>1200</v>
      </c>
      <c r="I97" s="246">
        <v>28.7</v>
      </c>
      <c r="J97" s="246"/>
      <c r="K97" s="246"/>
      <c r="L97" s="246"/>
      <c r="M97" s="246">
        <v>1.9</v>
      </c>
      <c r="N97" s="246"/>
      <c r="O97" s="246"/>
      <c r="P97" s="246"/>
      <c r="Q97" s="246"/>
      <c r="R97" s="247"/>
      <c r="S97" s="246"/>
      <c r="T97" s="246"/>
      <c r="U97" s="246"/>
      <c r="V97" s="246">
        <v>1.2</v>
      </c>
      <c r="W97" s="246"/>
      <c r="X97" s="246">
        <v>2.8</v>
      </c>
      <c r="Y97" s="246">
        <v>34.4</v>
      </c>
      <c r="Z97" s="246"/>
      <c r="AA97" s="246">
        <v>30.8</v>
      </c>
      <c r="AB97" s="248">
        <f>100/(SUM(I97:Z97))</f>
        <v>1.4492753623188406</v>
      </c>
      <c r="AC97" s="259">
        <f>SUM(I97:AA97)</f>
        <v>99.8</v>
      </c>
      <c r="AD97" s="246">
        <v>89</v>
      </c>
      <c r="AE97" s="246"/>
      <c r="AF97" s="246"/>
      <c r="AG97" s="249" t="s">
        <v>1976</v>
      </c>
      <c r="AH97" s="250"/>
      <c r="AI97" s="251" t="s">
        <v>2595</v>
      </c>
      <c r="AJ97" s="250" t="s">
        <v>2596</v>
      </c>
      <c r="AK97" s="243" t="s">
        <v>2606</v>
      </c>
      <c r="AL97" s="249">
        <f>(B97-DATE(1970,1,1))*86400</f>
        <v>1771545600</v>
      </c>
      <c r="AM97" s="249">
        <f>(C97-DATE(1970,1,1))*86400</f>
        <v>1771977600</v>
      </c>
      <c r="AN97" s="249">
        <f>AVERAGE(AL97:AM97)</f>
        <v>1771761600</v>
      </c>
    </row>
    <row r="98" spans="1:64" x14ac:dyDescent="0.2">
      <c r="A98" s="277" t="s">
        <v>123</v>
      </c>
      <c r="B98" s="244">
        <v>46073</v>
      </c>
      <c r="C98" s="244">
        <v>46078</v>
      </c>
      <c r="D98" s="243" t="s">
        <v>1975</v>
      </c>
      <c r="E98" s="399">
        <v>0</v>
      </c>
      <c r="F98" s="243"/>
      <c r="G98" s="245" t="s">
        <v>1025</v>
      </c>
      <c r="H98" s="348">
        <v>1200</v>
      </c>
      <c r="I98" s="246">
        <v>41.5</v>
      </c>
      <c r="J98" s="246"/>
      <c r="K98" s="246"/>
      <c r="L98" s="246"/>
      <c r="M98" s="246">
        <v>2.8</v>
      </c>
      <c r="N98" s="246"/>
      <c r="O98" s="246"/>
      <c r="P98" s="246"/>
      <c r="Q98" s="246"/>
      <c r="R98" s="247"/>
      <c r="S98" s="246"/>
      <c r="T98" s="246"/>
      <c r="U98" s="246"/>
      <c r="V98" s="246">
        <v>1.7</v>
      </c>
      <c r="W98" s="246"/>
      <c r="X98" s="246">
        <v>4.0999999999999996</v>
      </c>
      <c r="Y98" s="246">
        <v>50</v>
      </c>
      <c r="Z98" s="246"/>
      <c r="AA98" s="246">
        <v>0</v>
      </c>
      <c r="AB98" s="248">
        <f>100/(SUM(I98:Z98))</f>
        <v>0.99900099900099903</v>
      </c>
      <c r="AC98" s="259">
        <f>SUM(I98:AA98)</f>
        <v>100.1</v>
      </c>
      <c r="AD98" s="246"/>
      <c r="AE98" s="246"/>
      <c r="AF98" s="246"/>
      <c r="AG98" s="249" t="s">
        <v>1976</v>
      </c>
      <c r="AH98" s="250"/>
      <c r="AI98" s="251" t="s">
        <v>2595</v>
      </c>
      <c r="AJ98" s="251"/>
      <c r="AK98" s="243"/>
      <c r="AL98" s="249">
        <f>(B98-DATE(1970,1,1))*86400</f>
        <v>1771545600</v>
      </c>
      <c r="AM98" s="249">
        <f>(C98-DATE(1970,1,1))*86400</f>
        <v>1771977600</v>
      </c>
      <c r="AN98" s="249">
        <f>AVERAGE(AL98:AM98)</f>
        <v>1771761600</v>
      </c>
    </row>
    <row r="99" spans="1:64" ht="15.75" customHeight="1" x14ac:dyDescent="0.2">
      <c r="A99" s="285" t="s">
        <v>133</v>
      </c>
      <c r="B99" s="581">
        <v>46071</v>
      </c>
      <c r="C99" s="581">
        <v>46076</v>
      </c>
      <c r="D99" s="33" t="s">
        <v>143</v>
      </c>
      <c r="E99" s="319" t="s">
        <v>125</v>
      </c>
      <c r="F99" s="33"/>
      <c r="G99" s="33" t="s">
        <v>126</v>
      </c>
      <c r="H99" s="353">
        <v>1000</v>
      </c>
      <c r="I99" s="35">
        <v>31</v>
      </c>
      <c r="J99" s="35"/>
      <c r="K99" s="35"/>
      <c r="L99" s="35"/>
      <c r="M99" s="35">
        <v>1</v>
      </c>
      <c r="N99" s="35"/>
      <c r="O99" s="35"/>
      <c r="P99" s="35"/>
      <c r="Q99" s="35"/>
      <c r="R99" s="36"/>
      <c r="S99" s="35"/>
      <c r="T99" s="35"/>
      <c r="U99" s="35"/>
      <c r="V99" s="35">
        <v>2</v>
      </c>
      <c r="W99" s="35"/>
      <c r="X99" s="35">
        <v>5</v>
      </c>
      <c r="Y99" s="35">
        <v>42</v>
      </c>
      <c r="Z99" s="35">
        <v>1</v>
      </c>
      <c r="AA99" s="35">
        <v>19</v>
      </c>
      <c r="AB99" s="37">
        <f>100/(SUM(I99:Z99))</f>
        <v>1.2195121951219512</v>
      </c>
      <c r="AC99" s="259">
        <f>SUM(I99:AA99)</f>
        <v>101</v>
      </c>
      <c r="AD99" s="35">
        <v>87</v>
      </c>
      <c r="AE99" s="35">
        <v>9.1999999999999993</v>
      </c>
      <c r="AF99" s="35">
        <v>15.6</v>
      </c>
      <c r="AG99" s="33" t="s">
        <v>144</v>
      </c>
      <c r="AH99" s="33" t="s">
        <v>2554</v>
      </c>
      <c r="AI99" s="190" t="s">
        <v>2560</v>
      </c>
      <c r="AJ99" s="190" t="s">
        <v>2592</v>
      </c>
      <c r="AK99" s="33" t="s">
        <v>2553</v>
      </c>
      <c r="AL99" s="39">
        <f>(B99-DATE(1970,1,1))*86400</f>
        <v>1771372800</v>
      </c>
      <c r="AM99" s="39">
        <f>(C99-DATE(1970,1,1))*86400</f>
        <v>1771804800</v>
      </c>
      <c r="AN99" s="39">
        <f>AVERAGE(AL99:AM99)</f>
        <v>1771588800</v>
      </c>
    </row>
    <row r="100" spans="1:64" x14ac:dyDescent="0.2">
      <c r="A100" s="285" t="s">
        <v>133</v>
      </c>
      <c r="B100" s="581">
        <v>46071</v>
      </c>
      <c r="C100" s="581">
        <v>46076</v>
      </c>
      <c r="D100" s="33" t="s">
        <v>143</v>
      </c>
      <c r="E100" s="319" t="s">
        <v>125</v>
      </c>
      <c r="F100" s="33"/>
      <c r="G100" s="33" t="s">
        <v>126</v>
      </c>
      <c r="H100" s="353">
        <v>1000</v>
      </c>
      <c r="I100" s="35">
        <v>38</v>
      </c>
      <c r="J100" s="35"/>
      <c r="K100" s="35" t="s">
        <v>355</v>
      </c>
      <c r="L100" s="35"/>
      <c r="M100" s="35">
        <v>2</v>
      </c>
      <c r="N100" s="35"/>
      <c r="O100" s="35"/>
      <c r="P100" s="35"/>
      <c r="Q100" s="35"/>
      <c r="R100" s="36"/>
      <c r="S100" s="35"/>
      <c r="T100" s="35"/>
      <c r="U100" s="35"/>
      <c r="V100" s="35">
        <v>2</v>
      </c>
      <c r="W100" s="35"/>
      <c r="X100" s="35">
        <v>7</v>
      </c>
      <c r="Y100" s="35">
        <v>51</v>
      </c>
      <c r="Z100" s="35">
        <v>1</v>
      </c>
      <c r="AA100" s="35">
        <v>0</v>
      </c>
      <c r="AB100" s="37">
        <f>100/(SUM(I100:Z100))</f>
        <v>0.99009900990099009</v>
      </c>
      <c r="AC100" s="259">
        <f>SUM(I100:AA100)</f>
        <v>101</v>
      </c>
      <c r="AD100" s="35"/>
      <c r="AE100" s="35"/>
      <c r="AF100" s="35"/>
      <c r="AG100" s="33" t="s">
        <v>144</v>
      </c>
      <c r="AH100" s="33" t="s">
        <v>2554</v>
      </c>
      <c r="AI100" s="190" t="s">
        <v>2555</v>
      </c>
      <c r="AJ100" s="190" t="s">
        <v>2556</v>
      </c>
      <c r="AK100" s="33"/>
      <c r="AL100" s="39">
        <f>(B100-DATE(1970,1,1))*86400</f>
        <v>1771372800</v>
      </c>
      <c r="AM100" s="39">
        <f>(C100-DATE(1970,1,1))*86400</f>
        <v>1771804800</v>
      </c>
      <c r="AN100" s="39">
        <f>AVERAGE(AL100:AM100)</f>
        <v>1771588800</v>
      </c>
    </row>
    <row r="101" spans="1:64" x14ac:dyDescent="0.2">
      <c r="A101" s="285" t="s">
        <v>123</v>
      </c>
      <c r="B101" s="581">
        <v>46071</v>
      </c>
      <c r="C101" s="581">
        <v>46076</v>
      </c>
      <c r="D101" s="33" t="s">
        <v>143</v>
      </c>
      <c r="E101" s="319" t="s">
        <v>125</v>
      </c>
      <c r="F101" s="33"/>
      <c r="G101" s="33" t="s">
        <v>126</v>
      </c>
      <c r="H101" s="353">
        <v>1000</v>
      </c>
      <c r="I101" s="35">
        <v>35</v>
      </c>
      <c r="J101" s="35"/>
      <c r="K101" s="35" t="s">
        <v>355</v>
      </c>
      <c r="L101" s="35"/>
      <c r="M101" s="35">
        <v>2</v>
      </c>
      <c r="N101" s="35"/>
      <c r="O101" s="35"/>
      <c r="P101" s="35"/>
      <c r="Q101" s="35"/>
      <c r="R101" s="36"/>
      <c r="S101" s="35"/>
      <c r="T101" s="35"/>
      <c r="U101" s="35"/>
      <c r="V101" s="35">
        <v>2</v>
      </c>
      <c r="W101" s="35"/>
      <c r="X101" s="35">
        <v>6</v>
      </c>
      <c r="Y101" s="35">
        <v>55</v>
      </c>
      <c r="Z101" s="35">
        <v>1</v>
      </c>
      <c r="AA101" s="35">
        <v>0</v>
      </c>
      <c r="AB101" s="37">
        <f>100/(SUM(I101:Z101))</f>
        <v>0.99009900990099009</v>
      </c>
      <c r="AC101" s="259">
        <f>SUM(I101:AA101)</f>
        <v>101</v>
      </c>
      <c r="AD101" s="35"/>
      <c r="AE101" s="35"/>
      <c r="AF101" s="35"/>
      <c r="AG101" s="33" t="s">
        <v>144</v>
      </c>
      <c r="AH101" s="33" t="s">
        <v>2554</v>
      </c>
      <c r="AI101" s="190" t="s">
        <v>2555</v>
      </c>
      <c r="AJ101" s="33" t="s">
        <v>2556</v>
      </c>
      <c r="AK101" s="33"/>
      <c r="AL101" s="39">
        <f>(B101-DATE(1970,1,1))*86400</f>
        <v>1771372800</v>
      </c>
      <c r="AM101" s="39">
        <f>(C101-DATE(1970,1,1))*86400</f>
        <v>1771804800</v>
      </c>
      <c r="AN101" s="39">
        <f>AVERAGE(AL101:AM101)</f>
        <v>1771588800</v>
      </c>
    </row>
    <row r="102" spans="1:64" x14ac:dyDescent="0.2">
      <c r="A102" s="288" t="s">
        <v>133</v>
      </c>
      <c r="B102" s="60">
        <v>46065</v>
      </c>
      <c r="C102" s="60">
        <v>46070</v>
      </c>
      <c r="D102" s="61" t="s">
        <v>168</v>
      </c>
      <c r="E102" s="334" t="s">
        <v>125</v>
      </c>
      <c r="F102" s="218"/>
      <c r="G102" s="61" t="s">
        <v>126</v>
      </c>
      <c r="H102" s="334">
        <v>1000</v>
      </c>
      <c r="I102" s="63">
        <v>30</v>
      </c>
      <c r="J102" s="63"/>
      <c r="K102" s="63"/>
      <c r="L102" s="63"/>
      <c r="M102" s="63">
        <v>2</v>
      </c>
      <c r="N102" s="63"/>
      <c r="O102" s="63"/>
      <c r="P102" s="63"/>
      <c r="Q102" s="63"/>
      <c r="R102" s="64"/>
      <c r="S102" s="63"/>
      <c r="T102" s="63"/>
      <c r="U102" s="63"/>
      <c r="V102" s="63">
        <v>4</v>
      </c>
      <c r="W102" s="63"/>
      <c r="X102" s="63">
        <v>5</v>
      </c>
      <c r="Y102" s="63">
        <v>35</v>
      </c>
      <c r="Z102" s="63">
        <v>0</v>
      </c>
      <c r="AA102" s="63">
        <v>23</v>
      </c>
      <c r="AB102" s="65">
        <f>100/(SUM(I102:Z102))</f>
        <v>1.3157894736842106</v>
      </c>
      <c r="AC102" s="259">
        <f>SUM(I102:AA102)</f>
        <v>99</v>
      </c>
      <c r="AD102" s="63">
        <v>69</v>
      </c>
      <c r="AE102" s="64"/>
      <c r="AF102" s="64"/>
      <c r="AG102" s="66" t="s">
        <v>127</v>
      </c>
      <c r="AH102" s="200" t="s">
        <v>2543</v>
      </c>
      <c r="AI102" s="200" t="s">
        <v>2545</v>
      </c>
      <c r="AJ102" s="200" t="s">
        <v>2609</v>
      </c>
      <c r="AK102" s="61" t="s">
        <v>2544</v>
      </c>
      <c r="AL102" s="66">
        <f>(B102-DATE(1970,1,1))*86400</f>
        <v>1770854400</v>
      </c>
      <c r="AM102" s="66">
        <f>(C102-DATE(1970,1,1))*86400</f>
        <v>1771286400</v>
      </c>
      <c r="AN102" s="66">
        <f>AVERAGE(AL102:AM102)</f>
        <v>1771070400</v>
      </c>
    </row>
    <row r="103" spans="1:64" x14ac:dyDescent="0.2">
      <c r="A103" s="288" t="s">
        <v>133</v>
      </c>
      <c r="B103" s="60">
        <v>46065</v>
      </c>
      <c r="C103" s="60">
        <v>46070</v>
      </c>
      <c r="D103" s="61" t="s">
        <v>168</v>
      </c>
      <c r="E103" s="398">
        <v>1</v>
      </c>
      <c r="F103" s="218"/>
      <c r="G103" s="61" t="s">
        <v>126</v>
      </c>
      <c r="H103" s="334">
        <v>1000</v>
      </c>
      <c r="I103" s="63">
        <v>39</v>
      </c>
      <c r="J103" s="63"/>
      <c r="K103" s="63"/>
      <c r="L103" s="63"/>
      <c r="M103" s="63">
        <v>3</v>
      </c>
      <c r="N103" s="63"/>
      <c r="O103" s="63"/>
      <c r="P103" s="63"/>
      <c r="Q103" s="63"/>
      <c r="R103" s="64"/>
      <c r="S103" s="63"/>
      <c r="T103" s="63"/>
      <c r="U103" s="63"/>
      <c r="V103" s="63">
        <v>5</v>
      </c>
      <c r="W103" s="63"/>
      <c r="X103" s="63">
        <v>7</v>
      </c>
      <c r="Y103" s="63">
        <v>46</v>
      </c>
      <c r="Z103" s="63">
        <v>0</v>
      </c>
      <c r="AA103" s="63">
        <v>0</v>
      </c>
      <c r="AB103" s="65">
        <f>100/(SUM(I103:Z103))</f>
        <v>1</v>
      </c>
      <c r="AC103" s="259">
        <f>SUM(I103:AA103)</f>
        <v>100</v>
      </c>
      <c r="AD103" s="63"/>
      <c r="AE103" s="64"/>
      <c r="AF103" s="64"/>
      <c r="AG103" s="66" t="s">
        <v>127</v>
      </c>
      <c r="AH103" s="200" t="s">
        <v>2543</v>
      </c>
      <c r="AI103" s="200" t="s">
        <v>2545</v>
      </c>
      <c r="AJ103" s="200" t="s">
        <v>2609</v>
      </c>
      <c r="AK103" s="61"/>
      <c r="AL103" s="66">
        <f>(B103-DATE(1970,1,1))*86400</f>
        <v>1770854400</v>
      </c>
      <c r="AM103" s="66">
        <f>(C103-DATE(1970,1,1))*86400</f>
        <v>1771286400</v>
      </c>
      <c r="AN103" s="66">
        <f>AVERAGE(AL103:AM103)</f>
        <v>1771070400</v>
      </c>
    </row>
    <row r="104" spans="1:64" x14ac:dyDescent="0.2">
      <c r="A104" s="288" t="s">
        <v>123</v>
      </c>
      <c r="B104" s="60">
        <v>46065</v>
      </c>
      <c r="C104" s="60">
        <v>46070</v>
      </c>
      <c r="D104" s="61" t="s">
        <v>168</v>
      </c>
      <c r="E104" s="334" t="s">
        <v>125</v>
      </c>
      <c r="F104" s="218"/>
      <c r="G104" s="61" t="s">
        <v>126</v>
      </c>
      <c r="H104" s="334">
        <v>1000</v>
      </c>
      <c r="I104" s="63">
        <v>39</v>
      </c>
      <c r="J104" s="63"/>
      <c r="K104" s="63"/>
      <c r="L104" s="63"/>
      <c r="M104" s="63">
        <v>3</v>
      </c>
      <c r="N104" s="63"/>
      <c r="O104" s="63"/>
      <c r="P104" s="63"/>
      <c r="Q104" s="63"/>
      <c r="R104" s="64"/>
      <c r="S104" s="63"/>
      <c r="T104" s="63"/>
      <c r="U104" s="63"/>
      <c r="V104" s="63">
        <v>5</v>
      </c>
      <c r="W104" s="63"/>
      <c r="X104" s="63">
        <v>6</v>
      </c>
      <c r="Y104" s="63">
        <v>47</v>
      </c>
      <c r="Z104" s="63">
        <v>0</v>
      </c>
      <c r="AA104" s="63">
        <v>0</v>
      </c>
      <c r="AB104" s="65">
        <f>100/(SUM(I104:Z104))</f>
        <v>1</v>
      </c>
      <c r="AC104" s="259">
        <f>SUM(I104:AA104)</f>
        <v>100</v>
      </c>
      <c r="AD104" s="63"/>
      <c r="AE104" s="64"/>
      <c r="AF104" s="64"/>
      <c r="AG104" s="66" t="s">
        <v>127</v>
      </c>
      <c r="AH104" s="200" t="s">
        <v>2543</v>
      </c>
      <c r="AI104" s="200" t="s">
        <v>2545</v>
      </c>
      <c r="AJ104" s="200"/>
      <c r="AK104" s="61"/>
      <c r="AL104" s="66">
        <f>(B104-DATE(1970,1,1))*86400</f>
        <v>1770854400</v>
      </c>
      <c r="AM104" s="66">
        <f>(C104-DATE(1970,1,1))*86400</f>
        <v>1771286400</v>
      </c>
      <c r="AN104" s="66">
        <f>AVERAGE(AL104:AM104)</f>
        <v>1771070400</v>
      </c>
    </row>
    <row r="105" spans="1:64" x14ac:dyDescent="0.2">
      <c r="A105" s="281" t="s">
        <v>133</v>
      </c>
      <c r="B105" s="240">
        <v>46062</v>
      </c>
      <c r="C105" s="240">
        <v>46065</v>
      </c>
      <c r="D105" s="53" t="s">
        <v>154</v>
      </c>
      <c r="E105" s="323" t="s">
        <v>125</v>
      </c>
      <c r="F105" s="53"/>
      <c r="G105" s="53" t="s">
        <v>126</v>
      </c>
      <c r="H105" s="351">
        <v>1000</v>
      </c>
      <c r="I105" s="55">
        <v>30</v>
      </c>
      <c r="J105" s="55"/>
      <c r="K105" s="55"/>
      <c r="L105" s="55"/>
      <c r="M105" s="55">
        <v>4</v>
      </c>
      <c r="N105" s="55"/>
      <c r="O105" s="55"/>
      <c r="P105" s="547"/>
      <c r="Q105" s="55"/>
      <c r="R105" s="56"/>
      <c r="S105" s="547"/>
      <c r="T105" s="55"/>
      <c r="U105" s="547"/>
      <c r="V105" s="55">
        <v>3</v>
      </c>
      <c r="W105" s="55"/>
      <c r="X105" s="55">
        <v>4</v>
      </c>
      <c r="Y105" s="55">
        <v>35</v>
      </c>
      <c r="Z105" s="547"/>
      <c r="AA105" s="547">
        <v>24</v>
      </c>
      <c r="AB105" s="57">
        <f>100/(SUM(I105:Z105))</f>
        <v>1.3157894736842106</v>
      </c>
      <c r="AC105" s="259">
        <f>SUM(I105:AA105)</f>
        <v>100</v>
      </c>
      <c r="AD105" s="55"/>
      <c r="AE105" s="55"/>
      <c r="AF105" s="55"/>
      <c r="AG105" s="58" t="s">
        <v>155</v>
      </c>
      <c r="AH105" s="186" t="s">
        <v>2539</v>
      </c>
      <c r="AI105" s="186"/>
      <c r="AJ105" s="186"/>
      <c r="AK105" s="53" t="s">
        <v>2540</v>
      </c>
      <c r="AL105" s="58">
        <f>(B105-DATE(1970,1,1))*86400</f>
        <v>1770595200</v>
      </c>
      <c r="AM105" s="58">
        <f>(C105-DATE(1970,1,1))*86400</f>
        <v>1770854400</v>
      </c>
      <c r="AN105" s="58">
        <f>AVERAGE(AL105:AM105)</f>
        <v>1770724800</v>
      </c>
    </row>
    <row r="106" spans="1:64" x14ac:dyDescent="0.2">
      <c r="A106" s="281" t="s">
        <v>123</v>
      </c>
      <c r="B106" s="240">
        <v>46062</v>
      </c>
      <c r="C106" s="240">
        <v>46065</v>
      </c>
      <c r="D106" s="53" t="s">
        <v>154</v>
      </c>
      <c r="E106" s="323" t="s">
        <v>125</v>
      </c>
      <c r="F106" s="53"/>
      <c r="G106" s="53" t="s">
        <v>126</v>
      </c>
      <c r="H106" s="351">
        <v>1000</v>
      </c>
      <c r="I106" s="55">
        <v>34</v>
      </c>
      <c r="J106" s="55"/>
      <c r="K106" s="55"/>
      <c r="L106" s="55"/>
      <c r="M106" s="55">
        <v>4</v>
      </c>
      <c r="N106" s="55"/>
      <c r="O106" s="55"/>
      <c r="P106" s="547"/>
      <c r="Q106" s="55"/>
      <c r="R106" s="56"/>
      <c r="S106" s="547"/>
      <c r="T106" s="55"/>
      <c r="U106" s="547"/>
      <c r="V106" s="55">
        <v>3</v>
      </c>
      <c r="W106" s="55"/>
      <c r="X106" s="55">
        <v>4</v>
      </c>
      <c r="Y106" s="55">
        <v>41</v>
      </c>
      <c r="Z106" s="547"/>
      <c r="AA106" s="547">
        <v>14</v>
      </c>
      <c r="AB106" s="57">
        <f>100/(SUM(I106:Z106))</f>
        <v>1.1627906976744187</v>
      </c>
      <c r="AC106" s="259">
        <f>SUM(I106:AA106)</f>
        <v>100</v>
      </c>
      <c r="AD106" s="55"/>
      <c r="AE106" s="55"/>
      <c r="AF106" s="55"/>
      <c r="AG106" s="58" t="s">
        <v>155</v>
      </c>
      <c r="AH106" s="650" t="s">
        <v>2539</v>
      </c>
      <c r="AI106" s="650"/>
      <c r="AJ106" s="186"/>
      <c r="AK106" s="53"/>
      <c r="AL106" s="58">
        <f>(B106-DATE(1970,1,1))*86400</f>
        <v>1770595200</v>
      </c>
      <c r="AM106" s="58">
        <f>(C106-DATE(1970,1,1))*86400</f>
        <v>1770854400</v>
      </c>
      <c r="AN106" s="58">
        <f>AVERAGE(AL106:AM106)</f>
        <v>1770724800</v>
      </c>
      <c r="AO106" s="633"/>
      <c r="AP106" s="633"/>
      <c r="AQ106" s="633"/>
      <c r="AR106" s="633"/>
      <c r="AS106" s="633"/>
      <c r="AT106" s="633"/>
      <c r="AU106" s="633"/>
      <c r="AV106" s="633"/>
      <c r="AW106" s="633"/>
      <c r="AX106" s="633"/>
      <c r="AY106" s="633"/>
      <c r="AZ106" s="633"/>
      <c r="BA106" s="633"/>
      <c r="BB106" s="633"/>
      <c r="BC106" s="633"/>
      <c r="BD106" s="633"/>
      <c r="BE106" s="633"/>
      <c r="BF106" s="633"/>
      <c r="BG106" s="633"/>
      <c r="BH106" s="633"/>
      <c r="BI106" s="633"/>
      <c r="BJ106" s="633"/>
      <c r="BK106" s="633"/>
      <c r="BL106" s="633"/>
    </row>
    <row r="107" spans="1:64" x14ac:dyDescent="0.2">
      <c r="A107" s="281" t="s">
        <v>123</v>
      </c>
      <c r="B107" s="240">
        <v>46062</v>
      </c>
      <c r="C107" s="240">
        <v>46065</v>
      </c>
      <c r="D107" s="53" t="s">
        <v>154</v>
      </c>
      <c r="E107" s="323" t="s">
        <v>125</v>
      </c>
      <c r="F107" s="53"/>
      <c r="G107" s="53" t="s">
        <v>126</v>
      </c>
      <c r="H107" s="351">
        <v>1000</v>
      </c>
      <c r="I107" s="55">
        <v>39</v>
      </c>
      <c r="J107" s="55"/>
      <c r="K107" s="55"/>
      <c r="L107" s="55"/>
      <c r="M107" s="55">
        <v>5</v>
      </c>
      <c r="N107" s="55"/>
      <c r="O107" s="55"/>
      <c r="P107" s="547"/>
      <c r="Q107" s="55"/>
      <c r="R107" s="56"/>
      <c r="S107" s="547"/>
      <c r="T107" s="55"/>
      <c r="U107" s="547"/>
      <c r="V107" s="55">
        <v>4</v>
      </c>
      <c r="W107" s="55"/>
      <c r="X107" s="55">
        <v>5</v>
      </c>
      <c r="Y107" s="55">
        <v>48</v>
      </c>
      <c r="Z107" s="547"/>
      <c r="AA107" s="547">
        <v>0</v>
      </c>
      <c r="AB107" s="57">
        <f>100/(SUM(I107:Z107))</f>
        <v>0.99009900990099009</v>
      </c>
      <c r="AC107" s="259">
        <f>SUM(I107:AA107)</f>
        <v>101</v>
      </c>
      <c r="AD107" s="55"/>
      <c r="AE107" s="55"/>
      <c r="AF107" s="55"/>
      <c r="AG107" s="58" t="s">
        <v>155</v>
      </c>
      <c r="AH107" s="650" t="s">
        <v>2539</v>
      </c>
      <c r="AI107" s="650"/>
      <c r="AJ107" s="186"/>
      <c r="AK107" s="53"/>
      <c r="AL107" s="58">
        <f>(B107-DATE(1970,1,1))*86400</f>
        <v>1770595200</v>
      </c>
      <c r="AM107" s="58">
        <f>(C107-DATE(1970,1,1))*86400</f>
        <v>1770854400</v>
      </c>
      <c r="AN107" s="58">
        <f>AVERAGE(AL107:AM107)</f>
        <v>1770724800</v>
      </c>
      <c r="AO107" s="633"/>
      <c r="AP107" s="633"/>
      <c r="AQ107" s="633"/>
      <c r="AR107" s="633"/>
      <c r="AS107" s="633"/>
      <c r="AT107" s="633"/>
      <c r="AU107" s="633"/>
      <c r="AV107" s="633"/>
      <c r="AW107" s="633"/>
      <c r="AX107" s="633"/>
      <c r="AY107" s="633"/>
      <c r="AZ107" s="633"/>
      <c r="BA107" s="633"/>
      <c r="BB107" s="633"/>
      <c r="BC107" s="633"/>
      <c r="BD107" s="633"/>
      <c r="BE107" s="633"/>
      <c r="BF107" s="633"/>
      <c r="BG107" s="633"/>
      <c r="BH107" s="633"/>
      <c r="BI107" s="633"/>
      <c r="BJ107" s="633"/>
      <c r="BK107" s="633"/>
      <c r="BL107" s="633"/>
    </row>
    <row r="108" spans="1:64" x14ac:dyDescent="0.2">
      <c r="A108" s="403" t="s">
        <v>133</v>
      </c>
      <c r="B108" s="14">
        <v>46062</v>
      </c>
      <c r="C108" s="14">
        <v>46064</v>
      </c>
      <c r="D108" s="13" t="s">
        <v>124</v>
      </c>
      <c r="E108" s="324" t="s">
        <v>125</v>
      </c>
      <c r="F108" s="13"/>
      <c r="G108" s="13" t="s">
        <v>126</v>
      </c>
      <c r="H108" s="349">
        <v>1000</v>
      </c>
      <c r="I108" s="15">
        <v>39</v>
      </c>
      <c r="J108" s="15"/>
      <c r="K108" s="15"/>
      <c r="L108" s="15"/>
      <c r="M108" s="15">
        <v>3</v>
      </c>
      <c r="N108" s="15"/>
      <c r="O108" s="15"/>
      <c r="P108" s="15"/>
      <c r="Q108" s="15"/>
      <c r="R108" s="15"/>
      <c r="S108" s="15"/>
      <c r="T108" s="15"/>
      <c r="U108" s="15"/>
      <c r="V108" s="15">
        <v>2</v>
      </c>
      <c r="W108" s="15"/>
      <c r="X108" s="15">
        <v>7</v>
      </c>
      <c r="Y108" s="15">
        <v>34</v>
      </c>
      <c r="Z108" s="397">
        <v>0</v>
      </c>
      <c r="AA108" s="98">
        <v>15</v>
      </c>
      <c r="AB108" s="16">
        <f>100/(SUM(I108:Z108))</f>
        <v>1.1764705882352942</v>
      </c>
      <c r="AC108" s="259">
        <f>SUM(I108:AA108)</f>
        <v>100</v>
      </c>
      <c r="AD108" s="15"/>
      <c r="AE108" s="15"/>
      <c r="AF108" s="15"/>
      <c r="AG108" s="17" t="s">
        <v>127</v>
      </c>
      <c r="AH108" s="201" t="s">
        <v>2467</v>
      </c>
      <c r="AI108" s="201" t="s">
        <v>2551</v>
      </c>
      <c r="AJ108" s="201" t="s">
        <v>2557</v>
      </c>
      <c r="AK108" s="13" t="s">
        <v>2620</v>
      </c>
      <c r="AL108" s="17">
        <f>(B108-DATE(1970,1,1))*86400</f>
        <v>1770595200</v>
      </c>
      <c r="AM108" s="17">
        <f>(C108-DATE(1970,1,1))*86400</f>
        <v>1770768000</v>
      </c>
      <c r="AN108" s="17">
        <f>AVERAGE(AL108:AM108)</f>
        <v>1770681600</v>
      </c>
    </row>
    <row r="109" spans="1:64" x14ac:dyDescent="0.2">
      <c r="A109" s="403" t="s">
        <v>123</v>
      </c>
      <c r="B109" s="14">
        <v>46062</v>
      </c>
      <c r="C109" s="14">
        <v>46064</v>
      </c>
      <c r="D109" s="13" t="s">
        <v>124</v>
      </c>
      <c r="E109" s="324" t="s">
        <v>125</v>
      </c>
      <c r="F109" s="13"/>
      <c r="G109" s="13" t="s">
        <v>126</v>
      </c>
      <c r="H109" s="349">
        <v>1000</v>
      </c>
      <c r="I109" s="15">
        <v>46</v>
      </c>
      <c r="J109" s="15"/>
      <c r="K109" s="15"/>
      <c r="L109" s="15"/>
      <c r="M109" s="15">
        <v>4</v>
      </c>
      <c r="N109" s="15"/>
      <c r="O109" s="15"/>
      <c r="P109" s="15"/>
      <c r="Q109" s="15"/>
      <c r="R109" s="15"/>
      <c r="S109" s="15"/>
      <c r="T109" s="15"/>
      <c r="U109" s="15"/>
      <c r="V109" s="15">
        <v>3</v>
      </c>
      <c r="W109" s="15"/>
      <c r="X109" s="15">
        <v>7</v>
      </c>
      <c r="Y109" s="15">
        <v>40</v>
      </c>
      <c r="Z109" s="15">
        <v>0</v>
      </c>
      <c r="AA109" s="15">
        <v>0</v>
      </c>
      <c r="AB109" s="16">
        <f>100/(SUM(I109:Z109))</f>
        <v>1</v>
      </c>
      <c r="AC109" s="259">
        <f>SUM(I109:AA109)</f>
        <v>100</v>
      </c>
      <c r="AD109" s="15"/>
      <c r="AE109" s="15"/>
      <c r="AF109" s="15"/>
      <c r="AG109" s="17" t="s">
        <v>127</v>
      </c>
      <c r="AH109" s="201" t="s">
        <v>2467</v>
      </c>
      <c r="AI109" s="201" t="s">
        <v>2552</v>
      </c>
      <c r="AJ109" s="201"/>
      <c r="AK109" s="13" t="s">
        <v>2474</v>
      </c>
      <c r="AL109" s="17">
        <f>(B109-DATE(1970,1,1))*86400</f>
        <v>1770595200</v>
      </c>
      <c r="AM109" s="17">
        <f>(C109-DATE(1970,1,1))*86400</f>
        <v>1770768000</v>
      </c>
      <c r="AN109" s="17">
        <f>AVERAGE(AL109:AM109)</f>
        <v>1770681600</v>
      </c>
    </row>
    <row r="110" spans="1:64" x14ac:dyDescent="0.2">
      <c r="A110" s="286" t="s">
        <v>133</v>
      </c>
      <c r="B110" s="106">
        <v>46054</v>
      </c>
      <c r="C110" s="106">
        <v>46067</v>
      </c>
      <c r="D110" s="40" t="s">
        <v>148</v>
      </c>
      <c r="E110" s="325" t="s">
        <v>125</v>
      </c>
      <c r="F110" s="40" t="s">
        <v>2482</v>
      </c>
      <c r="G110" s="40" t="s">
        <v>126</v>
      </c>
      <c r="H110" s="366">
        <v>800</v>
      </c>
      <c r="I110" s="42">
        <v>42</v>
      </c>
      <c r="J110" s="42"/>
      <c r="K110" s="42">
        <v>1</v>
      </c>
      <c r="L110" s="42"/>
      <c r="M110" s="42">
        <v>12</v>
      </c>
      <c r="N110" s="42"/>
      <c r="O110" s="42"/>
      <c r="P110" s="42" t="s">
        <v>355</v>
      </c>
      <c r="Q110" s="42"/>
      <c r="R110" s="43"/>
      <c r="S110" s="42"/>
      <c r="T110" s="42"/>
      <c r="U110" s="42"/>
      <c r="V110" s="42">
        <v>1</v>
      </c>
      <c r="W110" s="42"/>
      <c r="X110" s="42">
        <v>4</v>
      </c>
      <c r="Y110" s="42">
        <v>40</v>
      </c>
      <c r="Z110" s="42">
        <v>0</v>
      </c>
      <c r="AA110" s="42">
        <v>0</v>
      </c>
      <c r="AB110" s="44">
        <f>100/(SUM(I110:Z110))</f>
        <v>1</v>
      </c>
      <c r="AC110" s="259">
        <f>SUM(I110:AA110)</f>
        <v>100</v>
      </c>
      <c r="AD110" s="42"/>
      <c r="AE110" s="43"/>
      <c r="AF110" s="43"/>
      <c r="AG110" s="45" t="s">
        <v>2534</v>
      </c>
      <c r="AH110" s="189" t="s">
        <v>2535</v>
      </c>
      <c r="AI110" s="46" t="s">
        <v>2536</v>
      </c>
      <c r="AJ110" s="189" t="s">
        <v>2537</v>
      </c>
      <c r="AK110" s="40" t="s">
        <v>2538</v>
      </c>
      <c r="AL110" s="45">
        <f>(B110-DATE(1970,1,1))*86400</f>
        <v>1769904000</v>
      </c>
      <c r="AM110" s="45">
        <f>(C110-DATE(1970,1,1))*86400</f>
        <v>1771027200</v>
      </c>
      <c r="AN110" s="45">
        <f>AVERAGE(AL110:AM110)</f>
        <v>1770465600</v>
      </c>
    </row>
    <row r="111" spans="1:64" x14ac:dyDescent="0.2">
      <c r="A111" s="296" t="s">
        <v>133</v>
      </c>
      <c r="B111" s="580">
        <v>46055</v>
      </c>
      <c r="C111" s="580">
        <v>46063</v>
      </c>
      <c r="D111" s="99" t="s">
        <v>276</v>
      </c>
      <c r="E111" s="326" t="s">
        <v>125</v>
      </c>
      <c r="F111" s="99"/>
      <c r="G111" s="99" t="s">
        <v>126</v>
      </c>
      <c r="H111" s="326">
        <v>1000</v>
      </c>
      <c r="I111" s="101">
        <v>33</v>
      </c>
      <c r="J111" s="101"/>
      <c r="K111" s="101"/>
      <c r="L111" s="101"/>
      <c r="M111" s="101">
        <v>1</v>
      </c>
      <c r="N111" s="101"/>
      <c r="O111" s="101"/>
      <c r="P111" s="101"/>
      <c r="Q111" s="101"/>
      <c r="R111" s="101"/>
      <c r="S111" s="101"/>
      <c r="T111" s="101"/>
      <c r="U111" s="101"/>
      <c r="V111" s="101">
        <v>5</v>
      </c>
      <c r="W111" s="101"/>
      <c r="X111" s="101">
        <v>7</v>
      </c>
      <c r="Y111" s="101">
        <v>40</v>
      </c>
      <c r="Z111" s="101">
        <v>1</v>
      </c>
      <c r="AA111" s="101">
        <v>13</v>
      </c>
      <c r="AB111" s="102">
        <f>100/(SUM(I111:Z111))</f>
        <v>1.1494252873563218</v>
      </c>
      <c r="AC111" s="259">
        <f>SUM(I111:AA111)</f>
        <v>100</v>
      </c>
      <c r="AD111" s="101"/>
      <c r="AE111" s="101"/>
      <c r="AF111" s="101"/>
      <c r="AG111" s="103" t="s">
        <v>127</v>
      </c>
      <c r="AH111" s="222" t="s">
        <v>2547</v>
      </c>
      <c r="AI111" s="222" t="s">
        <v>2546</v>
      </c>
      <c r="AJ111" s="222" t="s">
        <v>2548</v>
      </c>
      <c r="AK111" s="99" t="s">
        <v>2550</v>
      </c>
      <c r="AL111" s="103">
        <f>(B111-DATE(1970,1,1))*86400</f>
        <v>1769990400</v>
      </c>
      <c r="AM111" s="103">
        <f>(C111-DATE(1970,1,1))*86400</f>
        <v>1770681600</v>
      </c>
      <c r="AN111" s="103">
        <f>AVERAGE(AL111:AM111)</f>
        <v>1770336000</v>
      </c>
    </row>
    <row r="112" spans="1:64" x14ac:dyDescent="0.2">
      <c r="A112" s="296" t="s">
        <v>133</v>
      </c>
      <c r="B112" s="580">
        <v>46055</v>
      </c>
      <c r="C112" s="580">
        <v>46063</v>
      </c>
      <c r="D112" s="99" t="s">
        <v>276</v>
      </c>
      <c r="E112" s="326" t="s">
        <v>125</v>
      </c>
      <c r="F112" s="99"/>
      <c r="G112" s="99" t="s">
        <v>126</v>
      </c>
      <c r="H112" s="326">
        <v>1000</v>
      </c>
      <c r="I112" s="101">
        <v>39</v>
      </c>
      <c r="J112" s="101"/>
      <c r="K112" s="101"/>
      <c r="L112" s="101"/>
      <c r="M112" s="101">
        <v>2</v>
      </c>
      <c r="N112" s="101"/>
      <c r="O112" s="101"/>
      <c r="P112" s="101"/>
      <c r="Q112" s="101"/>
      <c r="R112" s="101"/>
      <c r="S112" s="101"/>
      <c r="T112" s="101"/>
      <c r="U112" s="101"/>
      <c r="V112" s="101">
        <v>5</v>
      </c>
      <c r="W112" s="101"/>
      <c r="X112" s="101">
        <v>8</v>
      </c>
      <c r="Y112" s="101">
        <v>46</v>
      </c>
      <c r="Z112" s="101">
        <v>1</v>
      </c>
      <c r="AA112" s="101">
        <v>0</v>
      </c>
      <c r="AB112" s="102">
        <f>100/(SUM(I112:Z112))</f>
        <v>0.99009900990099009</v>
      </c>
      <c r="AC112" s="259">
        <f>SUM(I112:AA112)</f>
        <v>101</v>
      </c>
      <c r="AD112" s="101"/>
      <c r="AE112" s="101"/>
      <c r="AF112" s="101"/>
      <c r="AG112" s="103" t="s">
        <v>127</v>
      </c>
      <c r="AH112" s="222" t="s">
        <v>2547</v>
      </c>
      <c r="AI112" s="222" t="s">
        <v>2546</v>
      </c>
      <c r="AJ112" s="222" t="s">
        <v>2548</v>
      </c>
      <c r="AK112" s="99"/>
      <c r="AL112" s="103">
        <f>(B112-DATE(1970,1,1))*86400</f>
        <v>1769990400</v>
      </c>
      <c r="AM112" s="103">
        <f>(C112-DATE(1970,1,1))*86400</f>
        <v>1770681600</v>
      </c>
      <c r="AN112" s="103">
        <f>AVERAGE(AL112:AM112)</f>
        <v>1770336000</v>
      </c>
    </row>
    <row r="113" spans="1:40" x14ac:dyDescent="0.2">
      <c r="A113" s="296" t="s">
        <v>123</v>
      </c>
      <c r="B113" s="580">
        <v>46055</v>
      </c>
      <c r="C113" s="580">
        <v>46063</v>
      </c>
      <c r="D113" s="99" t="s">
        <v>276</v>
      </c>
      <c r="E113" s="326" t="s">
        <v>125</v>
      </c>
      <c r="F113" s="99"/>
      <c r="G113" s="99" t="s">
        <v>126</v>
      </c>
      <c r="H113" s="326">
        <v>1000</v>
      </c>
      <c r="I113" s="101">
        <v>37</v>
      </c>
      <c r="J113" s="101"/>
      <c r="K113" s="101"/>
      <c r="L113" s="101"/>
      <c r="M113" s="101">
        <v>2</v>
      </c>
      <c r="N113" s="101"/>
      <c r="O113" s="101"/>
      <c r="P113" s="101"/>
      <c r="Q113" s="101"/>
      <c r="R113" s="101"/>
      <c r="S113" s="101"/>
      <c r="T113" s="101"/>
      <c r="U113" s="101"/>
      <c r="V113" s="101">
        <v>5</v>
      </c>
      <c r="W113" s="101"/>
      <c r="X113" s="101">
        <v>6</v>
      </c>
      <c r="Y113" s="101">
        <v>50</v>
      </c>
      <c r="Z113" s="101">
        <v>0</v>
      </c>
      <c r="AA113" s="103">
        <v>0</v>
      </c>
      <c r="AB113" s="102">
        <f>100/(SUM(I113:Z113))</f>
        <v>1</v>
      </c>
      <c r="AC113" s="259">
        <f>SUM(I113:AA113)</f>
        <v>100</v>
      </c>
      <c r="AD113" s="101"/>
      <c r="AE113" s="101"/>
      <c r="AF113" s="101"/>
      <c r="AG113" s="103" t="s">
        <v>127</v>
      </c>
      <c r="AH113" s="222" t="s">
        <v>2547</v>
      </c>
      <c r="AI113" s="222" t="s">
        <v>2546</v>
      </c>
      <c r="AJ113" s="222" t="s">
        <v>2548</v>
      </c>
      <c r="AK113" s="99"/>
      <c r="AL113" s="103">
        <f>(B113-DATE(1970,1,1))*86400</f>
        <v>1769990400</v>
      </c>
      <c r="AM113" s="103">
        <f>(C113-DATE(1970,1,1))*86400</f>
        <v>1770681600</v>
      </c>
      <c r="AN113" s="103">
        <f>AVERAGE(AL113:AM113)</f>
        <v>1770336000</v>
      </c>
    </row>
    <row r="114" spans="1:40" x14ac:dyDescent="0.2">
      <c r="A114" s="406" t="s">
        <v>123</v>
      </c>
      <c r="B114" s="407">
        <v>46055</v>
      </c>
      <c r="C114" s="407">
        <v>46058</v>
      </c>
      <c r="D114" s="408" t="s">
        <v>227</v>
      </c>
      <c r="E114" s="409" t="s">
        <v>125</v>
      </c>
      <c r="F114" s="408"/>
      <c r="G114" s="408" t="s">
        <v>126</v>
      </c>
      <c r="H114" s="410">
        <v>1000</v>
      </c>
      <c r="I114" s="411">
        <v>49</v>
      </c>
      <c r="J114" s="411"/>
      <c r="K114" s="411"/>
      <c r="L114" s="411"/>
      <c r="M114" s="411">
        <v>2</v>
      </c>
      <c r="N114" s="411"/>
      <c r="O114" s="411"/>
      <c r="P114" s="411"/>
      <c r="Q114" s="411"/>
      <c r="R114" s="411"/>
      <c r="S114" s="411"/>
      <c r="T114" s="411"/>
      <c r="U114" s="411"/>
      <c r="V114" s="411">
        <v>2</v>
      </c>
      <c r="W114" s="411"/>
      <c r="X114" s="411">
        <v>5</v>
      </c>
      <c r="Y114" s="411">
        <v>42</v>
      </c>
      <c r="Z114" s="411"/>
      <c r="AA114" s="411">
        <v>0</v>
      </c>
      <c r="AB114" s="412">
        <f>100/(SUM(I114:Z114))</f>
        <v>1</v>
      </c>
      <c r="AC114" s="413">
        <f>SUM(I114:AA114)</f>
        <v>100</v>
      </c>
      <c r="AD114" s="411"/>
      <c r="AE114" s="411"/>
      <c r="AF114" s="411"/>
      <c r="AG114" s="414" t="s">
        <v>127</v>
      </c>
      <c r="AH114" s="418" t="s">
        <v>2541</v>
      </c>
      <c r="AI114" s="415"/>
      <c r="AJ114" s="415"/>
      <c r="AK114" s="408"/>
      <c r="AL114" s="414">
        <f>(B114-DATE(1970,1,1))*86400</f>
        <v>1769990400</v>
      </c>
      <c r="AM114" s="414">
        <f>(C114-DATE(1970,1,1))*86400</f>
        <v>1770249600</v>
      </c>
      <c r="AN114" s="414">
        <f>AVERAGE(AL114:AM114)</f>
        <v>1770120000</v>
      </c>
    </row>
    <row r="115" spans="1:40" x14ac:dyDescent="0.2">
      <c r="A115" s="284" t="s">
        <v>133</v>
      </c>
      <c r="B115" s="20">
        <v>46053</v>
      </c>
      <c r="C115" s="20">
        <v>46059</v>
      </c>
      <c r="D115" s="19" t="s">
        <v>134</v>
      </c>
      <c r="E115" s="332" t="s">
        <v>125</v>
      </c>
      <c r="F115" s="19"/>
      <c r="G115" s="19" t="s">
        <v>135</v>
      </c>
      <c r="H115" s="332">
        <v>1500</v>
      </c>
      <c r="I115" s="21">
        <v>28</v>
      </c>
      <c r="J115" s="21">
        <v>0</v>
      </c>
      <c r="K115" s="21">
        <v>0</v>
      </c>
      <c r="L115" s="21">
        <v>0</v>
      </c>
      <c r="M115" s="21">
        <v>4</v>
      </c>
      <c r="N115" s="21"/>
      <c r="O115" s="21">
        <v>0</v>
      </c>
      <c r="P115" s="21">
        <v>0</v>
      </c>
      <c r="Q115" s="21"/>
      <c r="R115" s="22"/>
      <c r="S115" s="21">
        <v>0</v>
      </c>
      <c r="T115" s="21">
        <v>0</v>
      </c>
      <c r="U115" s="21"/>
      <c r="V115" s="21">
        <v>3</v>
      </c>
      <c r="W115" s="21">
        <v>0</v>
      </c>
      <c r="X115" s="21">
        <v>4</v>
      </c>
      <c r="Y115" s="21">
        <v>36</v>
      </c>
      <c r="Z115" s="21">
        <v>1</v>
      </c>
      <c r="AA115" s="21">
        <v>24</v>
      </c>
      <c r="AB115" s="23">
        <f>100/(SUM(I115:Z115))</f>
        <v>1.3157894736842106</v>
      </c>
      <c r="AC115" s="259">
        <f>SUM(I115:AA115)</f>
        <v>100</v>
      </c>
      <c r="AD115" s="21"/>
      <c r="AE115" s="24"/>
      <c r="AF115" s="24"/>
      <c r="AG115" s="25" t="s">
        <v>136</v>
      </c>
      <c r="AH115" s="219" t="s">
        <v>2473</v>
      </c>
      <c r="AI115" s="26" t="s">
        <v>2471</v>
      </c>
      <c r="AJ115" s="219" t="s">
        <v>2472</v>
      </c>
      <c r="AK115" s="19"/>
      <c r="AL115" s="25">
        <f>(B115-DATE(1970,1,1))*86400</f>
        <v>1769817600</v>
      </c>
      <c r="AM115" s="25">
        <f>(C115-DATE(1970,1,1))*86400</f>
        <v>1770336000</v>
      </c>
      <c r="AN115" s="25">
        <f>AVERAGE(AL115:AM115)</f>
        <v>1770076800</v>
      </c>
    </row>
    <row r="116" spans="1:40" x14ac:dyDescent="0.2">
      <c r="A116" s="284" t="s">
        <v>123</v>
      </c>
      <c r="B116" s="20">
        <v>46053</v>
      </c>
      <c r="C116" s="20">
        <v>46059</v>
      </c>
      <c r="D116" s="19" t="s">
        <v>134</v>
      </c>
      <c r="E116" s="332" t="s">
        <v>125</v>
      </c>
      <c r="F116" s="19"/>
      <c r="G116" s="19" t="s">
        <v>135</v>
      </c>
      <c r="H116" s="332">
        <v>1500</v>
      </c>
      <c r="I116" s="21">
        <v>38</v>
      </c>
      <c r="J116" s="21">
        <v>0</v>
      </c>
      <c r="K116" s="21">
        <v>0</v>
      </c>
      <c r="L116" s="21">
        <v>0</v>
      </c>
      <c r="M116" s="21">
        <v>5</v>
      </c>
      <c r="N116" s="21"/>
      <c r="O116" s="21">
        <v>0</v>
      </c>
      <c r="P116" s="21">
        <v>0</v>
      </c>
      <c r="Q116" s="21"/>
      <c r="R116" s="22"/>
      <c r="S116" s="21">
        <v>0</v>
      </c>
      <c r="T116" s="21">
        <v>0</v>
      </c>
      <c r="U116" s="21"/>
      <c r="V116" s="21">
        <v>3</v>
      </c>
      <c r="W116" s="21">
        <v>0</v>
      </c>
      <c r="X116" s="21">
        <v>5</v>
      </c>
      <c r="Y116" s="21">
        <v>48</v>
      </c>
      <c r="Z116" s="21">
        <v>1</v>
      </c>
      <c r="AA116" s="21">
        <v>0</v>
      </c>
      <c r="AB116" s="23">
        <f>100/(SUM(I116:Z116))</f>
        <v>1</v>
      </c>
      <c r="AC116" s="259">
        <f>SUM(I116:AA116)</f>
        <v>100</v>
      </c>
      <c r="AD116" s="24"/>
      <c r="AE116" s="24"/>
      <c r="AF116" s="24"/>
      <c r="AG116" s="25" t="s">
        <v>136</v>
      </c>
      <c r="AH116" s="219" t="s">
        <v>2473</v>
      </c>
      <c r="AI116" s="26" t="s">
        <v>2471</v>
      </c>
      <c r="AJ116" s="219" t="s">
        <v>2472</v>
      </c>
      <c r="AK116" s="19" t="s">
        <v>2468</v>
      </c>
      <c r="AL116" s="25">
        <f>(B116-DATE(1970,1,1))*86400</f>
        <v>1769817600</v>
      </c>
      <c r="AM116" s="25">
        <f>(C116-DATE(1970,1,1))*86400</f>
        <v>1770336000</v>
      </c>
      <c r="AN116" s="25">
        <f>AVERAGE(AL116:AM116)</f>
        <v>1770076800</v>
      </c>
    </row>
    <row r="117" spans="1:40" x14ac:dyDescent="0.2">
      <c r="A117" s="403" t="s">
        <v>133</v>
      </c>
      <c r="B117" s="14">
        <v>46055</v>
      </c>
      <c r="C117" s="14">
        <v>46056</v>
      </c>
      <c r="D117" s="13" t="s">
        <v>124</v>
      </c>
      <c r="E117" s="324" t="s">
        <v>125</v>
      </c>
      <c r="F117" s="13" t="s">
        <v>140</v>
      </c>
      <c r="G117" s="13" t="s">
        <v>126</v>
      </c>
      <c r="H117" s="349">
        <v>1000</v>
      </c>
      <c r="I117" s="15"/>
      <c r="J117" s="15"/>
      <c r="K117" s="15"/>
      <c r="L117" s="15"/>
      <c r="M117" s="15"/>
      <c r="N117" s="15"/>
      <c r="O117" s="15"/>
      <c r="P117" s="15"/>
      <c r="Q117" s="15"/>
      <c r="R117" s="15"/>
      <c r="S117" s="15"/>
      <c r="T117" s="15"/>
      <c r="U117" s="15"/>
      <c r="V117" s="15"/>
      <c r="W117" s="15"/>
      <c r="X117" s="15"/>
      <c r="Y117" s="15"/>
      <c r="Z117" s="98"/>
      <c r="AA117" s="98"/>
      <c r="AB117" s="16" t="e">
        <f>100/(SUM(I117:Z117))</f>
        <v>#DIV/0!</v>
      </c>
      <c r="AC117" s="259">
        <f>SUM(I117:AA117)</f>
        <v>0</v>
      </c>
      <c r="AD117" s="15"/>
      <c r="AE117" s="15"/>
      <c r="AF117" s="15"/>
      <c r="AG117" s="17" t="s">
        <v>2450</v>
      </c>
      <c r="AH117" s="201"/>
      <c r="AI117" s="201"/>
      <c r="AJ117" s="201" t="s">
        <v>2451</v>
      </c>
      <c r="AK117" s="13"/>
      <c r="AL117" s="17">
        <f>(B117-DATE(1970,1,1))*86400</f>
        <v>1769990400</v>
      </c>
      <c r="AM117" s="17">
        <f>(C117-DATE(1970,1,1))*86400</f>
        <v>1770076800</v>
      </c>
      <c r="AN117" s="17">
        <f>AVERAGE(AL117:AM117)</f>
        <v>1770033600</v>
      </c>
    </row>
    <row r="118" spans="1:40" x14ac:dyDescent="0.2">
      <c r="A118" s="281" t="s">
        <v>133</v>
      </c>
      <c r="B118" s="240">
        <v>46052</v>
      </c>
      <c r="C118" s="240">
        <v>46056</v>
      </c>
      <c r="D118" s="53" t="s">
        <v>154</v>
      </c>
      <c r="E118" s="323" t="s">
        <v>125</v>
      </c>
      <c r="F118" s="53" t="s">
        <v>2483</v>
      </c>
      <c r="G118" s="53" t="s">
        <v>126</v>
      </c>
      <c r="H118" s="351">
        <v>1000</v>
      </c>
      <c r="I118" s="55">
        <v>34</v>
      </c>
      <c r="J118" s="55">
        <v>0</v>
      </c>
      <c r="K118" s="55">
        <v>0</v>
      </c>
      <c r="L118" s="55">
        <v>0</v>
      </c>
      <c r="M118" s="55">
        <v>4</v>
      </c>
      <c r="N118" s="55"/>
      <c r="O118" s="55">
        <v>0</v>
      </c>
      <c r="P118" s="547">
        <v>0</v>
      </c>
      <c r="Q118" s="55"/>
      <c r="R118" s="56"/>
      <c r="S118" s="547">
        <v>0</v>
      </c>
      <c r="T118" s="55"/>
      <c r="U118" s="547">
        <v>0</v>
      </c>
      <c r="V118" s="55">
        <v>1</v>
      </c>
      <c r="W118" s="55"/>
      <c r="X118" s="55">
        <v>2</v>
      </c>
      <c r="Y118" s="55">
        <v>36</v>
      </c>
      <c r="Z118" s="547">
        <v>0</v>
      </c>
      <c r="AA118" s="547">
        <v>24</v>
      </c>
      <c r="AB118" s="57">
        <f>100/(SUM(I118:Z118))</f>
        <v>1.2987012987012987</v>
      </c>
      <c r="AC118" s="259">
        <f>SUM(I118:AA118)</f>
        <v>101</v>
      </c>
      <c r="AD118" s="55">
        <v>80</v>
      </c>
      <c r="AE118" s="55"/>
      <c r="AF118" s="55"/>
      <c r="AG118" s="58"/>
      <c r="AH118" s="186" t="s">
        <v>2461</v>
      </c>
      <c r="AI118" s="186" t="s">
        <v>2462</v>
      </c>
      <c r="AJ118" s="186" t="s">
        <v>2464</v>
      </c>
      <c r="AK118" s="53" t="s">
        <v>2479</v>
      </c>
      <c r="AL118" s="58">
        <f>(B118-DATE(1970,1,1))*86400</f>
        <v>1769731200</v>
      </c>
      <c r="AM118" s="58">
        <f>(C118-DATE(1970,1,1))*86400</f>
        <v>1770076800</v>
      </c>
      <c r="AN118" s="58">
        <f>AVERAGE(AL118:AM118)</f>
        <v>1769904000</v>
      </c>
    </row>
    <row r="119" spans="1:40" x14ac:dyDescent="0.2">
      <c r="A119" s="281" t="s">
        <v>123</v>
      </c>
      <c r="B119" s="240">
        <v>46052</v>
      </c>
      <c r="C119" s="240">
        <v>46056</v>
      </c>
      <c r="D119" s="53" t="s">
        <v>154</v>
      </c>
      <c r="E119" s="323" t="s">
        <v>125</v>
      </c>
      <c r="F119" s="53" t="s">
        <v>2483</v>
      </c>
      <c r="G119" s="53" t="s">
        <v>126</v>
      </c>
      <c r="H119" s="351">
        <v>1000</v>
      </c>
      <c r="I119" s="55">
        <v>38</v>
      </c>
      <c r="J119" s="55">
        <v>0</v>
      </c>
      <c r="K119" s="55">
        <v>0</v>
      </c>
      <c r="L119" s="55">
        <v>0</v>
      </c>
      <c r="M119" s="55">
        <v>4</v>
      </c>
      <c r="N119" s="55"/>
      <c r="O119" s="55">
        <v>0</v>
      </c>
      <c r="P119" s="547">
        <v>0</v>
      </c>
      <c r="Q119" s="55"/>
      <c r="R119" s="56"/>
      <c r="S119" s="547">
        <v>0</v>
      </c>
      <c r="T119" s="55"/>
      <c r="U119" s="547">
        <v>0</v>
      </c>
      <c r="V119" s="55">
        <v>0</v>
      </c>
      <c r="W119" s="55"/>
      <c r="X119" s="55">
        <v>2</v>
      </c>
      <c r="Y119" s="55">
        <v>40</v>
      </c>
      <c r="Z119" s="547">
        <v>0</v>
      </c>
      <c r="AA119" s="547">
        <v>16</v>
      </c>
      <c r="AB119" s="57">
        <f>100/(SUM(I119:Z119))</f>
        <v>1.1904761904761905</v>
      </c>
      <c r="AC119" s="259">
        <f>SUM(I119:AA119)</f>
        <v>100</v>
      </c>
      <c r="AD119" s="55"/>
      <c r="AE119" s="55"/>
      <c r="AF119" s="55"/>
      <c r="AG119" s="58"/>
      <c r="AH119" s="186" t="s">
        <v>2461</v>
      </c>
      <c r="AI119" s="186" t="s">
        <v>2462</v>
      </c>
      <c r="AJ119" s="186"/>
      <c r="AK119" s="53"/>
      <c r="AL119" s="58">
        <f>(B119-DATE(1970,1,1))*86400</f>
        <v>1769731200</v>
      </c>
      <c r="AM119" s="58">
        <f>(C119-DATE(1970,1,1))*86400</f>
        <v>1770076800</v>
      </c>
      <c r="AN119" s="58">
        <f>AVERAGE(AL119:AM119)</f>
        <v>1769904000</v>
      </c>
    </row>
    <row r="120" spans="1:40" x14ac:dyDescent="0.2">
      <c r="A120" s="281" t="s">
        <v>123</v>
      </c>
      <c r="B120" s="240">
        <v>46052</v>
      </c>
      <c r="C120" s="240">
        <v>46056</v>
      </c>
      <c r="D120" s="53" t="s">
        <v>154</v>
      </c>
      <c r="E120" s="323" t="s">
        <v>125</v>
      </c>
      <c r="F120" s="53" t="s">
        <v>2483</v>
      </c>
      <c r="G120" s="53" t="s">
        <v>126</v>
      </c>
      <c r="H120" s="351">
        <v>1000</v>
      </c>
      <c r="I120" s="55">
        <v>42</v>
      </c>
      <c r="J120" s="55">
        <v>0</v>
      </c>
      <c r="K120" s="55">
        <v>0</v>
      </c>
      <c r="L120" s="55">
        <v>0</v>
      </c>
      <c r="M120" s="55">
        <v>5</v>
      </c>
      <c r="N120" s="55"/>
      <c r="O120" s="55">
        <v>0</v>
      </c>
      <c r="P120" s="547">
        <v>0</v>
      </c>
      <c r="Q120" s="55"/>
      <c r="R120" s="56"/>
      <c r="S120" s="547">
        <v>0</v>
      </c>
      <c r="T120" s="55"/>
      <c r="U120" s="547">
        <v>0</v>
      </c>
      <c r="V120" s="55">
        <v>1</v>
      </c>
      <c r="W120" s="55"/>
      <c r="X120" s="55">
        <v>3</v>
      </c>
      <c r="Y120" s="55">
        <v>48</v>
      </c>
      <c r="Z120" s="547">
        <v>0</v>
      </c>
      <c r="AA120" s="547">
        <v>0</v>
      </c>
      <c r="AB120" s="57">
        <f>100/(SUM(I120:Z120))</f>
        <v>1.0101010101010102</v>
      </c>
      <c r="AC120" s="259">
        <f>SUM(I120:AA120)</f>
        <v>99</v>
      </c>
      <c r="AD120" s="55"/>
      <c r="AE120" s="55"/>
      <c r="AF120" s="55"/>
      <c r="AG120" s="58"/>
      <c r="AH120" s="186" t="s">
        <v>2461</v>
      </c>
      <c r="AI120" s="186" t="s">
        <v>2462</v>
      </c>
      <c r="AJ120" s="186"/>
      <c r="AK120" s="53"/>
      <c r="AL120" s="58">
        <f>(B120-DATE(1970,1,1))*86400</f>
        <v>1769731200</v>
      </c>
      <c r="AM120" s="58">
        <f>(C120-DATE(1970,1,1))*86400</f>
        <v>1770076800</v>
      </c>
      <c r="AN120" s="58">
        <f>AVERAGE(AL120:AM120)</f>
        <v>1769904000</v>
      </c>
    </row>
    <row r="121" spans="1:40" x14ac:dyDescent="0.2">
      <c r="A121" s="287" t="s">
        <v>133</v>
      </c>
      <c r="B121" s="187">
        <v>46052</v>
      </c>
      <c r="C121" s="187">
        <v>46055</v>
      </c>
      <c r="D121" s="69" t="s">
        <v>183</v>
      </c>
      <c r="E121" s="333" t="s">
        <v>125</v>
      </c>
      <c r="F121" s="69" t="s">
        <v>2483</v>
      </c>
      <c r="G121" s="188" t="s">
        <v>126</v>
      </c>
      <c r="H121" s="354">
        <v>800</v>
      </c>
      <c r="I121" s="71">
        <v>31</v>
      </c>
      <c r="J121" s="71"/>
      <c r="K121" s="71"/>
      <c r="L121" s="71"/>
      <c r="M121" s="71">
        <v>15</v>
      </c>
      <c r="N121" s="71"/>
      <c r="O121" s="71"/>
      <c r="P121" s="71"/>
      <c r="Q121" s="71"/>
      <c r="R121" s="72"/>
      <c r="S121" s="71"/>
      <c r="T121" s="71"/>
      <c r="U121" s="71"/>
      <c r="V121" s="71">
        <v>0</v>
      </c>
      <c r="W121" s="71"/>
      <c r="X121" s="71">
        <v>3</v>
      </c>
      <c r="Y121" s="71">
        <v>37</v>
      </c>
      <c r="Z121" s="71">
        <v>1</v>
      </c>
      <c r="AA121" s="71">
        <v>14</v>
      </c>
      <c r="AB121" s="73">
        <f>100/(SUM(I121:Z121))</f>
        <v>1.1494252873563218</v>
      </c>
      <c r="AC121" s="259">
        <f>SUM(I121:AA121)</f>
        <v>101</v>
      </c>
      <c r="AD121" s="71"/>
      <c r="AE121" s="71"/>
      <c r="AF121" s="71"/>
      <c r="AG121" s="74" t="s">
        <v>2447</v>
      </c>
      <c r="AH121" s="199" t="s">
        <v>2448</v>
      </c>
      <c r="AI121" s="199" t="s">
        <v>2464</v>
      </c>
      <c r="AJ121" s="199"/>
      <c r="AK121" s="69" t="s">
        <v>2449</v>
      </c>
      <c r="AL121" s="74">
        <f>(B121-DATE(1970,1,1))*86400</f>
        <v>1769731200</v>
      </c>
      <c r="AM121" s="74">
        <f>(C121-DATE(1970,1,1))*86400</f>
        <v>1769990400</v>
      </c>
      <c r="AN121" s="74">
        <f>AVERAGE(AL121:AM121)</f>
        <v>1769860800</v>
      </c>
    </row>
    <row r="122" spans="1:40" x14ac:dyDescent="0.2">
      <c r="A122" s="287" t="s">
        <v>133</v>
      </c>
      <c r="B122" s="187">
        <v>46052</v>
      </c>
      <c r="C122" s="187">
        <v>46055</v>
      </c>
      <c r="D122" s="69" t="s">
        <v>183</v>
      </c>
      <c r="E122" s="333" t="s">
        <v>125</v>
      </c>
      <c r="F122" s="69" t="s">
        <v>2483</v>
      </c>
      <c r="G122" s="188" t="s">
        <v>126</v>
      </c>
      <c r="H122" s="354">
        <v>800</v>
      </c>
      <c r="I122" s="71">
        <v>35</v>
      </c>
      <c r="J122" s="71"/>
      <c r="K122" s="71"/>
      <c r="L122" s="71"/>
      <c r="M122" s="71">
        <v>2</v>
      </c>
      <c r="N122" s="71"/>
      <c r="O122" s="71"/>
      <c r="P122" s="71"/>
      <c r="Q122" s="71"/>
      <c r="R122" s="72"/>
      <c r="S122" s="71"/>
      <c r="T122" s="71"/>
      <c r="U122" s="71"/>
      <c r="V122" s="71">
        <v>3</v>
      </c>
      <c r="W122" s="71"/>
      <c r="X122" s="71">
        <v>1</v>
      </c>
      <c r="Y122" s="71">
        <v>44</v>
      </c>
      <c r="Z122" s="71">
        <v>0</v>
      </c>
      <c r="AA122" s="71">
        <v>14</v>
      </c>
      <c r="AB122" s="73">
        <f>100/(SUM(I122:Z122))</f>
        <v>1.1764705882352942</v>
      </c>
      <c r="AC122" s="259">
        <f>SUM(I122:AA122)</f>
        <v>99</v>
      </c>
      <c r="AD122" s="71"/>
      <c r="AE122" s="71"/>
      <c r="AF122" s="71"/>
      <c r="AG122" s="74" t="s">
        <v>2447</v>
      </c>
      <c r="AH122" s="199" t="s">
        <v>2448</v>
      </c>
      <c r="AI122" s="199"/>
      <c r="AJ122" s="199"/>
      <c r="AK122" s="69"/>
      <c r="AL122" s="74">
        <f>(B122-DATE(1970,1,1))*86400</f>
        <v>1769731200</v>
      </c>
      <c r="AM122" s="74">
        <f>(C122-DATE(1970,1,1))*86400</f>
        <v>1769990400</v>
      </c>
      <c r="AN122" s="74">
        <f>AVERAGE(AL122:AM122)</f>
        <v>1769860800</v>
      </c>
    </row>
    <row r="123" spans="1:40" x14ac:dyDescent="0.2">
      <c r="A123" s="287" t="s">
        <v>133</v>
      </c>
      <c r="B123" s="187">
        <v>46052</v>
      </c>
      <c r="C123" s="187">
        <v>46055</v>
      </c>
      <c r="D123" s="69" t="s">
        <v>183</v>
      </c>
      <c r="E123" s="400">
        <v>1</v>
      </c>
      <c r="F123" s="69" t="s">
        <v>2483</v>
      </c>
      <c r="G123" s="188" t="s">
        <v>126</v>
      </c>
      <c r="H123" s="354">
        <v>800</v>
      </c>
      <c r="I123" s="71">
        <v>41</v>
      </c>
      <c r="J123" s="71"/>
      <c r="K123" s="71"/>
      <c r="L123" s="71"/>
      <c r="M123" s="71">
        <v>2</v>
      </c>
      <c r="N123" s="71"/>
      <c r="O123" s="71"/>
      <c r="P123" s="71"/>
      <c r="Q123" s="71"/>
      <c r="R123" s="72"/>
      <c r="S123" s="71"/>
      <c r="T123" s="71"/>
      <c r="U123" s="71"/>
      <c r="V123" s="71">
        <v>4</v>
      </c>
      <c r="W123" s="71"/>
      <c r="X123" s="71">
        <v>2</v>
      </c>
      <c r="Y123" s="71">
        <v>52</v>
      </c>
      <c r="Z123" s="71">
        <v>0</v>
      </c>
      <c r="AA123" s="71">
        <v>0</v>
      </c>
      <c r="AB123" s="73">
        <f>100/(SUM(I123:Z123))</f>
        <v>0.99009900990099009</v>
      </c>
      <c r="AC123" s="259">
        <f>SUM(I123:AA123)</f>
        <v>101</v>
      </c>
      <c r="AD123" s="71"/>
      <c r="AE123" s="71"/>
      <c r="AF123" s="71"/>
      <c r="AG123" s="74" t="s">
        <v>2447</v>
      </c>
      <c r="AH123" s="199" t="s">
        <v>2448</v>
      </c>
      <c r="AI123" s="199"/>
      <c r="AJ123" s="199"/>
      <c r="AK123" s="69" t="s">
        <v>138</v>
      </c>
      <c r="AL123" s="74">
        <f>(B123-DATE(1970,1,1))*86400</f>
        <v>1769731200</v>
      </c>
      <c r="AM123" s="74">
        <f>(C123-DATE(1970,1,1))*86400</f>
        <v>1769990400</v>
      </c>
      <c r="AN123" s="74">
        <f>AVERAGE(AL123:AM123)</f>
        <v>1769860800</v>
      </c>
    </row>
    <row r="124" spans="1:40" x14ac:dyDescent="0.2">
      <c r="A124" s="287" t="s">
        <v>123</v>
      </c>
      <c r="B124" s="187">
        <v>46052</v>
      </c>
      <c r="C124" s="187">
        <v>46055</v>
      </c>
      <c r="D124" s="69" t="s">
        <v>183</v>
      </c>
      <c r="E124" s="400">
        <v>1</v>
      </c>
      <c r="F124" s="69" t="s">
        <v>2483</v>
      </c>
      <c r="G124" s="188" t="s">
        <v>126</v>
      </c>
      <c r="H124" s="354">
        <v>800</v>
      </c>
      <c r="I124" s="71">
        <v>40</v>
      </c>
      <c r="J124" s="71"/>
      <c r="K124" s="71"/>
      <c r="L124" s="71"/>
      <c r="M124" s="71">
        <v>2</v>
      </c>
      <c r="N124" s="71"/>
      <c r="O124" s="71"/>
      <c r="P124" s="71"/>
      <c r="Q124" s="71"/>
      <c r="R124" s="72"/>
      <c r="S124" s="71"/>
      <c r="T124" s="71"/>
      <c r="U124" s="71"/>
      <c r="V124" s="71">
        <v>3</v>
      </c>
      <c r="W124" s="71"/>
      <c r="X124" s="71">
        <v>2</v>
      </c>
      <c r="Y124" s="71">
        <v>53</v>
      </c>
      <c r="Z124" s="71">
        <v>0</v>
      </c>
      <c r="AA124" s="71">
        <v>0</v>
      </c>
      <c r="AB124" s="73">
        <f>100/(SUM(I124:Z124))</f>
        <v>1</v>
      </c>
      <c r="AC124" s="259">
        <f>SUM(I124:AA124)</f>
        <v>100</v>
      </c>
      <c r="AD124" s="71"/>
      <c r="AE124" s="71"/>
      <c r="AF124" s="71"/>
      <c r="AG124" s="74" t="s">
        <v>2447</v>
      </c>
      <c r="AH124" s="199" t="s">
        <v>2448</v>
      </c>
      <c r="AI124" s="199"/>
      <c r="AJ124" s="199"/>
      <c r="AK124" s="69" t="s">
        <v>138</v>
      </c>
      <c r="AL124" s="74">
        <f>(B124-DATE(1970,1,1))*86400</f>
        <v>1769731200</v>
      </c>
      <c r="AM124" s="74">
        <f>(C124-DATE(1970,1,1))*86400</f>
        <v>1769990400</v>
      </c>
      <c r="AN124" s="74">
        <f>AVERAGE(AL124:AM124)</f>
        <v>1769860800</v>
      </c>
    </row>
    <row r="125" spans="1:40" x14ac:dyDescent="0.2">
      <c r="A125" s="287" t="s">
        <v>133</v>
      </c>
      <c r="B125" s="187">
        <v>46050</v>
      </c>
      <c r="C125" s="187">
        <v>46055</v>
      </c>
      <c r="D125" s="69" t="s">
        <v>183</v>
      </c>
      <c r="E125" s="333" t="s">
        <v>125</v>
      </c>
      <c r="F125" s="69"/>
      <c r="G125" s="188" t="s">
        <v>597</v>
      </c>
      <c r="H125" s="354">
        <v>1000</v>
      </c>
      <c r="I125" s="71">
        <v>28</v>
      </c>
      <c r="J125" s="71"/>
      <c r="K125" s="71"/>
      <c r="L125" s="71"/>
      <c r="M125" s="71">
        <v>2</v>
      </c>
      <c r="N125" s="71"/>
      <c r="O125" s="71"/>
      <c r="P125" s="71"/>
      <c r="Q125" s="71"/>
      <c r="R125" s="72"/>
      <c r="S125" s="71"/>
      <c r="T125" s="71"/>
      <c r="U125" s="71"/>
      <c r="V125" s="71">
        <v>2</v>
      </c>
      <c r="W125" s="71"/>
      <c r="X125" s="71">
        <v>5</v>
      </c>
      <c r="Y125" s="71">
        <v>35</v>
      </c>
      <c r="Z125" s="71">
        <v>1</v>
      </c>
      <c r="AA125" s="71">
        <v>27</v>
      </c>
      <c r="AB125" s="73">
        <f>100/(SUM(I125:Z125))</f>
        <v>1.3698630136986301</v>
      </c>
      <c r="AC125" s="259">
        <f>SUM(I125:AA125)</f>
        <v>100</v>
      </c>
      <c r="AD125" s="71"/>
      <c r="AE125" s="71"/>
      <c r="AF125" s="71"/>
      <c r="AG125" s="74" t="s">
        <v>2457</v>
      </c>
      <c r="AH125" s="199" t="s">
        <v>2434</v>
      </c>
      <c r="AI125" s="199" t="s">
        <v>2435</v>
      </c>
      <c r="AJ125" s="199" t="s">
        <v>2456</v>
      </c>
      <c r="AK125" s="69" t="s">
        <v>2470</v>
      </c>
      <c r="AL125" s="74">
        <f>(B125-DATE(1970,1,1))*86400</f>
        <v>1769558400</v>
      </c>
      <c r="AM125" s="74">
        <f>(C125-DATE(1970,1,1))*86400</f>
        <v>1769990400</v>
      </c>
      <c r="AN125" s="74">
        <f>AVERAGE(AL125:AM125)</f>
        <v>1769774400</v>
      </c>
    </row>
    <row r="126" spans="1:40" x14ac:dyDescent="0.2">
      <c r="A126" s="287" t="s">
        <v>133</v>
      </c>
      <c r="B126" s="187">
        <v>46050</v>
      </c>
      <c r="C126" s="187">
        <v>46055</v>
      </c>
      <c r="D126" s="69" t="s">
        <v>183</v>
      </c>
      <c r="E126" s="400">
        <v>1</v>
      </c>
      <c r="F126" s="69"/>
      <c r="G126" s="188" t="s">
        <v>597</v>
      </c>
      <c r="H126" s="354">
        <v>1000</v>
      </c>
      <c r="I126" s="71">
        <v>38</v>
      </c>
      <c r="J126" s="71"/>
      <c r="K126" s="71"/>
      <c r="L126" s="71"/>
      <c r="M126" s="71">
        <v>3</v>
      </c>
      <c r="N126" s="71"/>
      <c r="O126" s="71"/>
      <c r="P126" s="71"/>
      <c r="Q126" s="71"/>
      <c r="R126" s="72"/>
      <c r="S126" s="71"/>
      <c r="T126" s="71"/>
      <c r="U126" s="71"/>
      <c r="V126" s="71">
        <v>3</v>
      </c>
      <c r="W126" s="71"/>
      <c r="X126" s="71">
        <v>7</v>
      </c>
      <c r="Y126" s="71">
        <v>48</v>
      </c>
      <c r="Z126" s="71">
        <v>1</v>
      </c>
      <c r="AA126" s="71">
        <v>0</v>
      </c>
      <c r="AB126" s="73">
        <f>100/(SUM(I126:Z126))</f>
        <v>1</v>
      </c>
      <c r="AC126" s="259">
        <f>SUM(I126:AA126)</f>
        <v>100</v>
      </c>
      <c r="AD126" s="71"/>
      <c r="AE126" s="71"/>
      <c r="AF126" s="71"/>
      <c r="AG126" s="74" t="s">
        <v>2322</v>
      </c>
      <c r="AH126" s="199" t="s">
        <v>2434</v>
      </c>
      <c r="AI126" s="199" t="s">
        <v>2435</v>
      </c>
      <c r="AJ126" s="199"/>
      <c r="AK126" s="69" t="s">
        <v>2469</v>
      </c>
      <c r="AL126" s="74">
        <f>(B126-DATE(1970,1,1))*86400</f>
        <v>1769558400</v>
      </c>
      <c r="AM126" s="74">
        <f>(C126-DATE(1970,1,1))*86400</f>
        <v>1769990400</v>
      </c>
      <c r="AN126" s="74">
        <f>AVERAGE(AL126:AM126)</f>
        <v>1769774400</v>
      </c>
    </row>
    <row r="127" spans="1:40" ht="15.75" customHeight="1" x14ac:dyDescent="0.2">
      <c r="A127" s="287" t="s">
        <v>123</v>
      </c>
      <c r="B127" s="187">
        <v>46050</v>
      </c>
      <c r="C127" s="187">
        <v>46055</v>
      </c>
      <c r="D127" s="69" t="s">
        <v>183</v>
      </c>
      <c r="E127" s="400">
        <v>1</v>
      </c>
      <c r="F127" s="69"/>
      <c r="G127" s="188" t="s">
        <v>597</v>
      </c>
      <c r="H127" s="354">
        <v>1000</v>
      </c>
      <c r="I127" s="71">
        <v>37</v>
      </c>
      <c r="J127" s="71"/>
      <c r="K127" s="71"/>
      <c r="L127" s="71"/>
      <c r="M127" s="71">
        <v>3</v>
      </c>
      <c r="N127" s="71"/>
      <c r="O127" s="71"/>
      <c r="P127" s="71"/>
      <c r="Q127" s="71"/>
      <c r="R127" s="72"/>
      <c r="S127" s="71"/>
      <c r="T127" s="71"/>
      <c r="U127" s="71"/>
      <c r="V127" s="71">
        <v>2</v>
      </c>
      <c r="W127" s="71"/>
      <c r="X127" s="71">
        <v>5</v>
      </c>
      <c r="Y127" s="71">
        <v>53</v>
      </c>
      <c r="Z127" s="71">
        <v>0</v>
      </c>
      <c r="AA127" s="71">
        <v>0</v>
      </c>
      <c r="AB127" s="73">
        <f>100/(SUM(I127:Z127))</f>
        <v>1</v>
      </c>
      <c r="AC127" s="259">
        <f>SUM(I127:AA127)</f>
        <v>100</v>
      </c>
      <c r="AD127" s="71"/>
      <c r="AE127" s="71"/>
      <c r="AF127" s="71"/>
      <c r="AG127" s="74" t="s">
        <v>2322</v>
      </c>
      <c r="AH127" s="199" t="s">
        <v>2434</v>
      </c>
      <c r="AI127" s="199" t="s">
        <v>2435</v>
      </c>
      <c r="AJ127" s="199"/>
      <c r="AK127" s="69" t="s">
        <v>138</v>
      </c>
      <c r="AL127" s="74">
        <f>(B127-DATE(1970,1,1))*86400</f>
        <v>1769558400</v>
      </c>
      <c r="AM127" s="74">
        <f>(C127-DATE(1970,1,1))*86400</f>
        <v>1769990400</v>
      </c>
      <c r="AN127" s="74">
        <f>AVERAGE(AL127:AM127)</f>
        <v>1769774400</v>
      </c>
    </row>
    <row r="128" spans="1:40" ht="15.75" customHeight="1" x14ac:dyDescent="0.2">
      <c r="A128" s="280" t="s">
        <v>123</v>
      </c>
      <c r="B128" s="197">
        <v>46049</v>
      </c>
      <c r="C128" s="197">
        <v>46052</v>
      </c>
      <c r="D128" s="76" t="s">
        <v>2097</v>
      </c>
      <c r="E128" s="320">
        <v>1</v>
      </c>
      <c r="F128" s="76"/>
      <c r="G128" s="76" t="s">
        <v>126</v>
      </c>
      <c r="H128" s="350">
        <v>1000</v>
      </c>
      <c r="I128" s="78">
        <v>43</v>
      </c>
      <c r="J128" s="78" t="s">
        <v>355</v>
      </c>
      <c r="K128" s="78"/>
      <c r="L128" s="78"/>
      <c r="M128" s="78">
        <v>5</v>
      </c>
      <c r="N128" s="78"/>
      <c r="O128" s="78"/>
      <c r="P128" s="78"/>
      <c r="Q128" s="78"/>
      <c r="R128" s="78"/>
      <c r="S128" s="78"/>
      <c r="T128" s="78"/>
      <c r="U128" s="78"/>
      <c r="V128" s="78">
        <v>4</v>
      </c>
      <c r="W128" s="78"/>
      <c r="X128" s="78">
        <v>5</v>
      </c>
      <c r="Y128" s="78">
        <v>37</v>
      </c>
      <c r="Z128" s="78">
        <v>2</v>
      </c>
      <c r="AA128" s="78">
        <v>4</v>
      </c>
      <c r="AB128" s="79">
        <f>100/(SUM(I128:Z128))</f>
        <v>1.0416666666666667</v>
      </c>
      <c r="AC128" s="259">
        <f>SUM(I128:AA128)</f>
        <v>100</v>
      </c>
      <c r="AD128" s="78"/>
      <c r="AE128" s="78"/>
      <c r="AF128" s="78"/>
      <c r="AG128" s="80" t="s">
        <v>127</v>
      </c>
      <c r="AH128" s="195" t="s">
        <v>2463</v>
      </c>
      <c r="AI128" s="195"/>
      <c r="AJ128" s="195"/>
      <c r="AK128" s="76" t="s">
        <v>138</v>
      </c>
      <c r="AL128" s="80">
        <f>(B128-DATE(1970,1,1))*86400</f>
        <v>1769472000</v>
      </c>
      <c r="AM128" s="80">
        <f>(C128-DATE(1970,1,1))*86400</f>
        <v>1769731200</v>
      </c>
      <c r="AN128" s="80">
        <f>AVERAGE(AL128:AM128)</f>
        <v>1769601600</v>
      </c>
    </row>
    <row r="129" spans="1:40" ht="15.75" customHeight="1" x14ac:dyDescent="0.2">
      <c r="A129" s="281" t="s">
        <v>133</v>
      </c>
      <c r="B129" s="240">
        <v>46043</v>
      </c>
      <c r="C129" s="240">
        <v>46046</v>
      </c>
      <c r="D129" s="53" t="s">
        <v>154</v>
      </c>
      <c r="E129" s="323" t="s">
        <v>125</v>
      </c>
      <c r="F129" s="53"/>
      <c r="G129" s="53" t="s">
        <v>126</v>
      </c>
      <c r="H129" s="351">
        <v>1001</v>
      </c>
      <c r="I129" s="55">
        <v>28</v>
      </c>
      <c r="J129" s="55">
        <v>0</v>
      </c>
      <c r="K129" s="55">
        <v>0</v>
      </c>
      <c r="L129" s="55">
        <v>0</v>
      </c>
      <c r="M129" s="55">
        <v>3</v>
      </c>
      <c r="N129" s="55"/>
      <c r="O129" s="55">
        <v>0</v>
      </c>
      <c r="P129" s="547">
        <v>0</v>
      </c>
      <c r="Q129" s="55"/>
      <c r="R129" s="56"/>
      <c r="S129" s="547">
        <v>0</v>
      </c>
      <c r="T129" s="55"/>
      <c r="U129" s="547">
        <v>0</v>
      </c>
      <c r="V129" s="55">
        <v>2</v>
      </c>
      <c r="W129" s="55"/>
      <c r="X129" s="55">
        <v>4</v>
      </c>
      <c r="Y129" s="55">
        <v>33</v>
      </c>
      <c r="Z129" s="547">
        <v>0</v>
      </c>
      <c r="AA129" s="547">
        <v>29</v>
      </c>
      <c r="AB129" s="57">
        <f>100/(SUM(I129:Z129))</f>
        <v>1.4285714285714286</v>
      </c>
      <c r="AC129" s="259">
        <f>SUM(I129:AA129)</f>
        <v>99</v>
      </c>
      <c r="AD129" s="55">
        <v>81</v>
      </c>
      <c r="AE129" s="55"/>
      <c r="AF129" s="55"/>
      <c r="AG129" s="58" t="s">
        <v>155</v>
      </c>
      <c r="AH129" s="186" t="s">
        <v>2433</v>
      </c>
      <c r="AI129" s="186" t="s">
        <v>2431</v>
      </c>
      <c r="AJ129" s="186" t="s">
        <v>2427</v>
      </c>
      <c r="AK129" s="53" t="s">
        <v>2428</v>
      </c>
      <c r="AL129" s="58">
        <f>(B129-DATE(1970,1,1))*86400</f>
        <v>1768953600</v>
      </c>
      <c r="AM129" s="58">
        <f>(C129-DATE(1970,1,1))*86400</f>
        <v>1769212800</v>
      </c>
      <c r="AN129" s="58">
        <f>AVERAGE(AL129:AM129)</f>
        <v>1769083200</v>
      </c>
    </row>
    <row r="130" spans="1:40" x14ac:dyDescent="0.2">
      <c r="A130" s="281" t="s">
        <v>123</v>
      </c>
      <c r="B130" s="240">
        <v>46043</v>
      </c>
      <c r="C130" s="240">
        <v>46046</v>
      </c>
      <c r="D130" s="53" t="s">
        <v>154</v>
      </c>
      <c r="E130" s="323" t="s">
        <v>125</v>
      </c>
      <c r="F130" s="53"/>
      <c r="G130" s="53" t="s">
        <v>126</v>
      </c>
      <c r="H130" s="351">
        <v>1001</v>
      </c>
      <c r="I130" s="55">
        <v>33</v>
      </c>
      <c r="J130" s="55">
        <v>0</v>
      </c>
      <c r="K130" s="55">
        <v>0</v>
      </c>
      <c r="L130" s="55">
        <v>0</v>
      </c>
      <c r="M130" s="55">
        <v>4</v>
      </c>
      <c r="N130" s="55"/>
      <c r="O130" s="55">
        <v>0</v>
      </c>
      <c r="P130" s="547">
        <v>0</v>
      </c>
      <c r="Q130" s="55"/>
      <c r="R130" s="56"/>
      <c r="S130" s="547">
        <v>0</v>
      </c>
      <c r="T130" s="55"/>
      <c r="U130" s="547">
        <v>0</v>
      </c>
      <c r="V130" s="55">
        <v>3</v>
      </c>
      <c r="W130" s="55"/>
      <c r="X130" s="55">
        <v>5</v>
      </c>
      <c r="Y130" s="55">
        <v>39</v>
      </c>
      <c r="Z130" s="547">
        <v>0</v>
      </c>
      <c r="AA130" s="547">
        <v>17</v>
      </c>
      <c r="AB130" s="57">
        <f>100/(SUM(I130:Z130))</f>
        <v>1.1904761904761905</v>
      </c>
      <c r="AC130" s="259">
        <f>SUM(I130:AA130)</f>
        <v>101</v>
      </c>
      <c r="AD130" s="55"/>
      <c r="AE130" s="55"/>
      <c r="AF130" s="55"/>
      <c r="AG130" s="58" t="s">
        <v>155</v>
      </c>
      <c r="AH130" s="186" t="s">
        <v>2432</v>
      </c>
      <c r="AI130" s="186" t="s">
        <v>2433</v>
      </c>
      <c r="AJ130" s="186"/>
      <c r="AK130" s="53" t="s">
        <v>2469</v>
      </c>
      <c r="AL130" s="58">
        <f>(B130-DATE(1970,1,1))*86400</f>
        <v>1768953600</v>
      </c>
      <c r="AM130" s="58">
        <f>(C130-DATE(1970,1,1))*86400</f>
        <v>1769212800</v>
      </c>
      <c r="AN130" s="58">
        <f>AVERAGE(AL130:AM130)</f>
        <v>1769083200</v>
      </c>
    </row>
    <row r="131" spans="1:40" ht="15.75" customHeight="1" x14ac:dyDescent="0.2">
      <c r="A131" s="281" t="s">
        <v>123</v>
      </c>
      <c r="B131" s="240">
        <v>46043</v>
      </c>
      <c r="C131" s="240">
        <v>46046</v>
      </c>
      <c r="D131" s="53" t="s">
        <v>154</v>
      </c>
      <c r="E131" s="323" t="s">
        <v>125</v>
      </c>
      <c r="F131" s="53"/>
      <c r="G131" s="53" t="s">
        <v>126</v>
      </c>
      <c r="H131" s="351">
        <v>1001</v>
      </c>
      <c r="I131" s="55">
        <v>40</v>
      </c>
      <c r="J131" s="55">
        <v>0</v>
      </c>
      <c r="K131" s="55">
        <v>0</v>
      </c>
      <c r="L131" s="55">
        <v>0</v>
      </c>
      <c r="M131" s="55">
        <v>4</v>
      </c>
      <c r="N131" s="55"/>
      <c r="O131" s="55">
        <v>0</v>
      </c>
      <c r="P131" s="547">
        <v>0</v>
      </c>
      <c r="Q131" s="55"/>
      <c r="R131" s="56"/>
      <c r="S131" s="547">
        <v>0</v>
      </c>
      <c r="T131" s="55"/>
      <c r="U131" s="547">
        <v>0</v>
      </c>
      <c r="V131" s="55">
        <v>3</v>
      </c>
      <c r="W131" s="55"/>
      <c r="X131" s="55">
        <v>5</v>
      </c>
      <c r="Y131" s="55">
        <v>48</v>
      </c>
      <c r="Z131" s="547">
        <v>0</v>
      </c>
      <c r="AA131" s="547">
        <v>0</v>
      </c>
      <c r="AB131" s="57">
        <f>100/(SUM(I131:Z131))</f>
        <v>1</v>
      </c>
      <c r="AC131" s="259">
        <f>SUM(I131:AA131)</f>
        <v>100</v>
      </c>
      <c r="AD131" s="55"/>
      <c r="AE131" s="55"/>
      <c r="AF131" s="55"/>
      <c r="AG131" s="58" t="s">
        <v>155</v>
      </c>
      <c r="AH131" s="186" t="s">
        <v>2432</v>
      </c>
      <c r="AI131" s="186"/>
      <c r="AJ131" s="186"/>
      <c r="AK131" s="53"/>
      <c r="AL131" s="58">
        <f>(B131-DATE(1970,1,1))*86400</f>
        <v>1768953600</v>
      </c>
      <c r="AM131" s="58">
        <f>(C131-DATE(1970,1,1))*86400</f>
        <v>1769212800</v>
      </c>
      <c r="AN131" s="58">
        <f>AVERAGE(AL131:AM131)</f>
        <v>1769083200</v>
      </c>
    </row>
    <row r="132" spans="1:40" ht="15.75" customHeight="1" x14ac:dyDescent="0.2">
      <c r="A132" s="291" t="s">
        <v>123</v>
      </c>
      <c r="B132" s="191">
        <v>46044</v>
      </c>
      <c r="C132" s="191">
        <v>46045</v>
      </c>
      <c r="D132" s="47" t="s">
        <v>152</v>
      </c>
      <c r="E132" s="337" t="s">
        <v>125</v>
      </c>
      <c r="F132" s="47"/>
      <c r="G132" s="47" t="s">
        <v>126</v>
      </c>
      <c r="H132" s="356">
        <v>1000</v>
      </c>
      <c r="I132" s="49">
        <v>51</v>
      </c>
      <c r="J132" s="49"/>
      <c r="K132" s="49"/>
      <c r="L132" s="49"/>
      <c r="M132" s="49">
        <v>1</v>
      </c>
      <c r="N132" s="49"/>
      <c r="O132" s="49"/>
      <c r="P132" s="49"/>
      <c r="Q132" s="49"/>
      <c r="R132" s="49"/>
      <c r="S132" s="49"/>
      <c r="T132" s="49"/>
      <c r="U132" s="49"/>
      <c r="V132" s="49">
        <v>2</v>
      </c>
      <c r="W132" s="49"/>
      <c r="X132" s="49">
        <v>5</v>
      </c>
      <c r="Y132" s="49">
        <v>41</v>
      </c>
      <c r="Z132" s="49"/>
      <c r="AA132" s="49">
        <v>0</v>
      </c>
      <c r="AB132" s="50">
        <f>100/(SUM(I132:Z132))</f>
        <v>1</v>
      </c>
      <c r="AC132" s="259">
        <f>SUM(I132:AA132)</f>
        <v>100</v>
      </c>
      <c r="AD132" s="49"/>
      <c r="AE132" s="49"/>
      <c r="AF132" s="49"/>
      <c r="AG132" s="51" t="s">
        <v>127</v>
      </c>
      <c r="AH132" s="193" t="s">
        <v>2418</v>
      </c>
      <c r="AI132" s="193" t="s">
        <v>2419</v>
      </c>
      <c r="AJ132" s="193"/>
      <c r="AK132" s="47"/>
      <c r="AL132" s="51">
        <f>(B132-DATE(1970,1,1))*86400</f>
        <v>1769040000</v>
      </c>
      <c r="AM132" s="51">
        <f>(C132-DATE(1970,1,1))*86400</f>
        <v>1769126400</v>
      </c>
      <c r="AN132" s="51">
        <f>AVERAGE(AL132:AM132)</f>
        <v>1769083200</v>
      </c>
    </row>
    <row r="133" spans="1:40" ht="15.75" customHeight="1" x14ac:dyDescent="0.2">
      <c r="A133" s="286" t="s">
        <v>133</v>
      </c>
      <c r="B133" s="41">
        <v>46041</v>
      </c>
      <c r="C133" s="41">
        <v>46046</v>
      </c>
      <c r="D133" s="40" t="s">
        <v>148</v>
      </c>
      <c r="E133" s="325" t="s">
        <v>125</v>
      </c>
      <c r="F133" s="40"/>
      <c r="G133" s="40" t="s">
        <v>597</v>
      </c>
      <c r="H133" s="325">
        <v>1000</v>
      </c>
      <c r="I133" s="42">
        <v>31</v>
      </c>
      <c r="J133" s="42"/>
      <c r="K133" s="42"/>
      <c r="L133" s="42"/>
      <c r="M133" s="42">
        <v>3</v>
      </c>
      <c r="N133" s="42"/>
      <c r="O133" s="42"/>
      <c r="P133" s="42" t="s">
        <v>355</v>
      </c>
      <c r="Q133" s="42"/>
      <c r="R133" s="43"/>
      <c r="S133" s="42"/>
      <c r="T133" s="42"/>
      <c r="U133" s="42"/>
      <c r="V133" s="42">
        <v>3</v>
      </c>
      <c r="W133" s="42"/>
      <c r="X133" s="42">
        <v>3</v>
      </c>
      <c r="Y133" s="42">
        <v>36</v>
      </c>
      <c r="Z133" s="42">
        <v>1</v>
      </c>
      <c r="AA133" s="42">
        <v>23</v>
      </c>
      <c r="AB133" s="44">
        <f>100/(SUM(I133:Z133))</f>
        <v>1.2987012987012987</v>
      </c>
      <c r="AC133" s="259">
        <f>SUM(I133:AA133)</f>
        <v>100</v>
      </c>
      <c r="AD133" s="42"/>
      <c r="AE133" s="43"/>
      <c r="AF133" s="43"/>
      <c r="AG133" s="45" t="s">
        <v>136</v>
      </c>
      <c r="AH133" s="189" t="s">
        <v>2422</v>
      </c>
      <c r="AI133" s="46" t="s">
        <v>2423</v>
      </c>
      <c r="AJ133" s="46"/>
      <c r="AK133" s="40" t="s">
        <v>138</v>
      </c>
      <c r="AL133" s="45">
        <f>(B133-DATE(1970,1,1))*86400</f>
        <v>1768780800</v>
      </c>
      <c r="AM133" s="45">
        <f>(C133-DATE(1970,1,1))*86400</f>
        <v>1769212800</v>
      </c>
      <c r="AN133" s="45">
        <f>AVERAGE(AL133:AM133)</f>
        <v>1768996800</v>
      </c>
    </row>
    <row r="134" spans="1:40" ht="15.75" customHeight="1" x14ac:dyDescent="0.2">
      <c r="A134" s="286" t="s">
        <v>123</v>
      </c>
      <c r="B134" s="41">
        <v>46041</v>
      </c>
      <c r="C134" s="41">
        <v>46046</v>
      </c>
      <c r="D134" s="40" t="s">
        <v>148</v>
      </c>
      <c r="E134" s="325" t="s">
        <v>125</v>
      </c>
      <c r="F134" s="40"/>
      <c r="G134" s="40" t="s">
        <v>597</v>
      </c>
      <c r="H134" s="325">
        <v>1000</v>
      </c>
      <c r="I134" s="42">
        <v>39</v>
      </c>
      <c r="J134" s="42"/>
      <c r="K134" s="42"/>
      <c r="L134" s="42"/>
      <c r="M134" s="42">
        <v>4</v>
      </c>
      <c r="N134" s="42"/>
      <c r="O134" s="42"/>
      <c r="P134" s="42" t="s">
        <v>355</v>
      </c>
      <c r="Q134" s="42"/>
      <c r="R134" s="43"/>
      <c r="S134" s="42"/>
      <c r="T134" s="42"/>
      <c r="U134" s="42"/>
      <c r="V134" s="42">
        <v>3</v>
      </c>
      <c r="W134" s="42"/>
      <c r="X134" s="42">
        <v>5</v>
      </c>
      <c r="Y134" s="42">
        <v>49</v>
      </c>
      <c r="Z134" s="42">
        <v>2</v>
      </c>
      <c r="AA134" s="42">
        <v>0</v>
      </c>
      <c r="AB134" s="44">
        <f>100/(SUM(I134:Z134))</f>
        <v>0.98039215686274506</v>
      </c>
      <c r="AC134" s="259">
        <f>SUM(I134:AA134)</f>
        <v>102</v>
      </c>
      <c r="AD134" s="42"/>
      <c r="AE134" s="43"/>
      <c r="AF134" s="43"/>
      <c r="AG134" s="45" t="s">
        <v>136</v>
      </c>
      <c r="AH134" s="189" t="s">
        <v>2422</v>
      </c>
      <c r="AI134" s="46" t="s">
        <v>2423</v>
      </c>
      <c r="AJ134" s="46"/>
      <c r="AK134" s="40"/>
      <c r="AL134" s="45">
        <f>(B134-DATE(1970,1,1))*86400</f>
        <v>1768780800</v>
      </c>
      <c r="AM134" s="45">
        <f>(C134-DATE(1970,1,1))*86400</f>
        <v>1769212800</v>
      </c>
      <c r="AN134" s="45">
        <f>AVERAGE(AL134:AM134)</f>
        <v>1768996800</v>
      </c>
    </row>
    <row r="135" spans="1:40" x14ac:dyDescent="0.2">
      <c r="A135" s="287" t="s">
        <v>133</v>
      </c>
      <c r="B135" s="187">
        <v>46042</v>
      </c>
      <c r="C135" s="187">
        <v>46044</v>
      </c>
      <c r="D135" s="69" t="s">
        <v>183</v>
      </c>
      <c r="E135" s="333" t="s">
        <v>125</v>
      </c>
      <c r="F135" s="69" t="s">
        <v>2484</v>
      </c>
      <c r="G135" s="188" t="s">
        <v>126</v>
      </c>
      <c r="H135" s="354">
        <v>800</v>
      </c>
      <c r="I135" s="71">
        <v>42</v>
      </c>
      <c r="J135" s="71"/>
      <c r="K135" s="71"/>
      <c r="L135" s="71"/>
      <c r="M135" s="71">
        <v>1</v>
      </c>
      <c r="N135" s="71"/>
      <c r="O135" s="71"/>
      <c r="P135" s="71"/>
      <c r="Q135" s="71"/>
      <c r="R135" s="72"/>
      <c r="S135" s="71"/>
      <c r="T135" s="71"/>
      <c r="U135" s="71"/>
      <c r="V135" s="71"/>
      <c r="W135" s="71"/>
      <c r="X135" s="71">
        <v>8</v>
      </c>
      <c r="Y135" s="71">
        <v>48</v>
      </c>
      <c r="Z135" s="71">
        <v>1</v>
      </c>
      <c r="AA135" s="71">
        <v>0</v>
      </c>
      <c r="AB135" s="73">
        <f>100/(SUM(I135:Z135))</f>
        <v>1</v>
      </c>
      <c r="AC135" s="259">
        <f>SUM(I135:AA135)</f>
        <v>100</v>
      </c>
      <c r="AD135" s="71"/>
      <c r="AE135" s="71"/>
      <c r="AF135" s="71"/>
      <c r="AG135" s="74" t="s">
        <v>2437</v>
      </c>
      <c r="AH135" s="199" t="s">
        <v>2438</v>
      </c>
      <c r="AI135" s="199"/>
      <c r="AJ135" s="199"/>
      <c r="AK135" s="69" t="s">
        <v>2439</v>
      </c>
      <c r="AL135" s="74">
        <f>(B135-DATE(1970,1,1))*86400</f>
        <v>1768867200</v>
      </c>
      <c r="AM135" s="74">
        <f>(C135-DATE(1970,1,1))*86400</f>
        <v>1769040000</v>
      </c>
      <c r="AN135" s="74">
        <f>AVERAGE(AL135:AM135)</f>
        <v>1768953600</v>
      </c>
    </row>
    <row r="136" spans="1:40" ht="15.75" customHeight="1" x14ac:dyDescent="0.2">
      <c r="A136" s="287" t="s">
        <v>123</v>
      </c>
      <c r="B136" s="187">
        <v>46042</v>
      </c>
      <c r="C136" s="187">
        <v>46044</v>
      </c>
      <c r="D136" s="69" t="s">
        <v>183</v>
      </c>
      <c r="E136" s="333" t="s">
        <v>125</v>
      </c>
      <c r="F136" s="69" t="s">
        <v>2484</v>
      </c>
      <c r="G136" s="188" t="s">
        <v>126</v>
      </c>
      <c r="H136" s="354">
        <v>800</v>
      </c>
      <c r="I136" s="71">
        <v>41</v>
      </c>
      <c r="J136" s="71"/>
      <c r="K136" s="71"/>
      <c r="L136" s="71"/>
      <c r="M136" s="71">
        <v>1</v>
      </c>
      <c r="N136" s="71"/>
      <c r="O136" s="71"/>
      <c r="P136" s="71"/>
      <c r="Q136" s="71"/>
      <c r="R136" s="72"/>
      <c r="S136" s="71"/>
      <c r="T136" s="71"/>
      <c r="U136" s="71"/>
      <c r="V136" s="71"/>
      <c r="W136" s="71"/>
      <c r="X136" s="71">
        <v>5</v>
      </c>
      <c r="Y136" s="71">
        <v>50</v>
      </c>
      <c r="Z136" s="71">
        <v>2</v>
      </c>
      <c r="AA136" s="71">
        <v>0</v>
      </c>
      <c r="AB136" s="73">
        <f>100/(SUM(I136:Z136))</f>
        <v>1.0101010101010102</v>
      </c>
      <c r="AC136" s="259">
        <f>SUM(I136:AA136)</f>
        <v>99</v>
      </c>
      <c r="AD136" s="71"/>
      <c r="AE136" s="71"/>
      <c r="AF136" s="71"/>
      <c r="AG136" s="74" t="s">
        <v>2437</v>
      </c>
      <c r="AH136" s="199" t="s">
        <v>2438</v>
      </c>
      <c r="AI136" s="199"/>
      <c r="AJ136" s="199"/>
      <c r="AK136" s="69" t="s">
        <v>2439</v>
      </c>
      <c r="AL136" s="74">
        <f>(B136-DATE(1970,1,1))*86400</f>
        <v>1768867200</v>
      </c>
      <c r="AM136" s="74">
        <f>(C136-DATE(1970,1,1))*86400</f>
        <v>1769040000</v>
      </c>
      <c r="AN136" s="74">
        <f>AVERAGE(AL136:AM136)</f>
        <v>1768953600</v>
      </c>
    </row>
    <row r="137" spans="1:40" ht="15.75" customHeight="1" x14ac:dyDescent="0.2">
      <c r="A137" s="287" t="s">
        <v>123</v>
      </c>
      <c r="B137" s="187">
        <v>46042</v>
      </c>
      <c r="C137" s="187">
        <v>46044</v>
      </c>
      <c r="D137" s="69" t="s">
        <v>183</v>
      </c>
      <c r="E137" s="333" t="s">
        <v>125</v>
      </c>
      <c r="F137" s="69" t="s">
        <v>2484</v>
      </c>
      <c r="G137" s="188" t="s">
        <v>126</v>
      </c>
      <c r="H137" s="354">
        <v>800</v>
      </c>
      <c r="I137" s="71">
        <v>41</v>
      </c>
      <c r="J137" s="71"/>
      <c r="K137" s="71"/>
      <c r="L137" s="71"/>
      <c r="M137" s="71">
        <v>1</v>
      </c>
      <c r="N137" s="71"/>
      <c r="O137" s="71"/>
      <c r="P137" s="71"/>
      <c r="Q137" s="71"/>
      <c r="R137" s="72"/>
      <c r="S137" s="71"/>
      <c r="T137" s="71"/>
      <c r="U137" s="71"/>
      <c r="V137" s="71">
        <v>1</v>
      </c>
      <c r="W137" s="71"/>
      <c r="X137" s="71">
        <v>6</v>
      </c>
      <c r="Y137" s="71">
        <v>49</v>
      </c>
      <c r="Z137" s="71">
        <v>2</v>
      </c>
      <c r="AA137" s="71">
        <v>0</v>
      </c>
      <c r="AB137" s="73">
        <f>100/(SUM(I137:Z137))</f>
        <v>1</v>
      </c>
      <c r="AC137" s="259">
        <f>SUM(I137:AA137)</f>
        <v>100</v>
      </c>
      <c r="AD137" s="71"/>
      <c r="AE137" s="71"/>
      <c r="AF137" s="71"/>
      <c r="AG137" s="74" t="s">
        <v>2437</v>
      </c>
      <c r="AH137" s="199" t="s">
        <v>2438</v>
      </c>
      <c r="AI137" s="199"/>
      <c r="AJ137" s="199"/>
      <c r="AK137" s="69"/>
      <c r="AL137" s="74">
        <f>(B137-DATE(1970,1,1))*86400</f>
        <v>1768867200</v>
      </c>
      <c r="AM137" s="74">
        <f>(C137-DATE(1970,1,1))*86400</f>
        <v>1769040000</v>
      </c>
      <c r="AN137" s="74">
        <f>AVERAGE(AL137:AM137)</f>
        <v>1768953600</v>
      </c>
    </row>
    <row r="138" spans="1:40" ht="15.75" customHeight="1" x14ac:dyDescent="0.2">
      <c r="A138" s="287" t="s">
        <v>133</v>
      </c>
      <c r="B138" s="187">
        <v>46041</v>
      </c>
      <c r="C138" s="187">
        <v>46042</v>
      </c>
      <c r="D138" s="69" t="s">
        <v>183</v>
      </c>
      <c r="E138" s="333" t="s">
        <v>125</v>
      </c>
      <c r="F138" s="69" t="s">
        <v>2485</v>
      </c>
      <c r="G138" s="188" t="s">
        <v>126</v>
      </c>
      <c r="H138" s="354">
        <v>600</v>
      </c>
      <c r="I138" s="71">
        <v>46</v>
      </c>
      <c r="J138" s="71"/>
      <c r="K138" s="71">
        <v>2</v>
      </c>
      <c r="L138" s="71"/>
      <c r="M138" s="71">
        <v>2</v>
      </c>
      <c r="N138" s="71"/>
      <c r="O138" s="71"/>
      <c r="P138" s="71"/>
      <c r="Q138" s="71"/>
      <c r="R138" s="72"/>
      <c r="S138" s="71"/>
      <c r="T138" s="71"/>
      <c r="U138" s="71"/>
      <c r="V138" s="71"/>
      <c r="W138" s="71"/>
      <c r="X138" s="71">
        <v>7</v>
      </c>
      <c r="Y138" s="71">
        <v>42</v>
      </c>
      <c r="Z138" s="71">
        <v>1</v>
      </c>
      <c r="AA138" s="71">
        <v>0</v>
      </c>
      <c r="AB138" s="73">
        <f>100/(SUM(I138:Z138))</f>
        <v>1</v>
      </c>
      <c r="AC138" s="259">
        <f>SUM(I138:AA138)</f>
        <v>100</v>
      </c>
      <c r="AD138" s="71"/>
      <c r="AE138" s="71"/>
      <c r="AF138" s="71"/>
      <c r="AG138" s="74" t="s">
        <v>2436</v>
      </c>
      <c r="AH138" s="199" t="s">
        <v>2438</v>
      </c>
      <c r="AI138" s="199"/>
      <c r="AJ138" s="199"/>
      <c r="AK138" s="69" t="s">
        <v>2439</v>
      </c>
      <c r="AL138" s="74">
        <f>(B138-DATE(1970,1,1))*86400</f>
        <v>1768780800</v>
      </c>
      <c r="AM138" s="74">
        <f>(C138-DATE(1970,1,1))*86400</f>
        <v>1768867200</v>
      </c>
      <c r="AN138" s="74">
        <f>AVERAGE(AL138:AM138)</f>
        <v>1768824000</v>
      </c>
    </row>
    <row r="139" spans="1:40" ht="15.75" customHeight="1" x14ac:dyDescent="0.2">
      <c r="A139" s="287" t="s">
        <v>123</v>
      </c>
      <c r="B139" s="187">
        <v>46041</v>
      </c>
      <c r="C139" s="187">
        <v>46042</v>
      </c>
      <c r="D139" s="69" t="s">
        <v>183</v>
      </c>
      <c r="E139" s="333" t="s">
        <v>125</v>
      </c>
      <c r="F139" s="69" t="s">
        <v>2485</v>
      </c>
      <c r="G139" s="188" t="s">
        <v>126</v>
      </c>
      <c r="H139" s="354">
        <v>600</v>
      </c>
      <c r="I139" s="71">
        <v>44</v>
      </c>
      <c r="J139" s="71"/>
      <c r="K139" s="71">
        <v>2</v>
      </c>
      <c r="L139" s="71"/>
      <c r="M139" s="71">
        <v>2</v>
      </c>
      <c r="N139" s="71"/>
      <c r="O139" s="71"/>
      <c r="P139" s="71"/>
      <c r="Q139" s="71"/>
      <c r="R139" s="72"/>
      <c r="S139" s="71"/>
      <c r="T139" s="71"/>
      <c r="U139" s="71"/>
      <c r="V139" s="71"/>
      <c r="W139" s="71"/>
      <c r="X139" s="71">
        <v>6</v>
      </c>
      <c r="Y139" s="71">
        <v>45</v>
      </c>
      <c r="Z139" s="71">
        <v>1</v>
      </c>
      <c r="AA139" s="71">
        <v>0</v>
      </c>
      <c r="AB139" s="73">
        <f>100/(SUM(I139:Z139))</f>
        <v>1</v>
      </c>
      <c r="AC139" s="259">
        <f>SUM(I139:AA139)</f>
        <v>100</v>
      </c>
      <c r="AD139" s="71"/>
      <c r="AE139" s="71"/>
      <c r="AF139" s="71"/>
      <c r="AG139" s="74" t="s">
        <v>2436</v>
      </c>
      <c r="AH139" s="199" t="s">
        <v>2438</v>
      </c>
      <c r="AI139" s="199" t="s">
        <v>2458</v>
      </c>
      <c r="AJ139" s="199"/>
      <c r="AK139" s="69" t="s">
        <v>2439</v>
      </c>
      <c r="AL139" s="74">
        <f>(B139-DATE(1970,1,1))*86400</f>
        <v>1768780800</v>
      </c>
      <c r="AM139" s="74">
        <f>(C139-DATE(1970,1,1))*86400</f>
        <v>1768867200</v>
      </c>
      <c r="AN139" s="74">
        <f>AVERAGE(AL139:AM139)</f>
        <v>1768824000</v>
      </c>
    </row>
    <row r="140" spans="1:40" x14ac:dyDescent="0.2">
      <c r="A140" s="287" t="s">
        <v>123</v>
      </c>
      <c r="B140" s="187">
        <v>46041</v>
      </c>
      <c r="C140" s="187">
        <v>46042</v>
      </c>
      <c r="D140" s="69" t="s">
        <v>183</v>
      </c>
      <c r="E140" s="333" t="s">
        <v>125</v>
      </c>
      <c r="F140" s="69" t="s">
        <v>2485</v>
      </c>
      <c r="G140" s="188" t="s">
        <v>126</v>
      </c>
      <c r="H140" s="354">
        <v>600</v>
      </c>
      <c r="I140" s="71">
        <v>42</v>
      </c>
      <c r="J140" s="71"/>
      <c r="K140" s="71"/>
      <c r="L140" s="71"/>
      <c r="M140" s="71">
        <v>2</v>
      </c>
      <c r="N140" s="71"/>
      <c r="O140" s="71"/>
      <c r="P140" s="71"/>
      <c r="Q140" s="71"/>
      <c r="R140" s="72"/>
      <c r="S140" s="71"/>
      <c r="T140" s="71"/>
      <c r="U140" s="71"/>
      <c r="V140" s="71">
        <v>2</v>
      </c>
      <c r="W140" s="71"/>
      <c r="X140" s="71">
        <v>7</v>
      </c>
      <c r="Y140" s="71">
        <v>46</v>
      </c>
      <c r="Z140" s="71">
        <v>1</v>
      </c>
      <c r="AA140" s="71">
        <v>0</v>
      </c>
      <c r="AB140" s="73">
        <f>100/(SUM(I140:Z140))</f>
        <v>1</v>
      </c>
      <c r="AC140" s="259">
        <f>SUM(I140:AA140)</f>
        <v>100</v>
      </c>
      <c r="AD140" s="71"/>
      <c r="AE140" s="71"/>
      <c r="AF140" s="71"/>
      <c r="AG140" s="74" t="s">
        <v>2436</v>
      </c>
      <c r="AH140" s="199" t="s">
        <v>2438</v>
      </c>
      <c r="AI140" s="199"/>
      <c r="AJ140" s="199"/>
      <c r="AK140" s="69"/>
      <c r="AL140" s="74">
        <f>(B140-DATE(1970,1,1))*86400</f>
        <v>1768780800</v>
      </c>
      <c r="AM140" s="74">
        <f>(C140-DATE(1970,1,1))*86400</f>
        <v>1768867200</v>
      </c>
      <c r="AN140" s="74">
        <f>AVERAGE(AL140:AM140)</f>
        <v>1768824000</v>
      </c>
    </row>
    <row r="141" spans="1:40" x14ac:dyDescent="0.2">
      <c r="A141" s="288" t="s">
        <v>133</v>
      </c>
      <c r="B141" s="60">
        <v>46037</v>
      </c>
      <c r="C141" s="60">
        <v>46042</v>
      </c>
      <c r="D141" s="61" t="s">
        <v>168</v>
      </c>
      <c r="E141" s="334" t="s">
        <v>125</v>
      </c>
      <c r="F141" s="218"/>
      <c r="G141" s="61" t="s">
        <v>126</v>
      </c>
      <c r="H141" s="334">
        <v>1000</v>
      </c>
      <c r="I141" s="63">
        <v>28</v>
      </c>
      <c r="J141" s="63">
        <v>0</v>
      </c>
      <c r="K141" s="63">
        <v>0</v>
      </c>
      <c r="L141" s="63"/>
      <c r="M141" s="63">
        <v>3</v>
      </c>
      <c r="N141" s="63"/>
      <c r="O141" s="63"/>
      <c r="P141" s="63"/>
      <c r="Q141" s="63"/>
      <c r="R141" s="64"/>
      <c r="S141" s="63"/>
      <c r="T141" s="63"/>
      <c r="U141" s="63"/>
      <c r="V141" s="63">
        <v>4</v>
      </c>
      <c r="W141" s="63"/>
      <c r="X141" s="63">
        <v>4</v>
      </c>
      <c r="Y141" s="63">
        <v>33</v>
      </c>
      <c r="Z141" s="63">
        <v>1</v>
      </c>
      <c r="AA141" s="63">
        <v>27</v>
      </c>
      <c r="AB141" s="65">
        <f>100/(SUM(I141:Z141))</f>
        <v>1.3698630136986301</v>
      </c>
      <c r="AC141" s="259">
        <f>SUM(I141:AA141)</f>
        <v>100</v>
      </c>
      <c r="AD141" s="63">
        <v>63</v>
      </c>
      <c r="AE141" s="64"/>
      <c r="AF141" s="64"/>
      <c r="AG141" s="66" t="s">
        <v>127</v>
      </c>
      <c r="AH141" s="200" t="s">
        <v>2409</v>
      </c>
      <c r="AI141" s="200" t="s">
        <v>2411</v>
      </c>
      <c r="AJ141" s="200" t="s">
        <v>2446</v>
      </c>
      <c r="AK141" s="61" t="s">
        <v>2410</v>
      </c>
      <c r="AL141" s="66">
        <f>(B141-DATE(1970,1,1))*86400</f>
        <v>1768435200</v>
      </c>
      <c r="AM141" s="66">
        <f>(C141-DATE(1970,1,1))*86400</f>
        <v>1768867200</v>
      </c>
      <c r="AN141" s="66">
        <f>AVERAGE(AL141:AM141)</f>
        <v>1768651200</v>
      </c>
    </row>
    <row r="142" spans="1:40" x14ac:dyDescent="0.2">
      <c r="A142" s="288" t="s">
        <v>133</v>
      </c>
      <c r="B142" s="60">
        <v>46037</v>
      </c>
      <c r="C142" s="60">
        <v>46042</v>
      </c>
      <c r="D142" s="61" t="s">
        <v>168</v>
      </c>
      <c r="E142" s="398">
        <v>1</v>
      </c>
      <c r="F142" s="218"/>
      <c r="G142" s="61" t="s">
        <v>126</v>
      </c>
      <c r="H142" s="334">
        <v>1000</v>
      </c>
      <c r="I142" s="63">
        <v>38</v>
      </c>
      <c r="J142" s="63">
        <v>0</v>
      </c>
      <c r="K142" s="63">
        <v>0</v>
      </c>
      <c r="L142" s="63"/>
      <c r="M142" s="63">
        <v>4</v>
      </c>
      <c r="N142" s="63"/>
      <c r="O142" s="63"/>
      <c r="P142" s="63"/>
      <c r="Q142" s="63"/>
      <c r="R142" s="64"/>
      <c r="S142" s="63"/>
      <c r="T142" s="63"/>
      <c r="U142" s="63"/>
      <c r="V142" s="63">
        <v>5</v>
      </c>
      <c r="W142" s="63"/>
      <c r="X142" s="63">
        <v>6</v>
      </c>
      <c r="Y142" s="63">
        <v>46</v>
      </c>
      <c r="Z142" s="63">
        <v>1</v>
      </c>
      <c r="AA142" s="63">
        <v>0</v>
      </c>
      <c r="AB142" s="65">
        <f>100/(SUM(I142:Z142))</f>
        <v>1</v>
      </c>
      <c r="AC142" s="259">
        <f>SUM(I142:AA142)</f>
        <v>100</v>
      </c>
      <c r="AD142" s="63"/>
      <c r="AE142" s="64"/>
      <c r="AF142" s="64"/>
      <c r="AG142" s="66" t="s">
        <v>127</v>
      </c>
      <c r="AH142" s="200" t="s">
        <v>2409</v>
      </c>
      <c r="AI142" s="200" t="s">
        <v>2562</v>
      </c>
      <c r="AJ142" s="200" t="s">
        <v>2408</v>
      </c>
      <c r="AK142" s="61"/>
      <c r="AL142" s="66">
        <f>(B142-DATE(1970,1,1))*86400</f>
        <v>1768435200</v>
      </c>
      <c r="AM142" s="66">
        <f>(C142-DATE(1970,1,1))*86400</f>
        <v>1768867200</v>
      </c>
      <c r="AN142" s="66">
        <f>AVERAGE(AL142:AM142)</f>
        <v>1768651200</v>
      </c>
    </row>
    <row r="143" spans="1:40" ht="15.75" customHeight="1" x14ac:dyDescent="0.2">
      <c r="A143" s="288" t="s">
        <v>123</v>
      </c>
      <c r="B143" s="60">
        <v>46037</v>
      </c>
      <c r="C143" s="60">
        <v>46042</v>
      </c>
      <c r="D143" s="61" t="s">
        <v>168</v>
      </c>
      <c r="E143" s="334" t="s">
        <v>125</v>
      </c>
      <c r="F143" s="218"/>
      <c r="G143" s="61" t="s">
        <v>126</v>
      </c>
      <c r="H143" s="334">
        <v>1000</v>
      </c>
      <c r="I143" s="63">
        <v>38</v>
      </c>
      <c r="J143" s="63">
        <v>1</v>
      </c>
      <c r="K143" s="63">
        <v>0</v>
      </c>
      <c r="L143" s="63"/>
      <c r="M143" s="63">
        <v>4</v>
      </c>
      <c r="N143" s="63"/>
      <c r="O143" s="63"/>
      <c r="P143" s="63"/>
      <c r="Q143" s="63"/>
      <c r="R143" s="64"/>
      <c r="S143" s="63"/>
      <c r="T143" s="63"/>
      <c r="U143" s="63"/>
      <c r="V143" s="63">
        <v>5</v>
      </c>
      <c r="W143" s="63"/>
      <c r="X143" s="63">
        <v>6</v>
      </c>
      <c r="Y143" s="63">
        <v>47</v>
      </c>
      <c r="Z143" s="63">
        <v>0</v>
      </c>
      <c r="AA143" s="63">
        <v>0</v>
      </c>
      <c r="AB143" s="65">
        <f>100/(SUM(I143:Z143))</f>
        <v>0.99009900990099009</v>
      </c>
      <c r="AC143" s="259">
        <f>SUM(I143:AA143)</f>
        <v>101</v>
      </c>
      <c r="AD143" s="63"/>
      <c r="AE143" s="64"/>
      <c r="AF143" s="64"/>
      <c r="AG143" s="66" t="s">
        <v>127</v>
      </c>
      <c r="AH143" s="200" t="s">
        <v>2409</v>
      </c>
      <c r="AI143" s="200" t="s">
        <v>2411</v>
      </c>
      <c r="AJ143" s="200" t="s">
        <v>2408</v>
      </c>
      <c r="AK143" s="61" t="s">
        <v>2549</v>
      </c>
      <c r="AL143" s="66">
        <f>(B143-DATE(1970,1,1))*86400</f>
        <v>1768435200</v>
      </c>
      <c r="AM143" s="66">
        <f>(C143-DATE(1970,1,1))*86400</f>
        <v>1768867200</v>
      </c>
      <c r="AN143" s="66">
        <f>AVERAGE(AL143:AM143)</f>
        <v>1768651200</v>
      </c>
    </row>
    <row r="144" spans="1:40" ht="15.75" customHeight="1" x14ac:dyDescent="0.2">
      <c r="A144" s="307" t="s">
        <v>123</v>
      </c>
      <c r="B144" s="108">
        <v>46023</v>
      </c>
      <c r="C144" s="108">
        <v>46052</v>
      </c>
      <c r="D144" s="560" t="s">
        <v>371</v>
      </c>
      <c r="E144" s="380">
        <v>1</v>
      </c>
      <c r="F144" s="560" t="s">
        <v>2476</v>
      </c>
      <c r="G144" s="560" t="s">
        <v>126</v>
      </c>
      <c r="H144" s="561">
        <v>500</v>
      </c>
      <c r="I144" s="78"/>
      <c r="J144" s="78"/>
      <c r="K144" s="78"/>
      <c r="L144" s="78"/>
      <c r="M144" s="78"/>
      <c r="N144" s="78"/>
      <c r="O144" s="78"/>
      <c r="P144" s="78"/>
      <c r="Q144" s="78"/>
      <c r="R144" s="78"/>
      <c r="S144" s="78"/>
      <c r="T144" s="78"/>
      <c r="U144" s="78"/>
      <c r="V144" s="78"/>
      <c r="W144" s="78"/>
      <c r="X144" s="78"/>
      <c r="Y144" s="78"/>
      <c r="Z144" s="78"/>
      <c r="AA144" s="78"/>
      <c r="AB144" s="79" t="e">
        <f>100/(SUM(I144:Z144))</f>
        <v>#DIV/0!</v>
      </c>
      <c r="AC144" s="259">
        <f>SUM(I144:AA144)</f>
        <v>0</v>
      </c>
      <c r="AD144" s="78"/>
      <c r="AE144" s="78"/>
      <c r="AF144" s="78"/>
      <c r="AG144" s="80" t="s">
        <v>64</v>
      </c>
      <c r="AH144" s="195" t="s">
        <v>2475</v>
      </c>
      <c r="AI144" s="195" t="s">
        <v>2477</v>
      </c>
      <c r="AJ144" s="195" t="s">
        <v>2542</v>
      </c>
      <c r="AK144" s="76" t="s">
        <v>138</v>
      </c>
      <c r="AL144" s="80">
        <f>(B144-DATE(1970,1,1))*86400</f>
        <v>1767225600</v>
      </c>
      <c r="AM144" s="80">
        <f>(C144-DATE(1970,1,1))*86400</f>
        <v>1769731200</v>
      </c>
      <c r="AN144" s="80">
        <f>AVERAGE(AL144:AM144)</f>
        <v>1768478400</v>
      </c>
    </row>
    <row r="145" spans="1:40" ht="15.75" customHeight="1" x14ac:dyDescent="0.2">
      <c r="A145" s="291" t="s">
        <v>123</v>
      </c>
      <c r="B145" s="191">
        <v>46037</v>
      </c>
      <c r="C145" s="191">
        <v>46038</v>
      </c>
      <c r="D145" s="47" t="s">
        <v>152</v>
      </c>
      <c r="E145" s="337" t="s">
        <v>125</v>
      </c>
      <c r="F145" s="47" t="s">
        <v>140</v>
      </c>
      <c r="G145" s="47" t="s">
        <v>126</v>
      </c>
      <c r="H145" s="356">
        <v>1000</v>
      </c>
      <c r="I145" s="49"/>
      <c r="J145" s="49"/>
      <c r="K145" s="49"/>
      <c r="L145" s="49"/>
      <c r="M145" s="49"/>
      <c r="N145" s="49"/>
      <c r="O145" s="49"/>
      <c r="P145" s="49"/>
      <c r="Q145" s="49"/>
      <c r="R145" s="49"/>
      <c r="S145" s="49"/>
      <c r="T145" s="49"/>
      <c r="U145" s="49"/>
      <c r="V145" s="49"/>
      <c r="W145" s="49"/>
      <c r="X145" s="49"/>
      <c r="Y145" s="49"/>
      <c r="Z145" s="49"/>
      <c r="AA145" s="49"/>
      <c r="AB145" s="50" t="e">
        <f>100/(SUM(I145:Z145))</f>
        <v>#DIV/0!</v>
      </c>
      <c r="AC145" s="259">
        <f>SUM(I145:AA145)</f>
        <v>0</v>
      </c>
      <c r="AD145" s="49"/>
      <c r="AE145" s="49"/>
      <c r="AF145" s="49"/>
      <c r="AG145" s="51" t="s">
        <v>127</v>
      </c>
      <c r="AH145" s="193"/>
      <c r="AI145" s="193"/>
      <c r="AJ145" s="193" t="s">
        <v>2405</v>
      </c>
      <c r="AK145" s="47" t="s">
        <v>2407</v>
      </c>
      <c r="AL145" s="51">
        <f>(B145-DATE(1970,1,1))*86400</f>
        <v>1768435200</v>
      </c>
      <c r="AM145" s="51">
        <f>(C145-DATE(1970,1,1))*86400</f>
        <v>1768521600</v>
      </c>
      <c r="AN145" s="51">
        <f>AVERAGE(AL145:AM145)</f>
        <v>1768478400</v>
      </c>
    </row>
    <row r="146" spans="1:40" ht="15.75" customHeight="1" x14ac:dyDescent="0.2">
      <c r="A146" s="277" t="s">
        <v>133</v>
      </c>
      <c r="B146" s="244">
        <v>46034</v>
      </c>
      <c r="C146" s="244">
        <v>46037</v>
      </c>
      <c r="D146" s="243" t="s">
        <v>1975</v>
      </c>
      <c r="E146" s="399">
        <v>0</v>
      </c>
      <c r="F146" s="243"/>
      <c r="G146" s="245" t="s">
        <v>1025</v>
      </c>
      <c r="H146" s="348">
        <v>1115</v>
      </c>
      <c r="I146" s="246">
        <v>27.6</v>
      </c>
      <c r="J146" s="246"/>
      <c r="K146" s="246"/>
      <c r="L146" s="246"/>
      <c r="M146" s="246">
        <v>1.9</v>
      </c>
      <c r="N146" s="246"/>
      <c r="O146" s="246"/>
      <c r="P146" s="246"/>
      <c r="Q146" s="246"/>
      <c r="R146" s="247"/>
      <c r="S146" s="246"/>
      <c r="T146" s="246"/>
      <c r="U146" s="246"/>
      <c r="V146" s="246">
        <v>1.6</v>
      </c>
      <c r="W146" s="246"/>
      <c r="X146" s="246">
        <v>3.3</v>
      </c>
      <c r="Y146" s="246">
        <v>40.9</v>
      </c>
      <c r="Z146" s="246"/>
      <c r="AA146" s="246">
        <v>24.7</v>
      </c>
      <c r="AB146" s="248">
        <f>100/(SUM(I146:Z146))</f>
        <v>1.3280212483399736</v>
      </c>
      <c r="AC146" s="259">
        <f>SUM(I146:AA146)</f>
        <v>100</v>
      </c>
      <c r="AD146" s="246">
        <v>83</v>
      </c>
      <c r="AE146" s="246"/>
      <c r="AF146" s="246"/>
      <c r="AG146" s="249" t="s">
        <v>1976</v>
      </c>
      <c r="AH146" s="250" t="s">
        <v>2430</v>
      </c>
      <c r="AI146" s="251"/>
      <c r="AJ146" s="251"/>
      <c r="AK146" s="243" t="s">
        <v>2429</v>
      </c>
      <c r="AL146" s="249">
        <f>(B146-DATE(1970,1,1))*86400</f>
        <v>1768176000</v>
      </c>
      <c r="AM146" s="249">
        <f>(C146-DATE(1970,1,1))*86400</f>
        <v>1768435200</v>
      </c>
      <c r="AN146" s="249">
        <f>AVERAGE(AL146:AM146)</f>
        <v>1768305600</v>
      </c>
    </row>
    <row r="147" spans="1:40" ht="15.75" customHeight="1" x14ac:dyDescent="0.2">
      <c r="A147" s="277" t="s">
        <v>123</v>
      </c>
      <c r="B147" s="244">
        <v>46034</v>
      </c>
      <c r="C147" s="244">
        <v>46037</v>
      </c>
      <c r="D147" s="243" t="s">
        <v>1975</v>
      </c>
      <c r="E147" s="399">
        <v>0</v>
      </c>
      <c r="F147" s="243"/>
      <c r="G147" s="245" t="s">
        <v>1025</v>
      </c>
      <c r="H147" s="348">
        <v>1115</v>
      </c>
      <c r="I147" s="246">
        <v>36.700000000000003</v>
      </c>
      <c r="J147" s="246"/>
      <c r="K147" s="246"/>
      <c r="L147" s="246"/>
      <c r="M147" s="246">
        <v>2.5</v>
      </c>
      <c r="N147" s="246"/>
      <c r="O147" s="246"/>
      <c r="P147" s="246"/>
      <c r="Q147" s="246"/>
      <c r="R147" s="247"/>
      <c r="S147" s="246"/>
      <c r="T147" s="246"/>
      <c r="U147" s="246"/>
      <c r="V147" s="246">
        <v>2.1</v>
      </c>
      <c r="W147" s="246"/>
      <c r="X147" s="246">
        <v>4.4000000000000004</v>
      </c>
      <c r="Y147" s="246">
        <v>54.3</v>
      </c>
      <c r="Z147" s="246"/>
      <c r="AA147" s="246">
        <v>0</v>
      </c>
      <c r="AB147" s="248">
        <f>100/(SUM(I147:Z147))</f>
        <v>1</v>
      </c>
      <c r="AC147" s="259">
        <f>SUM(I147:AA147)</f>
        <v>100</v>
      </c>
      <c r="AD147" s="246"/>
      <c r="AE147" s="246"/>
      <c r="AF147" s="246"/>
      <c r="AG147" s="249" t="s">
        <v>1976</v>
      </c>
      <c r="AH147" s="250" t="s">
        <v>2430</v>
      </c>
      <c r="AI147" s="251"/>
      <c r="AJ147" s="251"/>
      <c r="AK147" s="243"/>
      <c r="AL147" s="249">
        <f>(B147-DATE(1970,1,1))*86400</f>
        <v>1768176000</v>
      </c>
      <c r="AM147" s="249">
        <f>(C147-DATE(1970,1,1))*86400</f>
        <v>1768435200</v>
      </c>
      <c r="AN147" s="249">
        <f>AVERAGE(AL147:AM147)</f>
        <v>1768305600</v>
      </c>
    </row>
    <row r="148" spans="1:40" ht="15.75" customHeight="1" x14ac:dyDescent="0.2">
      <c r="A148" s="403" t="s">
        <v>133</v>
      </c>
      <c r="B148" s="143">
        <v>46023</v>
      </c>
      <c r="C148" s="143">
        <v>46047</v>
      </c>
      <c r="D148" s="13" t="s">
        <v>371</v>
      </c>
      <c r="E148" s="324" t="s">
        <v>125</v>
      </c>
      <c r="F148" s="13" t="s">
        <v>2486</v>
      </c>
      <c r="G148" s="13" t="s">
        <v>126</v>
      </c>
      <c r="H148" s="349">
        <v>1000</v>
      </c>
      <c r="I148" s="15"/>
      <c r="J148" s="15"/>
      <c r="K148" s="15"/>
      <c r="L148" s="15"/>
      <c r="M148" s="15"/>
      <c r="N148" s="15"/>
      <c r="O148" s="15"/>
      <c r="P148" s="15"/>
      <c r="Q148" s="15"/>
      <c r="R148" s="15"/>
      <c r="S148" s="15"/>
      <c r="T148" s="15"/>
      <c r="U148" s="15"/>
      <c r="V148" s="15"/>
      <c r="W148" s="15"/>
      <c r="X148" s="15"/>
      <c r="Y148" s="15"/>
      <c r="Z148" s="98"/>
      <c r="AA148" s="98"/>
      <c r="AB148" s="16" t="e">
        <f>100/(SUM(I148:Z148))</f>
        <v>#DIV/0!</v>
      </c>
      <c r="AC148" s="259">
        <f>SUM(I148:AA148)</f>
        <v>0</v>
      </c>
      <c r="AD148" s="15"/>
      <c r="AE148" s="15"/>
      <c r="AF148" s="15"/>
      <c r="AG148" s="17"/>
      <c r="AH148" s="201" t="s">
        <v>2424</v>
      </c>
      <c r="AI148" s="201" t="s">
        <v>2425</v>
      </c>
      <c r="AJ148" s="201"/>
      <c r="AK148" s="13" t="s">
        <v>2426</v>
      </c>
      <c r="AL148" s="17">
        <f>(B148-DATE(1970,1,1))*86400</f>
        <v>1767225600</v>
      </c>
      <c r="AM148" s="17">
        <f>(C148-DATE(1970,1,1))*86400</f>
        <v>1769299200</v>
      </c>
      <c r="AN148" s="17">
        <f>AVERAGE(AL148:AM148)</f>
        <v>1768262400</v>
      </c>
    </row>
    <row r="149" spans="1:40" x14ac:dyDescent="0.2">
      <c r="A149" s="403" t="s">
        <v>133</v>
      </c>
      <c r="B149" s="14">
        <v>46034</v>
      </c>
      <c r="C149" s="14">
        <v>46036</v>
      </c>
      <c r="D149" s="13" t="s">
        <v>124</v>
      </c>
      <c r="E149" s="324" t="s">
        <v>125</v>
      </c>
      <c r="F149" s="13" t="s">
        <v>140</v>
      </c>
      <c r="G149" s="13" t="s">
        <v>126</v>
      </c>
      <c r="H149" s="349">
        <v>1000</v>
      </c>
      <c r="I149" s="15"/>
      <c r="J149" s="15"/>
      <c r="K149" s="15"/>
      <c r="L149" s="15"/>
      <c r="M149" s="15"/>
      <c r="N149" s="15"/>
      <c r="O149" s="15"/>
      <c r="P149" s="15"/>
      <c r="Q149" s="15"/>
      <c r="R149" s="15"/>
      <c r="S149" s="15"/>
      <c r="T149" s="15"/>
      <c r="U149" s="15"/>
      <c r="V149" s="15"/>
      <c r="W149" s="15"/>
      <c r="X149" s="15"/>
      <c r="Y149" s="15"/>
      <c r="Z149" s="98"/>
      <c r="AA149" s="98"/>
      <c r="AB149" s="16" t="e">
        <f>100/(SUM(I149:Z149))</f>
        <v>#DIV/0!</v>
      </c>
      <c r="AC149" s="259">
        <f>SUM(I149:AA149)</f>
        <v>0</v>
      </c>
      <c r="AD149" s="15"/>
      <c r="AE149" s="15"/>
      <c r="AF149" s="15"/>
      <c r="AG149" s="17" t="s">
        <v>127</v>
      </c>
      <c r="AH149" s="201"/>
      <c r="AI149" s="201"/>
      <c r="AJ149" s="201" t="s">
        <v>2404</v>
      </c>
      <c r="AK149" s="13"/>
      <c r="AL149" s="17">
        <f>(B149-DATE(1970,1,1))*86400</f>
        <v>1768176000</v>
      </c>
      <c r="AM149" s="17">
        <f>(C149-DATE(1970,1,1))*86400</f>
        <v>1768348800</v>
      </c>
      <c r="AN149" s="17">
        <f>AVERAGE(AL149:AM149)</f>
        <v>1768262400</v>
      </c>
    </row>
    <row r="150" spans="1:40" x14ac:dyDescent="0.2">
      <c r="A150" s="279" t="s">
        <v>123</v>
      </c>
      <c r="B150" s="14">
        <v>46034</v>
      </c>
      <c r="C150" s="14">
        <v>46036</v>
      </c>
      <c r="D150" s="13" t="s">
        <v>2288</v>
      </c>
      <c r="E150" s="401">
        <v>1</v>
      </c>
      <c r="F150" s="13"/>
      <c r="G150" s="13" t="s">
        <v>126</v>
      </c>
      <c r="H150" s="349">
        <v>1000</v>
      </c>
      <c r="I150" s="15">
        <v>45</v>
      </c>
      <c r="J150" s="15"/>
      <c r="K150" s="15"/>
      <c r="L150" s="15"/>
      <c r="M150" s="15">
        <v>3</v>
      </c>
      <c r="N150" s="15"/>
      <c r="O150" s="15"/>
      <c r="P150" s="15"/>
      <c r="Q150" s="15"/>
      <c r="R150" s="15"/>
      <c r="S150" s="15"/>
      <c r="T150" s="15"/>
      <c r="U150" s="15"/>
      <c r="V150" s="15">
        <v>5</v>
      </c>
      <c r="W150" s="15"/>
      <c r="X150" s="15">
        <v>7</v>
      </c>
      <c r="Y150" s="15">
        <v>40</v>
      </c>
      <c r="Z150" s="98"/>
      <c r="AA150" s="397">
        <v>0</v>
      </c>
      <c r="AB150" s="16">
        <f>100/(SUM(I150:Z150))</f>
        <v>1</v>
      </c>
      <c r="AC150" s="259">
        <f>SUM(I150:AA150)</f>
        <v>100</v>
      </c>
      <c r="AD150" s="15"/>
      <c r="AE150" s="15"/>
      <c r="AF150" s="15"/>
      <c r="AG150" s="17" t="s">
        <v>2221</v>
      </c>
      <c r="AH150" s="201" t="s">
        <v>2420</v>
      </c>
      <c r="AI150" s="201" t="s">
        <v>2421</v>
      </c>
      <c r="AJ150" s="201"/>
      <c r="AK150" s="13"/>
      <c r="AL150" s="17">
        <f>(B150-DATE(1970,1,1))*86400</f>
        <v>1768176000</v>
      </c>
      <c r="AM150" s="17">
        <f>(C150-DATE(1970,1,1))*86400</f>
        <v>1768348800</v>
      </c>
      <c r="AN150" s="17">
        <f>AVERAGE(AL150:AM150)</f>
        <v>1768262400</v>
      </c>
    </row>
    <row r="151" spans="1:40" ht="15.75" customHeight="1" x14ac:dyDescent="0.2">
      <c r="A151" s="281" t="s">
        <v>133</v>
      </c>
      <c r="B151" s="240">
        <v>46034</v>
      </c>
      <c r="C151" s="240">
        <v>46036</v>
      </c>
      <c r="D151" s="53" t="s">
        <v>154</v>
      </c>
      <c r="E151" s="323" t="s">
        <v>125</v>
      </c>
      <c r="F151" s="53" t="s">
        <v>2487</v>
      </c>
      <c r="G151" s="53" t="s">
        <v>126</v>
      </c>
      <c r="H151" s="351">
        <v>1001</v>
      </c>
      <c r="I151" s="55">
        <v>35</v>
      </c>
      <c r="J151" s="55"/>
      <c r="K151" s="55"/>
      <c r="L151" s="55"/>
      <c r="M151" s="55">
        <v>4</v>
      </c>
      <c r="N151" s="55"/>
      <c r="O151" s="55"/>
      <c r="P151" s="55"/>
      <c r="Q151" s="55"/>
      <c r="R151" s="56"/>
      <c r="S151" s="55"/>
      <c r="T151" s="55"/>
      <c r="U151" s="55"/>
      <c r="V151" s="55">
        <v>2</v>
      </c>
      <c r="W151" s="55"/>
      <c r="X151" s="55"/>
      <c r="Y151" s="55">
        <v>48</v>
      </c>
      <c r="Z151" s="55"/>
      <c r="AA151" s="55">
        <v>11</v>
      </c>
      <c r="AB151" s="57">
        <f>100/(SUM(I151:Z151))</f>
        <v>1.1235955056179776</v>
      </c>
      <c r="AC151" s="259">
        <f>SUM(I151:AA151)</f>
        <v>100</v>
      </c>
      <c r="AD151" s="55"/>
      <c r="AE151" s="55"/>
      <c r="AF151" s="55"/>
      <c r="AG151" s="58" t="s">
        <v>2412</v>
      </c>
      <c r="AH151" s="186" t="s">
        <v>2413</v>
      </c>
      <c r="AI151" s="186"/>
      <c r="AJ151" s="186"/>
      <c r="AK151" s="53" t="s">
        <v>2426</v>
      </c>
      <c r="AL151" s="58">
        <f>(B151-DATE(1970,1,1))*86400</f>
        <v>1768176000</v>
      </c>
      <c r="AM151" s="58">
        <f>(C151-DATE(1970,1,1))*86400</f>
        <v>1768348800</v>
      </c>
      <c r="AN151" s="58">
        <f>AVERAGE(AL151:AM151)</f>
        <v>1768262400</v>
      </c>
    </row>
    <row r="152" spans="1:40" x14ac:dyDescent="0.2">
      <c r="A152" s="281" t="s">
        <v>133</v>
      </c>
      <c r="B152" s="240">
        <v>46034</v>
      </c>
      <c r="C152" s="240">
        <v>46036</v>
      </c>
      <c r="D152" s="53" t="s">
        <v>154</v>
      </c>
      <c r="E152" s="323" t="s">
        <v>125</v>
      </c>
      <c r="F152" s="53" t="s">
        <v>2487</v>
      </c>
      <c r="G152" s="53" t="s">
        <v>126</v>
      </c>
      <c r="H152" s="351">
        <v>1001</v>
      </c>
      <c r="I152" s="55">
        <v>36</v>
      </c>
      <c r="J152" s="55"/>
      <c r="K152" s="55"/>
      <c r="L152" s="55"/>
      <c r="M152" s="55">
        <v>3</v>
      </c>
      <c r="N152" s="55"/>
      <c r="O152" s="55"/>
      <c r="P152" s="55"/>
      <c r="Q152" s="55"/>
      <c r="R152" s="56"/>
      <c r="S152" s="55"/>
      <c r="T152" s="55"/>
      <c r="U152" s="55"/>
      <c r="V152" s="55">
        <v>2</v>
      </c>
      <c r="W152" s="55"/>
      <c r="X152" s="55"/>
      <c r="Y152" s="55">
        <v>51</v>
      </c>
      <c r="Z152" s="55"/>
      <c r="AA152" s="55">
        <v>8</v>
      </c>
      <c r="AB152" s="57">
        <f>100/(SUM(I152:Z152))</f>
        <v>1.0869565217391304</v>
      </c>
      <c r="AC152" s="259">
        <f>SUM(I152:AA152)</f>
        <v>100</v>
      </c>
      <c r="AD152" s="55"/>
      <c r="AE152" s="55"/>
      <c r="AF152" s="55"/>
      <c r="AG152" s="58" t="s">
        <v>2412</v>
      </c>
      <c r="AH152" s="186" t="s">
        <v>2413</v>
      </c>
      <c r="AI152" s="186"/>
      <c r="AJ152" s="186"/>
      <c r="AK152" s="53"/>
      <c r="AL152" s="58">
        <f>(B152-DATE(1970,1,1))*86400</f>
        <v>1768176000</v>
      </c>
      <c r="AM152" s="58">
        <f>(C152-DATE(1970,1,1))*86400</f>
        <v>1768348800</v>
      </c>
      <c r="AN152" s="58">
        <f>AVERAGE(AL152:AM152)</f>
        <v>1768262400</v>
      </c>
    </row>
    <row r="153" spans="1:40" ht="15.75" customHeight="1" x14ac:dyDescent="0.2">
      <c r="A153" s="281" t="s">
        <v>123</v>
      </c>
      <c r="B153" s="240">
        <v>46034</v>
      </c>
      <c r="C153" s="240">
        <v>46036</v>
      </c>
      <c r="D153" s="53" t="s">
        <v>154</v>
      </c>
      <c r="E153" s="323" t="s">
        <v>125</v>
      </c>
      <c r="F153" s="53" t="s">
        <v>2487</v>
      </c>
      <c r="G153" s="53" t="s">
        <v>126</v>
      </c>
      <c r="H153" s="351">
        <v>1001</v>
      </c>
      <c r="I153" s="55">
        <v>38</v>
      </c>
      <c r="J153" s="55"/>
      <c r="K153" s="55"/>
      <c r="L153" s="55"/>
      <c r="M153" s="55">
        <v>4</v>
      </c>
      <c r="N153" s="55"/>
      <c r="O153" s="55"/>
      <c r="P153" s="55"/>
      <c r="Q153" s="55"/>
      <c r="R153" s="56"/>
      <c r="S153" s="55"/>
      <c r="T153" s="55"/>
      <c r="U153" s="55"/>
      <c r="V153" s="55">
        <v>3</v>
      </c>
      <c r="W153" s="55"/>
      <c r="X153" s="55"/>
      <c r="Y153" s="55">
        <v>55</v>
      </c>
      <c r="Z153" s="55"/>
      <c r="AA153" s="55">
        <v>0</v>
      </c>
      <c r="AB153" s="57">
        <f>100/(SUM(I153:Z153))</f>
        <v>1</v>
      </c>
      <c r="AC153" s="259">
        <f>SUM(I153:AA153)</f>
        <v>100</v>
      </c>
      <c r="AD153" s="55"/>
      <c r="AE153" s="55"/>
      <c r="AF153" s="55"/>
      <c r="AG153" s="58" t="s">
        <v>2412</v>
      </c>
      <c r="AH153" s="186" t="s">
        <v>2413</v>
      </c>
      <c r="AI153" s="186"/>
      <c r="AJ153" s="186"/>
      <c r="AK153" s="53"/>
      <c r="AL153" s="58">
        <f>(B153-DATE(1970,1,1))*86400</f>
        <v>1768176000</v>
      </c>
      <c r="AM153" s="58">
        <f>(C153-DATE(1970,1,1))*86400</f>
        <v>1768348800</v>
      </c>
      <c r="AN153" s="58">
        <f>AVERAGE(AL153:AM153)</f>
        <v>1768262400</v>
      </c>
    </row>
    <row r="154" spans="1:40" ht="15.75" customHeight="1" x14ac:dyDescent="0.2">
      <c r="A154" s="283" t="s">
        <v>133</v>
      </c>
      <c r="B154" s="28">
        <v>46031</v>
      </c>
      <c r="C154" s="28">
        <v>46039</v>
      </c>
      <c r="D154" s="27" t="s">
        <v>139</v>
      </c>
      <c r="E154" s="331" t="s">
        <v>125</v>
      </c>
      <c r="F154" s="27" t="s">
        <v>2486</v>
      </c>
      <c r="G154" s="27" t="s">
        <v>149</v>
      </c>
      <c r="H154" s="352">
        <v>1000</v>
      </c>
      <c r="I154" s="29">
        <v>42.3</v>
      </c>
      <c r="J154" s="29">
        <v>0.6</v>
      </c>
      <c r="K154" s="29"/>
      <c r="L154" s="29"/>
      <c r="M154" s="29">
        <v>4.7</v>
      </c>
      <c r="N154" s="29"/>
      <c r="O154" s="29"/>
      <c r="P154" s="29"/>
      <c r="Q154" s="29"/>
      <c r="R154" s="29"/>
      <c r="S154" s="29"/>
      <c r="T154" s="29"/>
      <c r="U154" s="29"/>
      <c r="V154" s="29">
        <v>4</v>
      </c>
      <c r="W154" s="29"/>
      <c r="X154" s="29">
        <v>10.6</v>
      </c>
      <c r="Y154" s="29">
        <v>37.9</v>
      </c>
      <c r="Z154" s="29">
        <v>0</v>
      </c>
      <c r="AA154" s="29">
        <v>0</v>
      </c>
      <c r="AB154" s="30">
        <f>100/(SUM(I154:Z154))</f>
        <v>0.99900099900099903</v>
      </c>
      <c r="AC154" s="259">
        <f>SUM(I154:AA154)</f>
        <v>100.1</v>
      </c>
      <c r="AD154" s="29"/>
      <c r="AE154" s="29"/>
      <c r="AF154" s="29"/>
      <c r="AG154" s="31" t="s">
        <v>136</v>
      </c>
      <c r="AH154" s="198" t="s">
        <v>2460</v>
      </c>
      <c r="AI154" s="198"/>
      <c r="AJ154" s="198"/>
      <c r="AK154" s="27" t="s">
        <v>2459</v>
      </c>
      <c r="AL154" s="31">
        <f>(B154-DATE(1970,1,1))*86400</f>
        <v>1767916800</v>
      </c>
      <c r="AM154" s="31">
        <f>(C154-DATE(1970,1,1))*86400</f>
        <v>1768608000</v>
      </c>
      <c r="AN154" s="31">
        <f>AVERAGE(AL154:AM154)</f>
        <v>1768262400</v>
      </c>
    </row>
    <row r="155" spans="1:40" x14ac:dyDescent="0.2">
      <c r="A155" s="285" t="s">
        <v>133</v>
      </c>
      <c r="B155" s="34">
        <v>46029</v>
      </c>
      <c r="C155" s="34">
        <v>46035</v>
      </c>
      <c r="D155" s="33" t="s">
        <v>143</v>
      </c>
      <c r="E155" s="319" t="s">
        <v>125</v>
      </c>
      <c r="F155" s="33"/>
      <c r="G155" s="33" t="s">
        <v>126</v>
      </c>
      <c r="H155" s="353">
        <v>1000</v>
      </c>
      <c r="I155" s="35">
        <v>33</v>
      </c>
      <c r="J155" s="35"/>
      <c r="K155" s="35"/>
      <c r="L155" s="35"/>
      <c r="M155" s="35">
        <v>1</v>
      </c>
      <c r="N155" s="35"/>
      <c r="O155" s="35"/>
      <c r="P155" s="35"/>
      <c r="Q155" s="35"/>
      <c r="R155" s="36"/>
      <c r="S155" s="35"/>
      <c r="T155" s="35"/>
      <c r="U155" s="35"/>
      <c r="V155" s="35">
        <v>2</v>
      </c>
      <c r="W155" s="35"/>
      <c r="X155" s="35">
        <v>4</v>
      </c>
      <c r="Y155" s="35">
        <v>40</v>
      </c>
      <c r="Z155" s="35">
        <v>1</v>
      </c>
      <c r="AA155" s="35">
        <v>19</v>
      </c>
      <c r="AB155" s="37">
        <f>100/(SUM(I155:Z155))</f>
        <v>1.2345679012345678</v>
      </c>
      <c r="AC155" s="259">
        <f>SUM(I155:AA155)</f>
        <v>100</v>
      </c>
      <c r="AD155" s="35">
        <v>90</v>
      </c>
      <c r="AE155" s="35">
        <v>7.4</v>
      </c>
      <c r="AF155" s="35">
        <v>13.6</v>
      </c>
      <c r="AG155" s="33" t="s">
        <v>144</v>
      </c>
      <c r="AH155" s="196" t="s">
        <v>2391</v>
      </c>
      <c r="AI155" s="190" t="s">
        <v>2560</v>
      </c>
      <c r="AJ155" s="190" t="s">
        <v>2465</v>
      </c>
      <c r="AK155" s="33" t="s">
        <v>2561</v>
      </c>
      <c r="AL155" s="39">
        <f>(B155-DATE(1970,1,1))*86400</f>
        <v>1767744000</v>
      </c>
      <c r="AM155" s="39">
        <f>(C155-DATE(1970,1,1))*86400</f>
        <v>1768262400</v>
      </c>
      <c r="AN155" s="39">
        <f>AVERAGE(AL155:AM155)</f>
        <v>1768003200</v>
      </c>
    </row>
    <row r="156" spans="1:40" ht="15.75" customHeight="1" x14ac:dyDescent="0.2">
      <c r="A156" s="285" t="s">
        <v>133</v>
      </c>
      <c r="B156" s="34">
        <v>46029</v>
      </c>
      <c r="C156" s="34">
        <v>46035</v>
      </c>
      <c r="D156" s="33" t="s">
        <v>143</v>
      </c>
      <c r="E156" s="319" t="s">
        <v>125</v>
      </c>
      <c r="F156" s="33"/>
      <c r="G156" s="33" t="s">
        <v>126</v>
      </c>
      <c r="H156" s="353">
        <v>1000</v>
      </c>
      <c r="I156" s="35">
        <v>41</v>
      </c>
      <c r="J156" s="35"/>
      <c r="K156" s="35" t="s">
        <v>355</v>
      </c>
      <c r="L156" s="35"/>
      <c r="M156" s="35">
        <v>1</v>
      </c>
      <c r="N156" s="35"/>
      <c r="O156" s="35"/>
      <c r="P156" s="35"/>
      <c r="Q156" s="35"/>
      <c r="R156" s="36"/>
      <c r="S156" s="35"/>
      <c r="T156" s="35"/>
      <c r="U156" s="35"/>
      <c r="V156" s="35">
        <v>3</v>
      </c>
      <c r="W156" s="35"/>
      <c r="X156" s="35">
        <v>5</v>
      </c>
      <c r="Y156" s="35">
        <v>49</v>
      </c>
      <c r="Z156" s="35">
        <v>1</v>
      </c>
      <c r="AA156" s="35">
        <v>0</v>
      </c>
      <c r="AB156" s="37">
        <f>100/(SUM(I156:Z156))</f>
        <v>1</v>
      </c>
      <c r="AC156" s="259">
        <f>SUM(I156:AA156)</f>
        <v>100</v>
      </c>
      <c r="AD156" s="35"/>
      <c r="AE156" s="35"/>
      <c r="AF156" s="35"/>
      <c r="AG156" s="33" t="s">
        <v>144</v>
      </c>
      <c r="AH156" s="196" t="s">
        <v>2391</v>
      </c>
      <c r="AI156" s="190" t="s">
        <v>2392</v>
      </c>
      <c r="AJ156" s="190" t="s">
        <v>2466</v>
      </c>
      <c r="AK156" s="33"/>
      <c r="AL156" s="39">
        <f>(B156-DATE(1970,1,1))*86400</f>
        <v>1767744000</v>
      </c>
      <c r="AM156" s="39">
        <f>(C156-DATE(1970,1,1))*86400</f>
        <v>1768262400</v>
      </c>
      <c r="AN156" s="39">
        <f>AVERAGE(AL156:AM156)</f>
        <v>1768003200</v>
      </c>
    </row>
    <row r="157" spans="1:40" ht="15.75" customHeight="1" x14ac:dyDescent="0.2">
      <c r="A157" s="285" t="s">
        <v>123</v>
      </c>
      <c r="B157" s="34">
        <v>46029</v>
      </c>
      <c r="C157" s="34">
        <v>46035</v>
      </c>
      <c r="D157" s="33" t="s">
        <v>143</v>
      </c>
      <c r="E157" s="319" t="s">
        <v>125</v>
      </c>
      <c r="F157" s="33"/>
      <c r="G157" s="33" t="s">
        <v>126</v>
      </c>
      <c r="H157" s="353">
        <v>1000</v>
      </c>
      <c r="I157" s="35">
        <v>39</v>
      </c>
      <c r="J157" s="35"/>
      <c r="K157" s="35" t="s">
        <v>355</v>
      </c>
      <c r="L157" s="35"/>
      <c r="M157" s="35">
        <v>1</v>
      </c>
      <c r="N157" s="35"/>
      <c r="O157" s="35"/>
      <c r="P157" s="35"/>
      <c r="Q157" s="35"/>
      <c r="R157" s="36"/>
      <c r="S157" s="35"/>
      <c r="T157" s="35"/>
      <c r="U157" s="35"/>
      <c r="V157" s="35">
        <v>3</v>
      </c>
      <c r="W157" s="35"/>
      <c r="X157" s="35">
        <v>5</v>
      </c>
      <c r="Y157" s="35">
        <v>51</v>
      </c>
      <c r="Z157" s="35">
        <v>1</v>
      </c>
      <c r="AA157" s="35">
        <v>0</v>
      </c>
      <c r="AB157" s="37">
        <f>100/(SUM(I157:Z157))</f>
        <v>1</v>
      </c>
      <c r="AC157" s="259">
        <f>SUM(I157:AA157)</f>
        <v>100</v>
      </c>
      <c r="AD157" s="35"/>
      <c r="AE157" s="35"/>
      <c r="AF157" s="35"/>
      <c r="AG157" s="33" t="s">
        <v>144</v>
      </c>
      <c r="AH157" s="196" t="s">
        <v>2391</v>
      </c>
      <c r="AI157" s="190" t="s">
        <v>2393</v>
      </c>
      <c r="AJ157" s="190" t="s">
        <v>2672</v>
      </c>
      <c r="AK157" s="33" t="s">
        <v>2403</v>
      </c>
      <c r="AL157" s="39">
        <f>(B157-DATE(1970,1,1))*86400</f>
        <v>1767744000</v>
      </c>
      <c r="AM157" s="39">
        <f>(C157-DATE(1970,1,1))*86400</f>
        <v>1768262400</v>
      </c>
      <c r="AN157" s="39">
        <f>AVERAGE(AL157:AM157)</f>
        <v>1768003200</v>
      </c>
    </row>
    <row r="158" spans="1:40" ht="15.75" customHeight="1" x14ac:dyDescent="0.2">
      <c r="A158" s="406" t="s">
        <v>123</v>
      </c>
      <c r="B158" s="407">
        <v>46027</v>
      </c>
      <c r="C158" s="407">
        <v>46030</v>
      </c>
      <c r="D158" s="408" t="s">
        <v>227</v>
      </c>
      <c r="E158" s="409" t="s">
        <v>125</v>
      </c>
      <c r="F158" s="408"/>
      <c r="G158" s="408" t="s">
        <v>126</v>
      </c>
      <c r="H158" s="410">
        <v>1000</v>
      </c>
      <c r="I158" s="411">
        <v>49</v>
      </c>
      <c r="J158" s="411"/>
      <c r="K158" s="411"/>
      <c r="L158" s="411"/>
      <c r="M158" s="411">
        <v>2</v>
      </c>
      <c r="N158" s="411"/>
      <c r="O158" s="411"/>
      <c r="P158" s="411"/>
      <c r="Q158" s="411"/>
      <c r="R158" s="411"/>
      <c r="S158" s="411"/>
      <c r="T158" s="411"/>
      <c r="U158" s="411"/>
      <c r="V158" s="411">
        <v>2</v>
      </c>
      <c r="W158" s="411"/>
      <c r="X158" s="411">
        <v>6</v>
      </c>
      <c r="Y158" s="411">
        <v>41</v>
      </c>
      <c r="Z158" s="411"/>
      <c r="AA158" s="411">
        <v>0</v>
      </c>
      <c r="AB158" s="412">
        <f>100/(SUM(I158:Z158))</f>
        <v>1</v>
      </c>
      <c r="AC158" s="413">
        <f>SUM(I158:AA158)</f>
        <v>100</v>
      </c>
      <c r="AD158" s="411"/>
      <c r="AE158" s="411"/>
      <c r="AF158" s="411"/>
      <c r="AG158" s="414" t="s">
        <v>127</v>
      </c>
      <c r="AH158" s="418" t="s">
        <v>2397</v>
      </c>
      <c r="AI158" s="415" t="s">
        <v>2398</v>
      </c>
      <c r="AJ158" s="415" t="s">
        <v>2399</v>
      </c>
      <c r="AK158" s="408"/>
      <c r="AL158" s="414">
        <f>(B158-DATE(1970,1,1))*86400</f>
        <v>1767571200</v>
      </c>
      <c r="AM158" s="414">
        <f>(C158-DATE(1970,1,1))*86400</f>
        <v>1767830400</v>
      </c>
      <c r="AN158" s="414">
        <f>AVERAGE(AL158:AM158)</f>
        <v>1767700800</v>
      </c>
    </row>
    <row r="159" spans="1:40" ht="15.75" customHeight="1" x14ac:dyDescent="0.2">
      <c r="A159" s="403" t="s">
        <v>133</v>
      </c>
      <c r="B159" s="14">
        <v>46027</v>
      </c>
      <c r="C159" s="14">
        <v>46029</v>
      </c>
      <c r="D159" s="13" t="s">
        <v>124</v>
      </c>
      <c r="E159" s="324" t="s">
        <v>125</v>
      </c>
      <c r="F159" s="13"/>
      <c r="G159" s="13" t="s">
        <v>126</v>
      </c>
      <c r="H159" s="349">
        <v>1000</v>
      </c>
      <c r="I159" s="15">
        <v>40</v>
      </c>
      <c r="J159" s="15"/>
      <c r="K159" s="15"/>
      <c r="L159" s="15"/>
      <c r="M159" s="15">
        <v>2</v>
      </c>
      <c r="N159" s="15"/>
      <c r="O159" s="15"/>
      <c r="P159" s="15"/>
      <c r="Q159" s="15"/>
      <c r="R159" s="15"/>
      <c r="S159" s="15"/>
      <c r="T159" s="15"/>
      <c r="U159" s="15"/>
      <c r="V159" s="15">
        <v>3</v>
      </c>
      <c r="W159" s="15"/>
      <c r="X159" s="15">
        <v>6</v>
      </c>
      <c r="Y159" s="15">
        <v>35</v>
      </c>
      <c r="Z159" s="397">
        <v>0</v>
      </c>
      <c r="AA159" s="98">
        <v>14</v>
      </c>
      <c r="AB159" s="16">
        <f>100/(SUM(I159:Z159))</f>
        <v>1.1627906976744187</v>
      </c>
      <c r="AC159" s="259">
        <f>SUM(I159:AA159)</f>
        <v>100</v>
      </c>
      <c r="AD159" s="15"/>
      <c r="AE159" s="15"/>
      <c r="AF159" s="15"/>
      <c r="AG159" s="17" t="s">
        <v>127</v>
      </c>
      <c r="AH159" s="201" t="s">
        <v>2387</v>
      </c>
      <c r="AI159" s="201" t="s">
        <v>2388</v>
      </c>
      <c r="AJ159" s="201" t="s">
        <v>2389</v>
      </c>
      <c r="AK159" s="13" t="s">
        <v>2619</v>
      </c>
      <c r="AL159" s="17">
        <f>(B159-DATE(1970,1,1))*86400</f>
        <v>1767571200</v>
      </c>
      <c r="AM159" s="17">
        <f>(C159-DATE(1970,1,1))*86400</f>
        <v>1767744000</v>
      </c>
      <c r="AN159" s="17">
        <f>AVERAGE(AL159:AM159)</f>
        <v>1767657600</v>
      </c>
    </row>
    <row r="160" spans="1:40" ht="15.75" customHeight="1" x14ac:dyDescent="0.2">
      <c r="A160" s="403" t="s">
        <v>123</v>
      </c>
      <c r="B160" s="14">
        <v>46027</v>
      </c>
      <c r="C160" s="14">
        <v>46029</v>
      </c>
      <c r="D160" s="13" t="s">
        <v>124</v>
      </c>
      <c r="E160" s="324" t="s">
        <v>125</v>
      </c>
      <c r="F160" s="13"/>
      <c r="G160" s="13" t="s">
        <v>126</v>
      </c>
      <c r="H160" s="349">
        <v>1000</v>
      </c>
      <c r="I160" s="15">
        <v>47</v>
      </c>
      <c r="J160" s="15"/>
      <c r="K160" s="15"/>
      <c r="L160" s="15"/>
      <c r="M160" s="15">
        <v>3</v>
      </c>
      <c r="N160" s="15"/>
      <c r="O160" s="15"/>
      <c r="P160" s="15"/>
      <c r="Q160" s="15"/>
      <c r="R160" s="15"/>
      <c r="S160" s="15"/>
      <c r="T160" s="15"/>
      <c r="U160" s="15"/>
      <c r="V160" s="15">
        <v>4</v>
      </c>
      <c r="W160" s="15"/>
      <c r="X160" s="15">
        <v>6</v>
      </c>
      <c r="Y160" s="15">
        <v>40</v>
      </c>
      <c r="Z160" s="15">
        <v>0</v>
      </c>
      <c r="AA160" s="15">
        <v>0</v>
      </c>
      <c r="AB160" s="16">
        <f>100/(SUM(I160:Z160))</f>
        <v>1</v>
      </c>
      <c r="AC160" s="259">
        <f>SUM(I160:AA160)</f>
        <v>100</v>
      </c>
      <c r="AD160" s="15"/>
      <c r="AE160" s="15"/>
      <c r="AF160" s="15"/>
      <c r="AG160" s="17" t="s">
        <v>127</v>
      </c>
      <c r="AH160" s="201" t="s">
        <v>2387</v>
      </c>
      <c r="AI160" s="201" t="s">
        <v>2388</v>
      </c>
      <c r="AJ160" s="201" t="s">
        <v>2390</v>
      </c>
      <c r="AK160" s="13" t="s">
        <v>2403</v>
      </c>
      <c r="AL160" s="17">
        <f>(B160-DATE(1970,1,1))*86400</f>
        <v>1767571200</v>
      </c>
      <c r="AM160" s="17">
        <f>(C160-DATE(1970,1,1))*86400</f>
        <v>1767744000</v>
      </c>
      <c r="AN160" s="17">
        <f>AVERAGE(AL160:AM160)</f>
        <v>1767657600</v>
      </c>
    </row>
    <row r="161" spans="1:40" ht="15.75" customHeight="1" x14ac:dyDescent="0.2">
      <c r="A161" s="284" t="s">
        <v>133</v>
      </c>
      <c r="B161" s="20">
        <v>46022</v>
      </c>
      <c r="C161" s="20">
        <v>46028</v>
      </c>
      <c r="D161" s="19" t="s">
        <v>134</v>
      </c>
      <c r="E161" s="332" t="s">
        <v>125</v>
      </c>
      <c r="F161" s="19"/>
      <c r="G161" s="19" t="s">
        <v>135</v>
      </c>
      <c r="H161" s="332">
        <v>1500</v>
      </c>
      <c r="I161" s="21">
        <v>27</v>
      </c>
      <c r="J161" s="21">
        <v>0</v>
      </c>
      <c r="K161" s="21">
        <v>0</v>
      </c>
      <c r="L161" s="21">
        <v>0</v>
      </c>
      <c r="M161" s="21">
        <v>4</v>
      </c>
      <c r="N161" s="21"/>
      <c r="O161" s="21">
        <v>0</v>
      </c>
      <c r="P161" s="21">
        <v>0</v>
      </c>
      <c r="Q161" s="21"/>
      <c r="R161" s="22"/>
      <c r="S161" s="21">
        <v>0</v>
      </c>
      <c r="T161" s="21">
        <v>0</v>
      </c>
      <c r="U161" s="21"/>
      <c r="V161" s="21">
        <v>2</v>
      </c>
      <c r="W161" s="21">
        <v>0</v>
      </c>
      <c r="X161" s="21">
        <v>4</v>
      </c>
      <c r="Y161" s="21">
        <v>35</v>
      </c>
      <c r="Z161" s="21">
        <v>1</v>
      </c>
      <c r="AA161" s="21">
        <v>27</v>
      </c>
      <c r="AB161" s="23">
        <f>100/(SUM(I161:Z161))</f>
        <v>1.3698630136986301</v>
      </c>
      <c r="AC161" s="259">
        <f>SUM(I161:AA161)</f>
        <v>100</v>
      </c>
      <c r="AD161" s="21"/>
      <c r="AE161" s="24"/>
      <c r="AF161" s="24"/>
      <c r="AG161" s="25" t="s">
        <v>136</v>
      </c>
      <c r="AH161" s="219" t="s">
        <v>2394</v>
      </c>
      <c r="AI161" s="26" t="s">
        <v>2395</v>
      </c>
      <c r="AJ161" s="219" t="s">
        <v>2396</v>
      </c>
      <c r="AK161" s="19"/>
      <c r="AL161" s="25">
        <f>(B161-DATE(1970,1,1))*86400</f>
        <v>1767139200</v>
      </c>
      <c r="AM161" s="25">
        <f>(C161-DATE(1970,1,1))*86400</f>
        <v>1767657600</v>
      </c>
      <c r="AN161" s="25">
        <f>AVERAGE(AL161:AM161)</f>
        <v>1767398400</v>
      </c>
    </row>
    <row r="162" spans="1:40" ht="15.75" customHeight="1" x14ac:dyDescent="0.2">
      <c r="A162" s="284" t="s">
        <v>123</v>
      </c>
      <c r="B162" s="20">
        <v>46022</v>
      </c>
      <c r="C162" s="20">
        <v>46028</v>
      </c>
      <c r="D162" s="19" t="s">
        <v>134</v>
      </c>
      <c r="E162" s="332" t="s">
        <v>125</v>
      </c>
      <c r="F162" s="19"/>
      <c r="G162" s="19" t="s">
        <v>135</v>
      </c>
      <c r="H162" s="332">
        <v>1500</v>
      </c>
      <c r="I162" s="21">
        <v>38</v>
      </c>
      <c r="J162" s="21">
        <v>0</v>
      </c>
      <c r="K162" s="21">
        <v>0</v>
      </c>
      <c r="L162" s="21">
        <v>0</v>
      </c>
      <c r="M162" s="21">
        <v>5</v>
      </c>
      <c r="N162" s="21"/>
      <c r="O162" s="21">
        <v>0</v>
      </c>
      <c r="P162" s="21">
        <v>0</v>
      </c>
      <c r="Q162" s="21"/>
      <c r="R162" s="22"/>
      <c r="S162" s="21">
        <v>0</v>
      </c>
      <c r="T162" s="21">
        <v>0</v>
      </c>
      <c r="U162" s="21"/>
      <c r="V162" s="21">
        <v>3</v>
      </c>
      <c r="W162" s="21">
        <v>0</v>
      </c>
      <c r="X162" s="21">
        <v>4</v>
      </c>
      <c r="Y162" s="21">
        <v>48</v>
      </c>
      <c r="Z162" s="21">
        <v>2</v>
      </c>
      <c r="AA162" s="21">
        <v>0</v>
      </c>
      <c r="AB162" s="23">
        <f>100/(SUM(I162:Z162))</f>
        <v>1</v>
      </c>
      <c r="AC162" s="259">
        <f>SUM(I162:AA162)</f>
        <v>100</v>
      </c>
      <c r="AD162" s="24"/>
      <c r="AE162" s="24"/>
      <c r="AF162" s="24"/>
      <c r="AG162" s="25" t="s">
        <v>136</v>
      </c>
      <c r="AH162" s="219" t="s">
        <v>2394</v>
      </c>
      <c r="AI162" s="26" t="s">
        <v>2395</v>
      </c>
      <c r="AJ162" s="26" t="s">
        <v>2396</v>
      </c>
      <c r="AK162" s="19" t="s">
        <v>2403</v>
      </c>
      <c r="AL162" s="25">
        <f>(B162-DATE(1970,1,1))*86400</f>
        <v>1767139200</v>
      </c>
      <c r="AM162" s="25">
        <f>(C162-DATE(1970,1,1))*86400</f>
        <v>1767657600</v>
      </c>
      <c r="AN162" s="25">
        <f>AVERAGE(AL162:AM162)</f>
        <v>1767398400</v>
      </c>
    </row>
    <row r="163" spans="1:40" ht="15.75" customHeight="1" x14ac:dyDescent="0.2">
      <c r="A163" s="291" t="s">
        <v>123</v>
      </c>
      <c r="B163" s="191">
        <v>46013</v>
      </c>
      <c r="C163" s="191">
        <v>46014</v>
      </c>
      <c r="D163" s="47" t="s">
        <v>152</v>
      </c>
      <c r="E163" s="337" t="s">
        <v>125</v>
      </c>
      <c r="F163" s="47"/>
      <c r="G163" s="47" t="s">
        <v>126</v>
      </c>
      <c r="H163" s="356">
        <v>1000</v>
      </c>
      <c r="I163" s="49"/>
      <c r="J163" s="49"/>
      <c r="K163" s="49"/>
      <c r="L163" s="49"/>
      <c r="M163" s="49"/>
      <c r="N163" s="49"/>
      <c r="O163" s="49"/>
      <c r="P163" s="49"/>
      <c r="Q163" s="49"/>
      <c r="R163" s="49"/>
      <c r="S163" s="49"/>
      <c r="T163" s="49"/>
      <c r="U163" s="49"/>
      <c r="V163" s="49"/>
      <c r="W163" s="49"/>
      <c r="X163" s="49"/>
      <c r="Y163" s="49"/>
      <c r="Z163" s="49"/>
      <c r="AA163" s="49"/>
      <c r="AB163" s="50" t="e">
        <f>100/(SUM(I163:Z163))</f>
        <v>#DIV/0!</v>
      </c>
      <c r="AC163" s="259">
        <f>SUM(I163:AA163)</f>
        <v>0</v>
      </c>
      <c r="AD163" s="49"/>
      <c r="AE163" s="49"/>
      <c r="AF163" s="49"/>
      <c r="AG163" s="51" t="s">
        <v>127</v>
      </c>
      <c r="AH163" s="193" t="s">
        <v>2371</v>
      </c>
      <c r="AI163" s="193"/>
      <c r="AJ163" s="193"/>
      <c r="AK163" s="47"/>
      <c r="AL163" s="51">
        <f>(B163-DATE(1970,1,1))*86400</f>
        <v>1766361600</v>
      </c>
      <c r="AM163" s="51">
        <f>(C163-DATE(1970,1,1))*86400</f>
        <v>1766448000</v>
      </c>
      <c r="AN163" s="51">
        <f>AVERAGE(AL163:AM163)</f>
        <v>1766404800</v>
      </c>
    </row>
    <row r="164" spans="1:40" ht="15.75" customHeight="1" x14ac:dyDescent="0.2">
      <c r="A164" s="291" t="s">
        <v>123</v>
      </c>
      <c r="B164" s="191">
        <v>46009</v>
      </c>
      <c r="C164" s="191">
        <v>46010</v>
      </c>
      <c r="D164" s="47" t="s">
        <v>152</v>
      </c>
      <c r="E164" s="337" t="s">
        <v>125</v>
      </c>
      <c r="F164" s="47"/>
      <c r="G164" s="47" t="s">
        <v>126</v>
      </c>
      <c r="H164" s="356">
        <v>1000</v>
      </c>
      <c r="I164" s="49">
        <v>51</v>
      </c>
      <c r="J164" s="49"/>
      <c r="K164" s="49"/>
      <c r="L164" s="49"/>
      <c r="M164" s="49">
        <v>2</v>
      </c>
      <c r="N164" s="49"/>
      <c r="O164" s="49"/>
      <c r="P164" s="49" t="s">
        <v>355</v>
      </c>
      <c r="Q164" s="49"/>
      <c r="R164" s="49"/>
      <c r="S164" s="49"/>
      <c r="T164" s="49"/>
      <c r="U164" s="49"/>
      <c r="V164" s="49">
        <v>3</v>
      </c>
      <c r="W164" s="49"/>
      <c r="X164" s="49">
        <v>5</v>
      </c>
      <c r="Y164" s="49">
        <v>38</v>
      </c>
      <c r="Z164" s="49">
        <v>1</v>
      </c>
      <c r="AA164" s="49">
        <v>0</v>
      </c>
      <c r="AB164" s="50">
        <f>100/(SUM(I164:Z164))</f>
        <v>1</v>
      </c>
      <c r="AC164" s="259">
        <f>SUM(I164:AA164)</f>
        <v>100</v>
      </c>
      <c r="AD164" s="49"/>
      <c r="AE164" s="49"/>
      <c r="AF164" s="49"/>
      <c r="AG164" s="51" t="s">
        <v>127</v>
      </c>
      <c r="AH164" s="193" t="s">
        <v>2370</v>
      </c>
      <c r="AI164" s="193"/>
      <c r="AJ164" s="193"/>
      <c r="AK164" s="47" t="s">
        <v>2373</v>
      </c>
      <c r="AL164" s="51">
        <f>(B164-DATE(1970,1,1))*86400</f>
        <v>1766016000</v>
      </c>
      <c r="AM164" s="51">
        <f>(C164-DATE(1970,1,1))*86400</f>
        <v>1766102400</v>
      </c>
      <c r="AN164" s="51">
        <f>AVERAGE(AL164:AM164)</f>
        <v>1766059200</v>
      </c>
    </row>
    <row r="165" spans="1:40" ht="15.75" customHeight="1" x14ac:dyDescent="0.2">
      <c r="A165" s="281" t="s">
        <v>133</v>
      </c>
      <c r="B165" s="240">
        <v>46007</v>
      </c>
      <c r="C165" s="240">
        <v>46011</v>
      </c>
      <c r="D165" s="53" t="s">
        <v>154</v>
      </c>
      <c r="E165" s="323" t="s">
        <v>125</v>
      </c>
      <c r="F165" s="53"/>
      <c r="G165" s="53" t="s">
        <v>126</v>
      </c>
      <c r="H165" s="351">
        <v>1001</v>
      </c>
      <c r="I165" s="55">
        <v>28</v>
      </c>
      <c r="J165" s="55">
        <v>0</v>
      </c>
      <c r="K165" s="55">
        <v>0</v>
      </c>
      <c r="L165" s="55">
        <v>0</v>
      </c>
      <c r="M165" s="55">
        <v>4</v>
      </c>
      <c r="N165" s="55"/>
      <c r="O165" s="55">
        <v>0</v>
      </c>
      <c r="P165" s="55">
        <v>0</v>
      </c>
      <c r="Q165" s="55"/>
      <c r="R165" s="56"/>
      <c r="S165" s="55">
        <v>0</v>
      </c>
      <c r="T165" s="55"/>
      <c r="U165" s="55">
        <v>0</v>
      </c>
      <c r="V165" s="55">
        <v>2</v>
      </c>
      <c r="W165" s="55"/>
      <c r="X165" s="55">
        <v>4</v>
      </c>
      <c r="Y165" s="55">
        <v>33</v>
      </c>
      <c r="Z165" s="55">
        <v>0</v>
      </c>
      <c r="AA165" s="55">
        <v>29</v>
      </c>
      <c r="AB165" s="57">
        <f>100/(SUM(I165:Z165))</f>
        <v>1.408450704225352</v>
      </c>
      <c r="AC165" s="259">
        <f>SUM(I165:AA165)</f>
        <v>100</v>
      </c>
      <c r="AD165" s="55"/>
      <c r="AE165" s="55"/>
      <c r="AF165" s="55"/>
      <c r="AG165" s="58" t="s">
        <v>127</v>
      </c>
      <c r="AH165" s="186" t="s">
        <v>2364</v>
      </c>
      <c r="AI165" s="186" t="s">
        <v>2365</v>
      </c>
      <c r="AJ165" s="186" t="s">
        <v>2366</v>
      </c>
      <c r="AK165" s="53" t="s">
        <v>2373</v>
      </c>
      <c r="AL165" s="58">
        <f>(B165-DATE(1970,1,1))*86400</f>
        <v>1765843200</v>
      </c>
      <c r="AM165" s="58">
        <f>(C165-DATE(1970,1,1))*86400</f>
        <v>1766188800</v>
      </c>
      <c r="AN165" s="58">
        <f>AVERAGE(AL165:AM165)</f>
        <v>1766016000</v>
      </c>
    </row>
    <row r="166" spans="1:40" ht="15.75" customHeight="1" x14ac:dyDescent="0.2">
      <c r="A166" s="281" t="s">
        <v>133</v>
      </c>
      <c r="B166" s="240">
        <v>46007</v>
      </c>
      <c r="C166" s="240">
        <v>46011</v>
      </c>
      <c r="D166" s="53" t="s">
        <v>154</v>
      </c>
      <c r="E166" s="323" t="s">
        <v>125</v>
      </c>
      <c r="F166" s="53"/>
      <c r="G166" s="53" t="s">
        <v>126</v>
      </c>
      <c r="H166" s="351">
        <v>1001</v>
      </c>
      <c r="I166" s="55">
        <v>34</v>
      </c>
      <c r="J166" s="55">
        <v>0</v>
      </c>
      <c r="K166" s="55">
        <v>0</v>
      </c>
      <c r="L166" s="55">
        <v>0</v>
      </c>
      <c r="M166" s="55">
        <v>5</v>
      </c>
      <c r="N166" s="55"/>
      <c r="O166" s="55">
        <v>0</v>
      </c>
      <c r="P166" s="55">
        <v>0</v>
      </c>
      <c r="Q166" s="55"/>
      <c r="R166" s="56"/>
      <c r="S166" s="55">
        <v>0</v>
      </c>
      <c r="T166" s="55"/>
      <c r="U166" s="55">
        <v>0</v>
      </c>
      <c r="V166" s="55">
        <v>2</v>
      </c>
      <c r="W166" s="55"/>
      <c r="X166" s="55">
        <v>5</v>
      </c>
      <c r="Y166" s="55">
        <v>38</v>
      </c>
      <c r="Z166" s="55">
        <v>0</v>
      </c>
      <c r="AA166" s="241">
        <v>17</v>
      </c>
      <c r="AB166" s="57">
        <f>100/(SUM(I166:Z166))</f>
        <v>1.1904761904761905</v>
      </c>
      <c r="AC166" s="259">
        <f>SUM(I166:AA166)</f>
        <v>101</v>
      </c>
      <c r="AD166" s="55"/>
      <c r="AE166" s="55"/>
      <c r="AF166" s="55"/>
      <c r="AG166" s="58" t="s">
        <v>127</v>
      </c>
      <c r="AH166" s="186" t="s">
        <v>2386</v>
      </c>
      <c r="AI166" s="186" t="s">
        <v>2374</v>
      </c>
      <c r="AJ166" s="186" t="s">
        <v>2367</v>
      </c>
      <c r="AK166" s="53"/>
      <c r="AL166" s="58">
        <f>(B166-DATE(1970,1,1))*86400</f>
        <v>1765843200</v>
      </c>
      <c r="AM166" s="58">
        <f>(C166-DATE(1970,1,1))*86400</f>
        <v>1766188800</v>
      </c>
      <c r="AN166" s="58">
        <f>AVERAGE(AL166:AM166)</f>
        <v>1766016000</v>
      </c>
    </row>
    <row r="167" spans="1:40" x14ac:dyDescent="0.2">
      <c r="A167" s="281" t="s">
        <v>123</v>
      </c>
      <c r="B167" s="240">
        <v>46007</v>
      </c>
      <c r="C167" s="240">
        <v>46011</v>
      </c>
      <c r="D167" s="53" t="s">
        <v>154</v>
      </c>
      <c r="E167" s="323" t="s">
        <v>125</v>
      </c>
      <c r="F167" s="53"/>
      <c r="G167" s="53" t="s">
        <v>126</v>
      </c>
      <c r="H167" s="351">
        <v>1001</v>
      </c>
      <c r="I167" s="55">
        <v>40</v>
      </c>
      <c r="J167" s="55">
        <v>0</v>
      </c>
      <c r="K167" s="55">
        <v>0</v>
      </c>
      <c r="L167" s="55">
        <v>0</v>
      </c>
      <c r="M167" s="55">
        <v>5</v>
      </c>
      <c r="N167" s="55"/>
      <c r="O167" s="55">
        <v>0</v>
      </c>
      <c r="P167" s="55">
        <v>0</v>
      </c>
      <c r="Q167" s="55"/>
      <c r="R167" s="56"/>
      <c r="S167" s="55">
        <v>0</v>
      </c>
      <c r="T167" s="55"/>
      <c r="U167" s="55">
        <v>0</v>
      </c>
      <c r="V167" s="55">
        <v>3</v>
      </c>
      <c r="W167" s="55"/>
      <c r="X167" s="55">
        <v>5</v>
      </c>
      <c r="Y167" s="55">
        <v>48</v>
      </c>
      <c r="Z167" s="55">
        <v>0</v>
      </c>
      <c r="AA167" s="55">
        <v>0</v>
      </c>
      <c r="AB167" s="57">
        <f>100/(SUM(I167:Z167))</f>
        <v>0.99009900990099009</v>
      </c>
      <c r="AC167" s="259">
        <f>SUM(I167:AA167)</f>
        <v>101</v>
      </c>
      <c r="AD167" s="55"/>
      <c r="AE167" s="55"/>
      <c r="AF167" s="55"/>
      <c r="AG167" s="58" t="s">
        <v>127</v>
      </c>
      <c r="AH167" s="186" t="s">
        <v>2364</v>
      </c>
      <c r="AI167" s="186" t="s">
        <v>2375</v>
      </c>
      <c r="AJ167" s="186" t="s">
        <v>2368</v>
      </c>
      <c r="AK167" s="53"/>
      <c r="AL167" s="58">
        <f>(B167-DATE(1970,1,1))*86400</f>
        <v>1765843200</v>
      </c>
      <c r="AM167" s="58">
        <f>(C167-DATE(1970,1,1))*86400</f>
        <v>1766188800</v>
      </c>
      <c r="AN167" s="58">
        <f>AVERAGE(AL167:AM167)</f>
        <v>1766016000</v>
      </c>
    </row>
    <row r="168" spans="1:40" ht="15.75" customHeight="1" x14ac:dyDescent="0.2">
      <c r="A168" s="287" t="s">
        <v>133</v>
      </c>
      <c r="B168" s="187">
        <v>46006</v>
      </c>
      <c r="C168" s="187">
        <v>46009</v>
      </c>
      <c r="D168" s="69" t="s">
        <v>183</v>
      </c>
      <c r="E168" s="400">
        <v>1</v>
      </c>
      <c r="F168" s="69" t="s">
        <v>2382</v>
      </c>
      <c r="G168" s="188" t="s">
        <v>126</v>
      </c>
      <c r="H168" s="354">
        <v>800</v>
      </c>
      <c r="I168" s="72">
        <v>28.7</v>
      </c>
      <c r="J168" s="72"/>
      <c r="K168" s="72"/>
      <c r="L168" s="72"/>
      <c r="M168" s="72">
        <v>1.7</v>
      </c>
      <c r="N168" s="72"/>
      <c r="O168" s="72"/>
      <c r="P168" s="72"/>
      <c r="Q168" s="72"/>
      <c r="R168" s="72"/>
      <c r="S168" s="72"/>
      <c r="T168" s="72"/>
      <c r="U168" s="72"/>
      <c r="V168" s="72"/>
      <c r="W168" s="72"/>
      <c r="X168" s="72">
        <v>2.6</v>
      </c>
      <c r="Y168" s="72">
        <v>42.6</v>
      </c>
      <c r="Z168" s="72">
        <v>11.3</v>
      </c>
      <c r="AA168" s="71">
        <v>13</v>
      </c>
      <c r="AB168" s="73">
        <f>100/(SUM(I168:Z168))</f>
        <v>1.1507479861910244</v>
      </c>
      <c r="AC168" s="259">
        <f>SUM(I168:AA168)</f>
        <v>99.899999999999991</v>
      </c>
      <c r="AD168" s="71"/>
      <c r="AE168" s="71"/>
      <c r="AF168" s="71"/>
      <c r="AG168" s="74" t="s">
        <v>2378</v>
      </c>
      <c r="AH168" s="199" t="s">
        <v>2379</v>
      </c>
      <c r="AI168" s="199" t="s">
        <v>2381</v>
      </c>
      <c r="AJ168" s="75" t="s">
        <v>2380</v>
      </c>
      <c r="AK168" s="69" t="s">
        <v>2383</v>
      </c>
      <c r="AL168" s="74">
        <f>(B168-DATE(1970,1,1))*86400</f>
        <v>1765756800</v>
      </c>
      <c r="AM168" s="74">
        <f>(C168-DATE(1970,1,1))*86400</f>
        <v>1766016000</v>
      </c>
      <c r="AN168" s="74">
        <f>AVERAGE(AL168:AM168)</f>
        <v>1765886400</v>
      </c>
    </row>
    <row r="169" spans="1:40" ht="15.75" customHeight="1" x14ac:dyDescent="0.2">
      <c r="A169" s="287" t="s">
        <v>133</v>
      </c>
      <c r="B169" s="187">
        <v>46006</v>
      </c>
      <c r="C169" s="187">
        <v>46009</v>
      </c>
      <c r="D169" s="69" t="s">
        <v>183</v>
      </c>
      <c r="E169" s="400">
        <v>1</v>
      </c>
      <c r="F169" s="69" t="s">
        <v>2488</v>
      </c>
      <c r="G169" s="188" t="s">
        <v>126</v>
      </c>
      <c r="H169" s="354">
        <v>800</v>
      </c>
      <c r="I169" s="71">
        <v>33</v>
      </c>
      <c r="J169" s="71"/>
      <c r="K169" s="71"/>
      <c r="L169" s="71"/>
      <c r="M169" s="71">
        <v>2</v>
      </c>
      <c r="N169" s="71"/>
      <c r="O169" s="71"/>
      <c r="P169" s="71"/>
      <c r="Q169" s="71"/>
      <c r="R169" s="72"/>
      <c r="S169" s="71"/>
      <c r="T169" s="71"/>
      <c r="U169" s="71"/>
      <c r="V169" s="71"/>
      <c r="W169" s="71"/>
      <c r="X169" s="71">
        <v>3</v>
      </c>
      <c r="Y169" s="71">
        <v>49</v>
      </c>
      <c r="Z169" s="71">
        <v>13</v>
      </c>
      <c r="AA169" s="71">
        <v>0</v>
      </c>
      <c r="AB169" s="73">
        <f>100/(SUM(I169:Z169))</f>
        <v>1</v>
      </c>
      <c r="AC169" s="259">
        <f>SUM(I169:AA169)</f>
        <v>100</v>
      </c>
      <c r="AD169" s="71"/>
      <c r="AE169" s="71"/>
      <c r="AF169" s="71"/>
      <c r="AG169" s="74" t="s">
        <v>2378</v>
      </c>
      <c r="AH169" s="199" t="s">
        <v>2379</v>
      </c>
      <c r="AI169" s="199" t="s">
        <v>2381</v>
      </c>
      <c r="AJ169" s="75" t="s">
        <v>2380</v>
      </c>
      <c r="AK169" s="69" t="s">
        <v>2384</v>
      </c>
      <c r="AL169" s="74">
        <f>(B169-DATE(1970,1,1))*86400</f>
        <v>1765756800</v>
      </c>
      <c r="AM169" s="74">
        <f>(C169-DATE(1970,1,1))*86400</f>
        <v>1766016000</v>
      </c>
      <c r="AN169" s="74">
        <f>AVERAGE(AL169:AM169)</f>
        <v>1765886400</v>
      </c>
    </row>
    <row r="170" spans="1:40" x14ac:dyDescent="0.2">
      <c r="A170" s="287" t="s">
        <v>133</v>
      </c>
      <c r="B170" s="187">
        <v>46006</v>
      </c>
      <c r="C170" s="187">
        <v>46009</v>
      </c>
      <c r="D170" s="69" t="s">
        <v>183</v>
      </c>
      <c r="E170" s="400">
        <v>1</v>
      </c>
      <c r="F170" s="69" t="s">
        <v>2488</v>
      </c>
      <c r="G170" s="188" t="s">
        <v>126</v>
      </c>
      <c r="H170" s="354">
        <v>800</v>
      </c>
      <c r="I170" s="71">
        <v>30</v>
      </c>
      <c r="J170" s="71"/>
      <c r="K170" s="71"/>
      <c r="L170" s="71"/>
      <c r="M170" s="71">
        <v>4</v>
      </c>
      <c r="N170" s="71"/>
      <c r="O170" s="71"/>
      <c r="P170" s="71"/>
      <c r="Q170" s="71"/>
      <c r="R170" s="72"/>
      <c r="S170" s="71"/>
      <c r="T170" s="71"/>
      <c r="U170" s="71"/>
      <c r="V170" s="71">
        <v>4</v>
      </c>
      <c r="W170" s="71"/>
      <c r="X170" s="71">
        <v>5</v>
      </c>
      <c r="Y170" s="71">
        <v>57</v>
      </c>
      <c r="Z170" s="71">
        <v>0</v>
      </c>
      <c r="AA170" s="71">
        <v>0</v>
      </c>
      <c r="AB170" s="73">
        <f>100/(SUM(I170:Z170))</f>
        <v>1</v>
      </c>
      <c r="AC170" s="259">
        <f>SUM(I170:AA170)</f>
        <v>100</v>
      </c>
      <c r="AD170" s="71"/>
      <c r="AE170" s="71"/>
      <c r="AF170" s="71"/>
      <c r="AG170" s="74" t="s">
        <v>2378</v>
      </c>
      <c r="AH170" s="199" t="s">
        <v>2379</v>
      </c>
      <c r="AI170" s="199" t="s">
        <v>2381</v>
      </c>
      <c r="AJ170" s="199" t="s">
        <v>2380</v>
      </c>
      <c r="AK170" s="69" t="s">
        <v>2385</v>
      </c>
      <c r="AL170" s="74">
        <f>(B170-DATE(1970,1,1))*86400</f>
        <v>1765756800</v>
      </c>
      <c r="AM170" s="74">
        <f>(C170-DATE(1970,1,1))*86400</f>
        <v>1766016000</v>
      </c>
      <c r="AN170" s="74">
        <f>AVERAGE(AL170:AM170)</f>
        <v>1765886400</v>
      </c>
    </row>
    <row r="171" spans="1:40" x14ac:dyDescent="0.2">
      <c r="A171" s="287" t="s">
        <v>123</v>
      </c>
      <c r="B171" s="187">
        <v>46006</v>
      </c>
      <c r="C171" s="187">
        <v>46009</v>
      </c>
      <c r="D171" s="69" t="s">
        <v>183</v>
      </c>
      <c r="E171" s="400">
        <v>1</v>
      </c>
      <c r="F171" s="69" t="s">
        <v>2488</v>
      </c>
      <c r="G171" s="188" t="s">
        <v>126</v>
      </c>
      <c r="H171" s="354">
        <v>800</v>
      </c>
      <c r="I171" s="71">
        <v>30</v>
      </c>
      <c r="J171" s="71"/>
      <c r="K171" s="71"/>
      <c r="L171" s="71"/>
      <c r="M171" s="71">
        <v>4</v>
      </c>
      <c r="N171" s="71"/>
      <c r="O171" s="71"/>
      <c r="P171" s="71"/>
      <c r="Q171" s="71"/>
      <c r="R171" s="72"/>
      <c r="S171" s="71"/>
      <c r="T171" s="71"/>
      <c r="U171" s="71"/>
      <c r="V171" s="71">
        <v>3</v>
      </c>
      <c r="W171" s="71"/>
      <c r="X171" s="71">
        <v>3</v>
      </c>
      <c r="Y171" s="71">
        <v>60</v>
      </c>
      <c r="Z171" s="71">
        <v>0</v>
      </c>
      <c r="AA171" s="71">
        <v>0</v>
      </c>
      <c r="AB171" s="73">
        <f>100/(SUM(I171:Z171))</f>
        <v>1</v>
      </c>
      <c r="AC171" s="259">
        <f>SUM(I171:AA171)</f>
        <v>100</v>
      </c>
      <c r="AD171" s="71"/>
      <c r="AE171" s="71"/>
      <c r="AF171" s="71"/>
      <c r="AG171" s="74" t="s">
        <v>2378</v>
      </c>
      <c r="AH171" s="199" t="s">
        <v>2379</v>
      </c>
      <c r="AI171" s="199" t="s">
        <v>2381</v>
      </c>
      <c r="AJ171" s="75" t="s">
        <v>2380</v>
      </c>
      <c r="AK171" s="69" t="s">
        <v>2385</v>
      </c>
      <c r="AL171" s="74">
        <f>(B171-DATE(1970,1,1))*86400</f>
        <v>1765756800</v>
      </c>
      <c r="AM171" s="74">
        <f>(C171-DATE(1970,1,1))*86400</f>
        <v>1766016000</v>
      </c>
      <c r="AN171" s="74">
        <f>AVERAGE(AL171:AM171)</f>
        <v>1765886400</v>
      </c>
    </row>
    <row r="172" spans="1:40" ht="15.75" customHeight="1" x14ac:dyDescent="0.2">
      <c r="A172" s="406" t="s">
        <v>123</v>
      </c>
      <c r="B172" s="407">
        <v>46006</v>
      </c>
      <c r="C172" s="407">
        <v>46009</v>
      </c>
      <c r="D172" s="408" t="s">
        <v>227</v>
      </c>
      <c r="E172" s="409" t="s">
        <v>125</v>
      </c>
      <c r="F172" s="408"/>
      <c r="G172" s="408" t="s">
        <v>126</v>
      </c>
      <c r="H172" s="410">
        <v>1000</v>
      </c>
      <c r="I172" s="411">
        <v>49</v>
      </c>
      <c r="J172" s="411"/>
      <c r="K172" s="411"/>
      <c r="L172" s="411"/>
      <c r="M172" s="411">
        <v>2</v>
      </c>
      <c r="N172" s="411"/>
      <c r="O172" s="411"/>
      <c r="P172" s="411"/>
      <c r="Q172" s="411"/>
      <c r="R172" s="411"/>
      <c r="S172" s="411"/>
      <c r="T172" s="411"/>
      <c r="U172" s="411"/>
      <c r="V172" s="411">
        <v>3</v>
      </c>
      <c r="W172" s="411"/>
      <c r="X172" s="411">
        <v>6</v>
      </c>
      <c r="Y172" s="411">
        <v>40</v>
      </c>
      <c r="Z172" s="411"/>
      <c r="AA172" s="411">
        <v>0</v>
      </c>
      <c r="AB172" s="412">
        <f>100/(SUM(I172:Z172))</f>
        <v>1</v>
      </c>
      <c r="AC172" s="413">
        <f>SUM(I172:AA172)</f>
        <v>100</v>
      </c>
      <c r="AD172" s="411"/>
      <c r="AE172" s="411"/>
      <c r="AF172" s="411"/>
      <c r="AG172" s="414" t="s">
        <v>127</v>
      </c>
      <c r="AH172" s="418"/>
      <c r="AI172" s="415" t="s">
        <v>2402</v>
      </c>
      <c r="AJ172" s="415"/>
      <c r="AK172" s="408" t="s">
        <v>138</v>
      </c>
      <c r="AL172" s="414">
        <f>(B172-DATE(1970,1,1))*86400</f>
        <v>1765756800</v>
      </c>
      <c r="AM172" s="414">
        <f>(C172-DATE(1970,1,1))*86400</f>
        <v>1766016000</v>
      </c>
      <c r="AN172" s="414">
        <f>AVERAGE(AL172:AM172)</f>
        <v>1765886400</v>
      </c>
    </row>
    <row r="173" spans="1:40" ht="15.75" customHeight="1" x14ac:dyDescent="0.2">
      <c r="A173" s="403" t="s">
        <v>133</v>
      </c>
      <c r="B173" s="14">
        <v>46006</v>
      </c>
      <c r="C173" s="14">
        <v>46007</v>
      </c>
      <c r="D173" s="13" t="s">
        <v>124</v>
      </c>
      <c r="E173" s="324" t="s">
        <v>125</v>
      </c>
      <c r="F173" s="13"/>
      <c r="G173" s="13" t="s">
        <v>126</v>
      </c>
      <c r="H173" s="349">
        <v>1000</v>
      </c>
      <c r="I173" s="15">
        <v>40</v>
      </c>
      <c r="J173" s="15"/>
      <c r="K173" s="15"/>
      <c r="L173" s="15"/>
      <c r="M173" s="15">
        <v>2</v>
      </c>
      <c r="N173" s="15"/>
      <c r="O173" s="15"/>
      <c r="P173" s="15"/>
      <c r="Q173" s="15"/>
      <c r="R173" s="15"/>
      <c r="S173" s="15"/>
      <c r="T173" s="15"/>
      <c r="U173" s="15"/>
      <c r="V173" s="15">
        <v>3</v>
      </c>
      <c r="W173" s="15"/>
      <c r="X173" s="15">
        <v>6</v>
      </c>
      <c r="Y173" s="15">
        <v>34</v>
      </c>
      <c r="Z173" s="98">
        <v>0</v>
      </c>
      <c r="AA173" s="98">
        <v>15</v>
      </c>
      <c r="AB173" s="16">
        <f>100/(SUM(I173:Z173))</f>
        <v>1.1764705882352942</v>
      </c>
      <c r="AC173" s="259">
        <f>SUM(I173:AA173)</f>
        <v>100</v>
      </c>
      <c r="AD173" s="15"/>
      <c r="AE173" s="15"/>
      <c r="AF173" s="15"/>
      <c r="AG173" s="17" t="s">
        <v>127</v>
      </c>
      <c r="AH173" s="201" t="s">
        <v>2334</v>
      </c>
      <c r="AI173" s="201" t="s">
        <v>2353</v>
      </c>
      <c r="AJ173" s="201" t="s">
        <v>2618</v>
      </c>
      <c r="AK173" s="13" t="s">
        <v>2617</v>
      </c>
      <c r="AL173" s="17">
        <f>(B173-DATE(1970,1,1))*86400</f>
        <v>1765756800</v>
      </c>
      <c r="AM173" s="17">
        <f>(C173-DATE(1970,1,1))*86400</f>
        <v>1765843200</v>
      </c>
      <c r="AN173" s="17">
        <f>AVERAGE(AL173:AM173)</f>
        <v>1765800000</v>
      </c>
    </row>
    <row r="174" spans="1:40" ht="15.75" customHeight="1" x14ac:dyDescent="0.2">
      <c r="A174" s="403" t="s">
        <v>123</v>
      </c>
      <c r="B174" s="14">
        <v>46006</v>
      </c>
      <c r="C174" s="14">
        <v>46007</v>
      </c>
      <c r="D174" s="13" t="s">
        <v>124</v>
      </c>
      <c r="E174" s="324" t="s">
        <v>125</v>
      </c>
      <c r="F174" s="13"/>
      <c r="G174" s="13" t="s">
        <v>126</v>
      </c>
      <c r="H174" s="349">
        <v>1000</v>
      </c>
      <c r="I174" s="15">
        <v>46</v>
      </c>
      <c r="J174" s="15"/>
      <c r="K174" s="15"/>
      <c r="L174" s="15"/>
      <c r="M174" s="15">
        <v>3</v>
      </c>
      <c r="N174" s="15"/>
      <c r="O174" s="15"/>
      <c r="P174" s="15"/>
      <c r="Q174" s="15"/>
      <c r="R174" s="15"/>
      <c r="S174" s="15"/>
      <c r="T174" s="15"/>
      <c r="U174" s="15"/>
      <c r="V174" s="15">
        <v>5</v>
      </c>
      <c r="W174" s="15"/>
      <c r="X174" s="15">
        <v>6</v>
      </c>
      <c r="Y174" s="15">
        <v>39</v>
      </c>
      <c r="Z174" s="15">
        <v>1</v>
      </c>
      <c r="AA174" s="15">
        <v>0</v>
      </c>
      <c r="AB174" s="16">
        <f>100/(SUM(I174:Z174))</f>
        <v>1</v>
      </c>
      <c r="AC174" s="259">
        <f>SUM(I174:AA174)</f>
        <v>100</v>
      </c>
      <c r="AD174" s="15"/>
      <c r="AE174" s="15"/>
      <c r="AF174" s="15"/>
      <c r="AG174" s="17" t="s">
        <v>127</v>
      </c>
      <c r="AH174" s="201" t="s">
        <v>2334</v>
      </c>
      <c r="AI174" s="201" t="s">
        <v>2335</v>
      </c>
      <c r="AJ174" s="201"/>
      <c r="AK174" s="13" t="s">
        <v>2339</v>
      </c>
      <c r="AL174" s="17">
        <f>(B174-DATE(1970,1,1))*86400</f>
        <v>1765756800</v>
      </c>
      <c r="AM174" s="17">
        <f>(C174-DATE(1970,1,1))*86400</f>
        <v>1765843200</v>
      </c>
      <c r="AN174" s="17">
        <f>AVERAGE(AL174:AM174)</f>
        <v>1765800000</v>
      </c>
    </row>
    <row r="175" spans="1:40" ht="15.75" customHeight="1" x14ac:dyDescent="0.2">
      <c r="A175" s="287" t="s">
        <v>133</v>
      </c>
      <c r="B175" s="187">
        <v>46003</v>
      </c>
      <c r="C175" s="187">
        <v>46007</v>
      </c>
      <c r="D175" s="69" t="s">
        <v>183</v>
      </c>
      <c r="E175" s="333" t="s">
        <v>125</v>
      </c>
      <c r="F175" s="69"/>
      <c r="G175" s="188" t="s">
        <v>597</v>
      </c>
      <c r="H175" s="354">
        <v>1000</v>
      </c>
      <c r="I175" s="71">
        <v>26</v>
      </c>
      <c r="J175" s="71"/>
      <c r="K175" s="71"/>
      <c r="L175" s="71"/>
      <c r="M175" s="71">
        <v>2</v>
      </c>
      <c r="N175" s="71"/>
      <c r="O175" s="71"/>
      <c r="P175" s="71"/>
      <c r="Q175" s="71"/>
      <c r="R175" s="72"/>
      <c r="S175" s="71"/>
      <c r="T175" s="71"/>
      <c r="U175" s="71"/>
      <c r="V175" s="71">
        <v>2</v>
      </c>
      <c r="W175" s="71"/>
      <c r="X175" s="71">
        <v>5</v>
      </c>
      <c r="Y175" s="71">
        <v>34</v>
      </c>
      <c r="Z175" s="71">
        <v>0</v>
      </c>
      <c r="AA175" s="71">
        <v>31</v>
      </c>
      <c r="AB175" s="73">
        <f>100/(SUM(I175:Z175))</f>
        <v>1.4492753623188406</v>
      </c>
      <c r="AC175" s="259">
        <f>SUM(I175:AA175)</f>
        <v>100</v>
      </c>
      <c r="AD175" s="71"/>
      <c r="AE175" s="71"/>
      <c r="AF175" s="71"/>
      <c r="AG175" s="74" t="s">
        <v>2322</v>
      </c>
      <c r="AH175" s="199" t="s">
        <v>2337</v>
      </c>
      <c r="AI175" s="199" t="s">
        <v>2336</v>
      </c>
      <c r="AJ175" s="199" t="s">
        <v>2338</v>
      </c>
      <c r="AK175" s="69" t="s">
        <v>2339</v>
      </c>
      <c r="AL175" s="74">
        <f>(B175-DATE(1970,1,1))*86400</f>
        <v>1765497600</v>
      </c>
      <c r="AM175" s="74">
        <f>(C175-DATE(1970,1,1))*86400</f>
        <v>1765843200</v>
      </c>
      <c r="AN175" s="74">
        <f>AVERAGE(AL175:AM175)</f>
        <v>1765670400</v>
      </c>
    </row>
    <row r="176" spans="1:40" ht="15.75" customHeight="1" x14ac:dyDescent="0.2">
      <c r="A176" s="287" t="s">
        <v>133</v>
      </c>
      <c r="B176" s="187">
        <v>46003</v>
      </c>
      <c r="C176" s="187">
        <v>46007</v>
      </c>
      <c r="D176" s="69" t="s">
        <v>183</v>
      </c>
      <c r="E176" s="400">
        <v>1</v>
      </c>
      <c r="F176" s="69"/>
      <c r="G176" s="188" t="s">
        <v>597</v>
      </c>
      <c r="H176" s="354">
        <v>1000</v>
      </c>
      <c r="I176" s="71">
        <v>38</v>
      </c>
      <c r="J176" s="71"/>
      <c r="K176" s="71"/>
      <c r="L176" s="71"/>
      <c r="M176" s="71">
        <v>3</v>
      </c>
      <c r="N176" s="71"/>
      <c r="O176" s="71"/>
      <c r="P176" s="71"/>
      <c r="Q176" s="71"/>
      <c r="R176" s="72"/>
      <c r="S176" s="71"/>
      <c r="T176" s="71"/>
      <c r="U176" s="71"/>
      <c r="V176" s="71">
        <v>2</v>
      </c>
      <c r="W176" s="71"/>
      <c r="X176" s="71">
        <v>7</v>
      </c>
      <c r="Y176" s="71">
        <v>49</v>
      </c>
      <c r="Z176" s="71">
        <v>1</v>
      </c>
      <c r="AA176" s="71">
        <v>0</v>
      </c>
      <c r="AB176" s="73">
        <f>100/(SUM(I176:Z176))</f>
        <v>1</v>
      </c>
      <c r="AC176" s="259">
        <f>SUM(I176:AA176)</f>
        <v>100</v>
      </c>
      <c r="AD176" s="71"/>
      <c r="AE176" s="71"/>
      <c r="AF176" s="71"/>
      <c r="AG176" s="74" t="s">
        <v>2322</v>
      </c>
      <c r="AH176" s="199" t="s">
        <v>2337</v>
      </c>
      <c r="AI176" s="199" t="s">
        <v>2336</v>
      </c>
      <c r="AJ176" s="199" t="s">
        <v>2354</v>
      </c>
      <c r="AK176" s="69" t="s">
        <v>138</v>
      </c>
      <c r="AL176" s="74">
        <f>(B176-DATE(1970,1,1))*86400</f>
        <v>1765497600</v>
      </c>
      <c r="AM176" s="74">
        <f>(C176-DATE(1970,1,1))*86400</f>
        <v>1765843200</v>
      </c>
      <c r="AN176" s="74">
        <f>AVERAGE(AL176:AM176)</f>
        <v>1765670400</v>
      </c>
    </row>
    <row r="177" spans="1:65" ht="15.75" customHeight="1" x14ac:dyDescent="0.2">
      <c r="A177" s="287" t="s">
        <v>123</v>
      </c>
      <c r="B177" s="187">
        <v>46003</v>
      </c>
      <c r="C177" s="187">
        <v>46007</v>
      </c>
      <c r="D177" s="69" t="s">
        <v>183</v>
      </c>
      <c r="E177" s="400">
        <v>1</v>
      </c>
      <c r="F177" s="69"/>
      <c r="G177" s="188" t="s">
        <v>597</v>
      </c>
      <c r="H177" s="354">
        <v>1000</v>
      </c>
      <c r="I177" s="71">
        <v>36</v>
      </c>
      <c r="J177" s="71"/>
      <c r="K177" s="71"/>
      <c r="L177" s="71"/>
      <c r="M177" s="71">
        <v>3</v>
      </c>
      <c r="N177" s="71"/>
      <c r="O177" s="71"/>
      <c r="P177" s="71"/>
      <c r="Q177" s="71"/>
      <c r="R177" s="72"/>
      <c r="S177" s="71"/>
      <c r="T177" s="71"/>
      <c r="U177" s="71"/>
      <c r="V177" s="71">
        <v>2</v>
      </c>
      <c r="W177" s="71"/>
      <c r="X177" s="71">
        <v>5</v>
      </c>
      <c r="Y177" s="71">
        <v>53</v>
      </c>
      <c r="Z177" s="71">
        <v>1</v>
      </c>
      <c r="AA177" s="71">
        <v>0</v>
      </c>
      <c r="AB177" s="73">
        <f>100/(SUM(I177:Z177))</f>
        <v>1</v>
      </c>
      <c r="AC177" s="259">
        <f>SUM(I177:AA177)</f>
        <v>100</v>
      </c>
      <c r="AD177" s="71"/>
      <c r="AE177" s="71"/>
      <c r="AF177" s="71"/>
      <c r="AG177" s="74" t="s">
        <v>2322</v>
      </c>
      <c r="AH177" s="199" t="s">
        <v>2337</v>
      </c>
      <c r="AI177" s="199" t="s">
        <v>2336</v>
      </c>
      <c r="AJ177" s="199" t="s">
        <v>2361</v>
      </c>
      <c r="AK177" s="69" t="s">
        <v>138</v>
      </c>
      <c r="AL177" s="74">
        <f>(B177-DATE(1970,1,1))*86400</f>
        <v>1765497600</v>
      </c>
      <c r="AM177" s="74">
        <f>(C177-DATE(1970,1,1))*86400</f>
        <v>1765843200</v>
      </c>
      <c r="AN177" s="74">
        <f>AVERAGE(AL177:AM177)</f>
        <v>1765670400</v>
      </c>
    </row>
    <row r="178" spans="1:65" x14ac:dyDescent="0.2">
      <c r="A178" s="288" t="s">
        <v>133</v>
      </c>
      <c r="B178" s="60">
        <v>46001</v>
      </c>
      <c r="C178" s="60">
        <v>46006</v>
      </c>
      <c r="D178" s="61" t="s">
        <v>168</v>
      </c>
      <c r="E178" s="334" t="s">
        <v>125</v>
      </c>
      <c r="F178" s="218"/>
      <c r="G178" s="61" t="s">
        <v>126</v>
      </c>
      <c r="H178" s="334">
        <v>1000</v>
      </c>
      <c r="I178" s="63">
        <v>27</v>
      </c>
      <c r="J178" s="63">
        <v>0</v>
      </c>
      <c r="K178" s="63">
        <v>0</v>
      </c>
      <c r="L178" s="63"/>
      <c r="M178" s="63">
        <v>3</v>
      </c>
      <c r="N178" s="63"/>
      <c r="O178" s="63"/>
      <c r="P178" s="63"/>
      <c r="Q178" s="63"/>
      <c r="R178" s="64"/>
      <c r="S178" s="63"/>
      <c r="T178" s="63"/>
      <c r="U178" s="63"/>
      <c r="V178" s="63">
        <v>4</v>
      </c>
      <c r="W178" s="63"/>
      <c r="X178" s="63">
        <v>4</v>
      </c>
      <c r="Y178" s="63">
        <v>33</v>
      </c>
      <c r="Z178" s="63">
        <v>1</v>
      </c>
      <c r="AA178" s="63">
        <v>28</v>
      </c>
      <c r="AB178" s="65">
        <f>100/(SUM(I178:Z178))</f>
        <v>1.3888888888888888</v>
      </c>
      <c r="AC178" s="259">
        <f>SUM(I178:AA178)</f>
        <v>100</v>
      </c>
      <c r="AD178" s="63">
        <v>60</v>
      </c>
      <c r="AE178" s="64"/>
      <c r="AF178" s="64"/>
      <c r="AG178" s="66" t="s">
        <v>127</v>
      </c>
      <c r="AH178" s="200" t="s">
        <v>2346</v>
      </c>
      <c r="AI178" s="200" t="s">
        <v>2347</v>
      </c>
      <c r="AJ178" s="200"/>
      <c r="AK178" s="61" t="s">
        <v>2348</v>
      </c>
      <c r="AL178" s="66">
        <f>(B178-DATE(1970,1,1))*86400</f>
        <v>1765324800</v>
      </c>
      <c r="AM178" s="66">
        <f>(C178-DATE(1970,1,1))*86400</f>
        <v>1765756800</v>
      </c>
      <c r="AN178" s="66">
        <f>AVERAGE(AL178:AM178)</f>
        <v>1765540800</v>
      </c>
    </row>
    <row r="179" spans="1:65" x14ac:dyDescent="0.2">
      <c r="A179" s="288" t="s">
        <v>133</v>
      </c>
      <c r="B179" s="60">
        <v>46001</v>
      </c>
      <c r="C179" s="60">
        <v>46006</v>
      </c>
      <c r="D179" s="61" t="s">
        <v>168</v>
      </c>
      <c r="E179" s="398">
        <v>1</v>
      </c>
      <c r="F179" s="218"/>
      <c r="G179" s="61" t="s">
        <v>126</v>
      </c>
      <c r="H179" s="334">
        <v>1000</v>
      </c>
      <c r="I179" s="63">
        <v>37</v>
      </c>
      <c r="J179" s="63">
        <v>1</v>
      </c>
      <c r="K179" s="63">
        <v>0</v>
      </c>
      <c r="L179" s="63"/>
      <c r="M179" s="63">
        <v>4</v>
      </c>
      <c r="N179" s="63"/>
      <c r="O179" s="63"/>
      <c r="P179" s="63"/>
      <c r="Q179" s="63"/>
      <c r="R179" s="64"/>
      <c r="S179" s="63"/>
      <c r="T179" s="63"/>
      <c r="U179" s="63"/>
      <c r="V179" s="63">
        <v>5</v>
      </c>
      <c r="W179" s="63"/>
      <c r="X179" s="63">
        <v>6</v>
      </c>
      <c r="Y179" s="63">
        <v>46</v>
      </c>
      <c r="Z179" s="63">
        <v>1</v>
      </c>
      <c r="AA179" s="63">
        <v>0</v>
      </c>
      <c r="AB179" s="65">
        <f>100/(SUM(I179:Z179))</f>
        <v>1</v>
      </c>
      <c r="AC179" s="259">
        <f>SUM(I179:AA179)</f>
        <v>100</v>
      </c>
      <c r="AD179" s="63"/>
      <c r="AE179" s="64"/>
      <c r="AF179" s="64"/>
      <c r="AG179" s="66" t="s">
        <v>127</v>
      </c>
      <c r="AH179" s="200" t="s">
        <v>2346</v>
      </c>
      <c r="AI179" s="200" t="s">
        <v>2347</v>
      </c>
      <c r="AJ179" s="200"/>
      <c r="AK179" s="61" t="s">
        <v>2350</v>
      </c>
      <c r="AL179" s="66">
        <f>(B179-DATE(1970,1,1))*86400</f>
        <v>1765324800</v>
      </c>
      <c r="AM179" s="66">
        <f>(C179-DATE(1970,1,1))*86400</f>
        <v>1765756800</v>
      </c>
      <c r="AN179" s="66">
        <f>AVERAGE(AL179:AM179)</f>
        <v>1765540800</v>
      </c>
    </row>
    <row r="180" spans="1:65" x14ac:dyDescent="0.2">
      <c r="A180" s="288" t="s">
        <v>123</v>
      </c>
      <c r="B180" s="60">
        <v>46001</v>
      </c>
      <c r="C180" s="60">
        <v>46006</v>
      </c>
      <c r="D180" s="61" t="s">
        <v>168</v>
      </c>
      <c r="E180" s="334" t="s">
        <v>125</v>
      </c>
      <c r="F180" s="218"/>
      <c r="G180" s="61" t="s">
        <v>126</v>
      </c>
      <c r="H180" s="334">
        <v>1000</v>
      </c>
      <c r="I180" s="63">
        <v>36</v>
      </c>
      <c r="J180" s="63">
        <v>1</v>
      </c>
      <c r="K180" s="63">
        <v>0</v>
      </c>
      <c r="L180" s="63"/>
      <c r="M180" s="63">
        <v>4</v>
      </c>
      <c r="N180" s="63"/>
      <c r="O180" s="63"/>
      <c r="P180" s="63"/>
      <c r="Q180" s="63"/>
      <c r="R180" s="64"/>
      <c r="S180" s="63"/>
      <c r="T180" s="63"/>
      <c r="U180" s="63"/>
      <c r="V180" s="63">
        <v>5</v>
      </c>
      <c r="W180" s="63"/>
      <c r="X180" s="63">
        <v>6</v>
      </c>
      <c r="Y180" s="63">
        <v>48</v>
      </c>
      <c r="Z180" s="63">
        <v>0</v>
      </c>
      <c r="AA180" s="63">
        <v>0</v>
      </c>
      <c r="AB180" s="65">
        <f>100/(SUM(I180:Z180))</f>
        <v>1</v>
      </c>
      <c r="AC180" s="259">
        <f>SUM(I180:AA180)</f>
        <v>100</v>
      </c>
      <c r="AD180" s="63"/>
      <c r="AE180" s="64"/>
      <c r="AF180" s="64"/>
      <c r="AG180" s="66" t="s">
        <v>127</v>
      </c>
      <c r="AH180" s="200" t="s">
        <v>2346</v>
      </c>
      <c r="AI180" s="200" t="s">
        <v>2347</v>
      </c>
      <c r="AJ180" s="200"/>
      <c r="AK180" s="61" t="s">
        <v>138</v>
      </c>
      <c r="AL180" s="66">
        <f>(B180-DATE(1970,1,1))*86400</f>
        <v>1765324800</v>
      </c>
      <c r="AM180" s="66">
        <f>(C180-DATE(1970,1,1))*86400</f>
        <v>1765756800</v>
      </c>
      <c r="AN180" s="66">
        <f>AVERAGE(AL180:AM180)</f>
        <v>1765540800</v>
      </c>
    </row>
    <row r="181" spans="1:65" ht="15.75" customHeight="1" x14ac:dyDescent="0.2">
      <c r="A181" s="281" t="s">
        <v>133</v>
      </c>
      <c r="B181" s="240">
        <v>46000</v>
      </c>
      <c r="C181" s="240">
        <v>46006</v>
      </c>
      <c r="D181" s="53" t="s">
        <v>154</v>
      </c>
      <c r="E181" s="323" t="s">
        <v>125</v>
      </c>
      <c r="F181" s="53" t="s">
        <v>2489</v>
      </c>
      <c r="G181" s="53" t="s">
        <v>126</v>
      </c>
      <c r="H181" s="351">
        <v>1001</v>
      </c>
      <c r="I181" s="55">
        <v>31</v>
      </c>
      <c r="J181" s="55">
        <v>1</v>
      </c>
      <c r="K181" s="55">
        <v>0</v>
      </c>
      <c r="L181" s="55">
        <v>0</v>
      </c>
      <c r="M181" s="55">
        <v>7</v>
      </c>
      <c r="N181" s="55"/>
      <c r="O181" s="55">
        <v>0</v>
      </c>
      <c r="P181" s="55">
        <v>0</v>
      </c>
      <c r="Q181" s="55"/>
      <c r="R181" s="56"/>
      <c r="S181" s="55">
        <v>0</v>
      </c>
      <c r="T181" s="55"/>
      <c r="U181" s="55">
        <v>0</v>
      </c>
      <c r="V181" s="55">
        <v>1</v>
      </c>
      <c r="W181" s="55"/>
      <c r="X181" s="55">
        <v>1</v>
      </c>
      <c r="Y181" s="55">
        <v>37</v>
      </c>
      <c r="Z181" s="55">
        <v>0</v>
      </c>
      <c r="AA181" s="55">
        <v>22</v>
      </c>
      <c r="AB181" s="57">
        <f>100/(SUM(I181:Z181))</f>
        <v>1.2820512820512822</v>
      </c>
      <c r="AC181" s="259">
        <f>SUM(I181:AA181)</f>
        <v>100</v>
      </c>
      <c r="AD181" s="55"/>
      <c r="AE181" s="55"/>
      <c r="AF181" s="55"/>
      <c r="AG181" s="58" t="s">
        <v>127</v>
      </c>
      <c r="AH181" s="186" t="s">
        <v>2414</v>
      </c>
      <c r="AI181" s="186" t="s">
        <v>2417</v>
      </c>
      <c r="AJ181" s="186" t="s">
        <v>2416</v>
      </c>
      <c r="AK181" s="53" t="s">
        <v>2426</v>
      </c>
      <c r="AL181" s="58">
        <f>(B181-DATE(1970,1,1))*86400</f>
        <v>1765238400</v>
      </c>
      <c r="AM181" s="58">
        <f>(C181-DATE(1970,1,1))*86400</f>
        <v>1765756800</v>
      </c>
      <c r="AN181" s="58">
        <f>AVERAGE(AL181:AM181)</f>
        <v>1765497600</v>
      </c>
    </row>
    <row r="182" spans="1:65" ht="15.75" customHeight="1" x14ac:dyDescent="0.2">
      <c r="A182" s="281" t="s">
        <v>133</v>
      </c>
      <c r="B182" s="240">
        <v>46000</v>
      </c>
      <c r="C182" s="240">
        <v>46006</v>
      </c>
      <c r="D182" s="53" t="s">
        <v>154</v>
      </c>
      <c r="E182" s="323" t="s">
        <v>125</v>
      </c>
      <c r="F182" s="53" t="s">
        <v>2489</v>
      </c>
      <c r="G182" s="53" t="s">
        <v>126</v>
      </c>
      <c r="H182" s="351">
        <v>1001</v>
      </c>
      <c r="I182" s="55">
        <v>33</v>
      </c>
      <c r="J182" s="55">
        <v>1</v>
      </c>
      <c r="K182" s="55">
        <v>0</v>
      </c>
      <c r="L182" s="55">
        <v>0</v>
      </c>
      <c r="M182" s="55">
        <v>8</v>
      </c>
      <c r="N182" s="55"/>
      <c r="O182" s="55">
        <v>0</v>
      </c>
      <c r="P182" s="55">
        <v>0</v>
      </c>
      <c r="Q182" s="55"/>
      <c r="R182" s="56"/>
      <c r="S182" s="55">
        <v>0</v>
      </c>
      <c r="T182" s="55"/>
      <c r="U182" s="55">
        <v>0</v>
      </c>
      <c r="V182" s="55">
        <v>1</v>
      </c>
      <c r="W182" s="55"/>
      <c r="X182" s="55">
        <v>1</v>
      </c>
      <c r="Y182" s="55">
        <v>40</v>
      </c>
      <c r="Z182" s="55">
        <v>0</v>
      </c>
      <c r="AA182" s="55">
        <v>17</v>
      </c>
      <c r="AB182" s="57">
        <f>100/(SUM(I182:Z182))</f>
        <v>1.1904761904761905</v>
      </c>
      <c r="AC182" s="259">
        <f>SUM(I182:AA182)</f>
        <v>101</v>
      </c>
      <c r="AD182" s="55"/>
      <c r="AE182" s="55"/>
      <c r="AF182" s="55"/>
      <c r="AG182" s="58" t="s">
        <v>127</v>
      </c>
      <c r="AH182" s="186" t="s">
        <v>2414</v>
      </c>
      <c r="AI182" s="186" t="s">
        <v>2417</v>
      </c>
      <c r="AJ182" s="186" t="s">
        <v>2416</v>
      </c>
      <c r="AK182" s="53"/>
      <c r="AL182" s="58">
        <f>(B182-DATE(1970,1,1))*86400</f>
        <v>1765238400</v>
      </c>
      <c r="AM182" s="58">
        <f>(C182-DATE(1970,1,1))*86400</f>
        <v>1765756800</v>
      </c>
      <c r="AN182" s="58">
        <f>AVERAGE(AL182:AM182)</f>
        <v>1765497600</v>
      </c>
    </row>
    <row r="183" spans="1:65" x14ac:dyDescent="0.2">
      <c r="A183" s="281" t="s">
        <v>133</v>
      </c>
      <c r="B183" s="240">
        <v>46000</v>
      </c>
      <c r="C183" s="240">
        <v>46006</v>
      </c>
      <c r="D183" s="53" t="s">
        <v>154</v>
      </c>
      <c r="E183" s="323" t="s">
        <v>125</v>
      </c>
      <c r="F183" s="53" t="s">
        <v>2489</v>
      </c>
      <c r="G183" s="53" t="s">
        <v>126</v>
      </c>
      <c r="H183" s="351">
        <v>1001</v>
      </c>
      <c r="I183" s="55">
        <v>40</v>
      </c>
      <c r="J183" s="55">
        <v>1</v>
      </c>
      <c r="K183" s="55">
        <v>0</v>
      </c>
      <c r="L183" s="55">
        <v>0</v>
      </c>
      <c r="M183" s="55">
        <v>10</v>
      </c>
      <c r="N183" s="55"/>
      <c r="O183" s="55">
        <v>0</v>
      </c>
      <c r="P183" s="55">
        <v>0</v>
      </c>
      <c r="Q183" s="55"/>
      <c r="R183" s="56"/>
      <c r="S183" s="55">
        <v>0</v>
      </c>
      <c r="T183" s="55"/>
      <c r="U183" s="55">
        <v>1</v>
      </c>
      <c r="V183" s="55">
        <v>1</v>
      </c>
      <c r="W183" s="55"/>
      <c r="X183" s="55">
        <v>1</v>
      </c>
      <c r="Y183" s="55">
        <v>46</v>
      </c>
      <c r="Z183" s="55">
        <v>0</v>
      </c>
      <c r="AA183" s="55">
        <v>0</v>
      </c>
      <c r="AB183" s="57">
        <f>100/(SUM(I183:Z183))</f>
        <v>1</v>
      </c>
      <c r="AC183" s="259">
        <f>SUM(I183:AA183)</f>
        <v>100</v>
      </c>
      <c r="AD183" s="55"/>
      <c r="AE183" s="55"/>
      <c r="AF183" s="55"/>
      <c r="AG183" s="58" t="s">
        <v>127</v>
      </c>
      <c r="AH183" s="186" t="s">
        <v>2414</v>
      </c>
      <c r="AI183" s="186" t="s">
        <v>2417</v>
      </c>
      <c r="AJ183" s="186" t="s">
        <v>2416</v>
      </c>
      <c r="AK183" s="53"/>
      <c r="AL183" s="58">
        <f>(B183-DATE(1970,1,1))*86400</f>
        <v>1765238400</v>
      </c>
      <c r="AM183" s="58">
        <f>(C183-DATE(1970,1,1))*86400</f>
        <v>1765756800</v>
      </c>
      <c r="AN183" s="58">
        <f>AVERAGE(AL183:AM183)</f>
        <v>1765497600</v>
      </c>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row>
    <row r="184" spans="1:65" ht="15.75" customHeight="1" x14ac:dyDescent="0.2">
      <c r="A184" s="277" t="s">
        <v>133</v>
      </c>
      <c r="B184" s="244">
        <v>46001</v>
      </c>
      <c r="C184" s="244">
        <v>46003</v>
      </c>
      <c r="D184" s="243" t="s">
        <v>1975</v>
      </c>
      <c r="E184" s="399">
        <v>0</v>
      </c>
      <c r="F184" s="243"/>
      <c r="G184" s="245" t="s">
        <v>1025</v>
      </c>
      <c r="H184" s="348">
        <v>1000</v>
      </c>
      <c r="I184" s="246">
        <v>30.3</v>
      </c>
      <c r="J184" s="246"/>
      <c r="K184" s="246"/>
      <c r="L184" s="246"/>
      <c r="M184" s="246">
        <v>1.4</v>
      </c>
      <c r="N184" s="246"/>
      <c r="O184" s="246"/>
      <c r="P184" s="246"/>
      <c r="Q184" s="246"/>
      <c r="R184" s="247"/>
      <c r="S184" s="246"/>
      <c r="T184" s="246"/>
      <c r="U184" s="246"/>
      <c r="V184" s="246">
        <v>2</v>
      </c>
      <c r="W184" s="246"/>
      <c r="X184" s="246">
        <v>1.7</v>
      </c>
      <c r="Y184" s="246">
        <v>35.6</v>
      </c>
      <c r="Z184" s="246">
        <v>0.2</v>
      </c>
      <c r="AA184" s="246">
        <v>28.8</v>
      </c>
      <c r="AB184" s="248">
        <f>100/(SUM(I184:Z184))</f>
        <v>1.4044943820224718</v>
      </c>
      <c r="AC184" s="259">
        <f>SUM(I184:AA184)</f>
        <v>100</v>
      </c>
      <c r="AD184" s="246">
        <v>78</v>
      </c>
      <c r="AE184" s="246"/>
      <c r="AF184" s="246"/>
      <c r="AG184" s="249" t="s">
        <v>1976</v>
      </c>
      <c r="AH184" s="250" t="s">
        <v>2369</v>
      </c>
      <c r="AI184" s="251"/>
      <c r="AJ184" s="251"/>
      <c r="AK184" s="243"/>
      <c r="AL184" s="249">
        <f>(B184-DATE(1970,1,1))*86400</f>
        <v>1765324800</v>
      </c>
      <c r="AM184" s="249">
        <f>(C184-DATE(1970,1,1))*86400</f>
        <v>1765497600</v>
      </c>
      <c r="AN184" s="249">
        <f>AVERAGE(AL184:AM184)</f>
        <v>1765411200</v>
      </c>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row>
    <row r="185" spans="1:65" x14ac:dyDescent="0.2">
      <c r="A185" s="277" t="s">
        <v>123</v>
      </c>
      <c r="B185" s="244">
        <v>46001</v>
      </c>
      <c r="C185" s="244">
        <v>46003</v>
      </c>
      <c r="D185" s="243" t="s">
        <v>1975</v>
      </c>
      <c r="E185" s="399">
        <v>0</v>
      </c>
      <c r="F185" s="243"/>
      <c r="G185" s="245" t="s">
        <v>1025</v>
      </c>
      <c r="H185" s="348">
        <v>1000</v>
      </c>
      <c r="I185" s="246">
        <v>42.5</v>
      </c>
      <c r="J185" s="246"/>
      <c r="K185" s="246"/>
      <c r="L185" s="246"/>
      <c r="M185" s="246">
        <v>2</v>
      </c>
      <c r="N185" s="246"/>
      <c r="O185" s="246"/>
      <c r="P185" s="246"/>
      <c r="Q185" s="246"/>
      <c r="R185" s="247"/>
      <c r="S185" s="246"/>
      <c r="T185" s="246"/>
      <c r="U185" s="246"/>
      <c r="V185" s="246">
        <v>2.7</v>
      </c>
      <c r="W185" s="246"/>
      <c r="X185" s="246">
        <v>2.4</v>
      </c>
      <c r="Y185" s="246">
        <v>50</v>
      </c>
      <c r="Z185" s="246">
        <v>0.4</v>
      </c>
      <c r="AA185" s="246">
        <v>0</v>
      </c>
      <c r="AB185" s="248">
        <f>100/(SUM(I185:Z185))</f>
        <v>1</v>
      </c>
      <c r="AC185" s="259">
        <f>SUM(I185:AA185)</f>
        <v>100</v>
      </c>
      <c r="AD185" s="246"/>
      <c r="AE185" s="246"/>
      <c r="AF185" s="246"/>
      <c r="AG185" s="249" t="s">
        <v>1976</v>
      </c>
      <c r="AH185" s="250" t="s">
        <v>2369</v>
      </c>
      <c r="AI185" s="251"/>
      <c r="AJ185" s="251"/>
      <c r="AK185" s="243"/>
      <c r="AL185" s="249">
        <f>(B185-DATE(1970,1,1))*86400</f>
        <v>1765324800</v>
      </c>
      <c r="AM185" s="249">
        <f>(C185-DATE(1970,1,1))*86400</f>
        <v>1765497600</v>
      </c>
      <c r="AN185" s="249">
        <f>AVERAGE(AL185:AM185)</f>
        <v>1765411200</v>
      </c>
    </row>
    <row r="186" spans="1:65" x14ac:dyDescent="0.2">
      <c r="A186" s="281" t="s">
        <v>133</v>
      </c>
      <c r="B186" s="240">
        <v>45999</v>
      </c>
      <c r="C186" s="240">
        <v>46002</v>
      </c>
      <c r="D186" s="53" t="s">
        <v>154</v>
      </c>
      <c r="E186" s="323" t="s">
        <v>125</v>
      </c>
      <c r="F186" s="53" t="s">
        <v>2483</v>
      </c>
      <c r="G186" s="53" t="s">
        <v>126</v>
      </c>
      <c r="H186" s="351">
        <v>1000</v>
      </c>
      <c r="I186" s="55">
        <v>33</v>
      </c>
      <c r="J186" s="55">
        <v>0</v>
      </c>
      <c r="K186" s="55">
        <v>0</v>
      </c>
      <c r="L186" s="55">
        <v>0</v>
      </c>
      <c r="M186" s="55">
        <v>6</v>
      </c>
      <c r="N186" s="55"/>
      <c r="O186" s="55">
        <v>0</v>
      </c>
      <c r="P186" s="55">
        <v>0</v>
      </c>
      <c r="Q186" s="55"/>
      <c r="R186" s="56"/>
      <c r="S186" s="55">
        <v>0</v>
      </c>
      <c r="T186" s="55"/>
      <c r="U186" s="547">
        <v>0</v>
      </c>
      <c r="V186" s="55">
        <v>0</v>
      </c>
      <c r="W186" s="55"/>
      <c r="X186" s="55">
        <v>2</v>
      </c>
      <c r="Y186" s="55">
        <v>35</v>
      </c>
      <c r="Z186" s="55">
        <v>0</v>
      </c>
      <c r="AA186" s="55">
        <v>24</v>
      </c>
      <c r="AB186" s="57">
        <f>100/(SUM(I186:Z186))</f>
        <v>1.3157894736842106</v>
      </c>
      <c r="AC186" s="259">
        <f>SUM(I186:AA186)</f>
        <v>100</v>
      </c>
      <c r="AD186" s="55"/>
      <c r="AE186" s="55"/>
      <c r="AF186" s="55"/>
      <c r="AG186" s="58" t="s">
        <v>127</v>
      </c>
      <c r="AH186" s="186" t="s">
        <v>2349</v>
      </c>
      <c r="AI186" s="59"/>
      <c r="AJ186" s="186"/>
      <c r="AK186" s="53" t="s">
        <v>2350</v>
      </c>
      <c r="AL186" s="58">
        <f>(B186-DATE(1970,1,1))*86400</f>
        <v>1765152000</v>
      </c>
      <c r="AM186" s="58">
        <f>(C186-DATE(1970,1,1))*86400</f>
        <v>1765411200</v>
      </c>
      <c r="AN186" s="58">
        <f>AVERAGE(AL186:AM186)</f>
        <v>1765281600</v>
      </c>
    </row>
    <row r="187" spans="1:65" x14ac:dyDescent="0.2">
      <c r="A187" s="281" t="s">
        <v>133</v>
      </c>
      <c r="B187" s="240">
        <v>45999</v>
      </c>
      <c r="C187" s="240">
        <v>46002</v>
      </c>
      <c r="D187" s="53" t="s">
        <v>154</v>
      </c>
      <c r="E187" s="323" t="s">
        <v>125</v>
      </c>
      <c r="F187" s="53" t="s">
        <v>2483</v>
      </c>
      <c r="G187" s="53" t="s">
        <v>126</v>
      </c>
      <c r="H187" s="351">
        <v>1000</v>
      </c>
      <c r="I187" s="55">
        <v>37</v>
      </c>
      <c r="J187" s="55">
        <v>0</v>
      </c>
      <c r="K187" s="55">
        <v>0</v>
      </c>
      <c r="L187" s="55">
        <v>0</v>
      </c>
      <c r="M187" s="55">
        <v>6</v>
      </c>
      <c r="N187" s="55"/>
      <c r="O187" s="55">
        <v>0</v>
      </c>
      <c r="P187" s="55">
        <v>0</v>
      </c>
      <c r="Q187" s="55"/>
      <c r="R187" s="56"/>
      <c r="S187" s="55">
        <v>0</v>
      </c>
      <c r="T187" s="55"/>
      <c r="U187" s="547">
        <v>0</v>
      </c>
      <c r="V187" s="55">
        <v>0</v>
      </c>
      <c r="W187" s="55"/>
      <c r="X187" s="55">
        <v>3</v>
      </c>
      <c r="Y187" s="55">
        <v>38</v>
      </c>
      <c r="Z187" s="55">
        <v>0</v>
      </c>
      <c r="AA187" s="55">
        <v>16</v>
      </c>
      <c r="AB187" s="57">
        <f>100/(SUM(I187:Z187))</f>
        <v>1.1904761904761905</v>
      </c>
      <c r="AC187" s="259">
        <f>SUM(I187:AA187)</f>
        <v>100</v>
      </c>
      <c r="AD187" s="55"/>
      <c r="AE187" s="55"/>
      <c r="AF187" s="55"/>
      <c r="AG187" s="58" t="s">
        <v>127</v>
      </c>
      <c r="AH187" s="186" t="s">
        <v>2349</v>
      </c>
      <c r="AI187" s="59"/>
      <c r="AJ187" s="186"/>
      <c r="AK187" s="53" t="s">
        <v>138</v>
      </c>
      <c r="AL187" s="58">
        <f>(B187-DATE(1970,1,1))*86400</f>
        <v>1765152000</v>
      </c>
      <c r="AM187" s="58">
        <f>(C187-DATE(1970,1,1))*86400</f>
        <v>1765411200</v>
      </c>
      <c r="AN187" s="58">
        <f>AVERAGE(AL187:AM187)</f>
        <v>1765281600</v>
      </c>
    </row>
    <row r="188" spans="1:65" ht="15.75" customHeight="1" x14ac:dyDescent="0.2">
      <c r="A188" s="281" t="s">
        <v>123</v>
      </c>
      <c r="B188" s="240">
        <v>45999</v>
      </c>
      <c r="C188" s="240">
        <v>46002</v>
      </c>
      <c r="D188" s="53" t="s">
        <v>154</v>
      </c>
      <c r="E188" s="323" t="s">
        <v>125</v>
      </c>
      <c r="F188" s="53" t="s">
        <v>2483</v>
      </c>
      <c r="G188" s="53" t="s">
        <v>126</v>
      </c>
      <c r="H188" s="351">
        <v>1000</v>
      </c>
      <c r="I188" s="55">
        <v>41</v>
      </c>
      <c r="J188" s="55">
        <v>0</v>
      </c>
      <c r="K188" s="55">
        <v>0</v>
      </c>
      <c r="L188" s="55">
        <v>0</v>
      </c>
      <c r="M188" s="55">
        <v>8</v>
      </c>
      <c r="N188" s="55"/>
      <c r="O188" s="55">
        <v>0</v>
      </c>
      <c r="P188" s="55">
        <v>0</v>
      </c>
      <c r="Q188" s="55"/>
      <c r="R188" s="56"/>
      <c r="S188" s="55">
        <v>0</v>
      </c>
      <c r="T188" s="55"/>
      <c r="U188" s="547">
        <v>0</v>
      </c>
      <c r="V188" s="55">
        <v>0</v>
      </c>
      <c r="W188" s="55"/>
      <c r="X188" s="55">
        <v>4</v>
      </c>
      <c r="Y188" s="55">
        <v>47</v>
      </c>
      <c r="Z188" s="55">
        <v>0</v>
      </c>
      <c r="AA188" s="55">
        <v>0</v>
      </c>
      <c r="AB188" s="57">
        <f>100/(SUM(I188:Z188))</f>
        <v>1</v>
      </c>
      <c r="AC188" s="259">
        <f>SUM(I188:AA188)</f>
        <v>100</v>
      </c>
      <c r="AD188" s="55"/>
      <c r="AE188" s="55"/>
      <c r="AF188" s="55"/>
      <c r="AG188" s="58" t="s">
        <v>127</v>
      </c>
      <c r="AH188" s="186" t="s">
        <v>2349</v>
      </c>
      <c r="AI188" s="59"/>
      <c r="AJ188" s="186"/>
      <c r="AK188" s="53" t="s">
        <v>138</v>
      </c>
      <c r="AL188" s="58">
        <f>(B188-DATE(1970,1,1))*86400</f>
        <v>1765152000</v>
      </c>
      <c r="AM188" s="58">
        <f>(C188-DATE(1970,1,1))*86400</f>
        <v>1765411200</v>
      </c>
      <c r="AN188" s="58">
        <f>AVERAGE(AL188:AM188)</f>
        <v>1765281600</v>
      </c>
    </row>
    <row r="189" spans="1:65" x14ac:dyDescent="0.2">
      <c r="A189" s="287" t="s">
        <v>133</v>
      </c>
      <c r="B189" s="187">
        <v>45996</v>
      </c>
      <c r="C189" s="187">
        <v>46000</v>
      </c>
      <c r="D189" s="69" t="s">
        <v>183</v>
      </c>
      <c r="E189" s="400">
        <v>1</v>
      </c>
      <c r="F189" s="69" t="s">
        <v>2490</v>
      </c>
      <c r="G189" s="188" t="s">
        <v>126</v>
      </c>
      <c r="H189" s="354">
        <v>600</v>
      </c>
      <c r="I189" s="71">
        <v>31</v>
      </c>
      <c r="J189" s="71"/>
      <c r="K189" s="71"/>
      <c r="L189" s="71"/>
      <c r="M189" s="71">
        <v>1</v>
      </c>
      <c r="N189" s="71"/>
      <c r="O189" s="71"/>
      <c r="P189" s="71"/>
      <c r="Q189" s="71"/>
      <c r="R189" s="72"/>
      <c r="S189" s="71"/>
      <c r="T189" s="71"/>
      <c r="U189" s="71"/>
      <c r="V189" s="71">
        <v>4</v>
      </c>
      <c r="W189" s="71"/>
      <c r="X189" s="71">
        <v>9</v>
      </c>
      <c r="Y189" s="71">
        <v>44</v>
      </c>
      <c r="Z189" s="71">
        <v>0</v>
      </c>
      <c r="AA189" s="71">
        <v>10</v>
      </c>
      <c r="AB189" s="73">
        <f>100/(SUM(I189:Z189))</f>
        <v>1.1235955056179776</v>
      </c>
      <c r="AC189" s="259">
        <f>SUM(I189:AA189)</f>
        <v>99</v>
      </c>
      <c r="AD189" s="71"/>
      <c r="AE189" s="71"/>
      <c r="AF189" s="71"/>
      <c r="AG189" s="74"/>
      <c r="AH189" s="199" t="s">
        <v>2340</v>
      </c>
      <c r="AI189" s="199" t="s">
        <v>2341</v>
      </c>
      <c r="AJ189" s="75" t="s">
        <v>2342</v>
      </c>
      <c r="AK189" s="69" t="s">
        <v>2350</v>
      </c>
      <c r="AL189" s="74">
        <f>(B189-DATE(1970,1,1))*86400</f>
        <v>1764892800</v>
      </c>
      <c r="AM189" s="74">
        <f>(C189-DATE(1970,1,1))*86400</f>
        <v>1765238400</v>
      </c>
      <c r="AN189" s="74">
        <f>AVERAGE(AL189:AM189)</f>
        <v>1765065600</v>
      </c>
    </row>
    <row r="190" spans="1:65" ht="15.75" customHeight="1" x14ac:dyDescent="0.2">
      <c r="A190" s="287" t="s">
        <v>133</v>
      </c>
      <c r="B190" s="187">
        <v>45996</v>
      </c>
      <c r="C190" s="187">
        <v>46000</v>
      </c>
      <c r="D190" s="69" t="s">
        <v>183</v>
      </c>
      <c r="E190" s="400">
        <v>1</v>
      </c>
      <c r="F190" s="69" t="s">
        <v>2490</v>
      </c>
      <c r="G190" s="188" t="s">
        <v>126</v>
      </c>
      <c r="H190" s="354">
        <v>600</v>
      </c>
      <c r="I190" s="71">
        <v>35</v>
      </c>
      <c r="J190" s="71"/>
      <c r="K190" s="71"/>
      <c r="L190" s="71"/>
      <c r="M190" s="71">
        <v>1</v>
      </c>
      <c r="N190" s="71"/>
      <c r="O190" s="71"/>
      <c r="P190" s="71"/>
      <c r="Q190" s="71"/>
      <c r="R190" s="72"/>
      <c r="S190" s="71"/>
      <c r="T190" s="71"/>
      <c r="U190" s="71"/>
      <c r="V190" s="71">
        <v>4</v>
      </c>
      <c r="W190" s="71"/>
      <c r="X190" s="71">
        <v>10</v>
      </c>
      <c r="Y190" s="71">
        <v>49</v>
      </c>
      <c r="Z190" s="71">
        <v>0</v>
      </c>
      <c r="AA190" s="71">
        <v>0</v>
      </c>
      <c r="AB190" s="73">
        <f>100/(SUM(I190:Z190))</f>
        <v>1.0101010101010102</v>
      </c>
      <c r="AC190" s="259">
        <f>SUM(I190:AA190)</f>
        <v>99</v>
      </c>
      <c r="AD190" s="71"/>
      <c r="AE190" s="71"/>
      <c r="AF190" s="71"/>
      <c r="AG190" s="74"/>
      <c r="AH190" s="199" t="s">
        <v>2340</v>
      </c>
      <c r="AI190" s="199" t="s">
        <v>2341</v>
      </c>
      <c r="AJ190" s="199" t="s">
        <v>2342</v>
      </c>
      <c r="AK190" s="69"/>
      <c r="AL190" s="74">
        <f>(B190-DATE(1970,1,1))*86400</f>
        <v>1764892800</v>
      </c>
      <c r="AM190" s="74">
        <f>(C190-DATE(1970,1,1))*86400</f>
        <v>1765238400</v>
      </c>
      <c r="AN190" s="74">
        <f>AVERAGE(AL190:AM190)</f>
        <v>1765065600</v>
      </c>
    </row>
    <row r="191" spans="1:65" x14ac:dyDescent="0.2">
      <c r="A191" s="287" t="s">
        <v>123</v>
      </c>
      <c r="B191" s="187">
        <v>45996</v>
      </c>
      <c r="C191" s="187">
        <v>46000</v>
      </c>
      <c r="D191" s="69" t="s">
        <v>183</v>
      </c>
      <c r="E191" s="400">
        <v>1</v>
      </c>
      <c r="F191" s="69" t="s">
        <v>2490</v>
      </c>
      <c r="G191" s="188" t="s">
        <v>126</v>
      </c>
      <c r="H191" s="354">
        <v>600</v>
      </c>
      <c r="I191" s="71">
        <v>35</v>
      </c>
      <c r="J191" s="71"/>
      <c r="K191" s="71"/>
      <c r="L191" s="71"/>
      <c r="M191" s="71">
        <v>1</v>
      </c>
      <c r="N191" s="71"/>
      <c r="O191" s="71"/>
      <c r="P191" s="71"/>
      <c r="Q191" s="71"/>
      <c r="R191" s="72"/>
      <c r="S191" s="71"/>
      <c r="T191" s="71"/>
      <c r="U191" s="71"/>
      <c r="V191" s="71">
        <v>3</v>
      </c>
      <c r="W191" s="71"/>
      <c r="X191" s="71">
        <v>9</v>
      </c>
      <c r="Y191" s="71">
        <v>52</v>
      </c>
      <c r="Z191" s="71">
        <v>0</v>
      </c>
      <c r="AA191" s="71">
        <v>0</v>
      </c>
      <c r="AB191" s="73">
        <f>100/(SUM(I191:Z191))</f>
        <v>1</v>
      </c>
      <c r="AC191" s="259">
        <f>SUM(I191:AA191)</f>
        <v>100</v>
      </c>
      <c r="AD191" s="71"/>
      <c r="AE191" s="71"/>
      <c r="AF191" s="71"/>
      <c r="AG191" s="74"/>
      <c r="AH191" s="199" t="s">
        <v>2340</v>
      </c>
      <c r="AI191" s="199" t="s">
        <v>2341</v>
      </c>
      <c r="AJ191" s="75" t="s">
        <v>2342</v>
      </c>
      <c r="AK191" s="69"/>
      <c r="AL191" s="74">
        <f>(B191-DATE(1970,1,1))*86400</f>
        <v>1764892800</v>
      </c>
      <c r="AM191" s="74">
        <f>(C191-DATE(1970,1,1))*86400</f>
        <v>1765238400</v>
      </c>
      <c r="AN191" s="74">
        <f>AVERAGE(AL191:AM191)</f>
        <v>1765065600</v>
      </c>
    </row>
    <row r="192" spans="1:65" ht="15.75" customHeight="1" x14ac:dyDescent="0.2">
      <c r="A192" s="287" t="s">
        <v>133</v>
      </c>
      <c r="B192" s="187">
        <v>45993</v>
      </c>
      <c r="C192" s="187">
        <v>45996</v>
      </c>
      <c r="D192" s="69" t="s">
        <v>183</v>
      </c>
      <c r="E192" s="400">
        <v>1</v>
      </c>
      <c r="F192" s="69" t="s">
        <v>2491</v>
      </c>
      <c r="G192" s="188" t="s">
        <v>126</v>
      </c>
      <c r="H192" s="354">
        <v>800</v>
      </c>
      <c r="I192" s="71">
        <v>30</v>
      </c>
      <c r="J192" s="71"/>
      <c r="K192" s="71"/>
      <c r="L192" s="71"/>
      <c r="M192" s="71">
        <v>4</v>
      </c>
      <c r="N192" s="71"/>
      <c r="O192" s="71"/>
      <c r="P192" s="71"/>
      <c r="Q192" s="71"/>
      <c r="R192" s="72"/>
      <c r="S192" s="71"/>
      <c r="T192" s="71"/>
      <c r="U192" s="71"/>
      <c r="V192" s="71">
        <v>2</v>
      </c>
      <c r="W192" s="71"/>
      <c r="X192" s="71">
        <v>7</v>
      </c>
      <c r="Y192" s="71">
        <v>55</v>
      </c>
      <c r="Z192" s="71">
        <v>2</v>
      </c>
      <c r="AA192" s="71">
        <v>0</v>
      </c>
      <c r="AB192" s="73">
        <f>100/(SUM(I192:Z192))</f>
        <v>1</v>
      </c>
      <c r="AC192" s="259">
        <f>SUM(I192:AA192)</f>
        <v>100</v>
      </c>
      <c r="AD192" s="71"/>
      <c r="AE192" s="71"/>
      <c r="AF192" s="71"/>
      <c r="AG192" s="74" t="s">
        <v>1928</v>
      </c>
      <c r="AH192" s="199" t="s">
        <v>2310</v>
      </c>
      <c r="AI192" s="199" t="s">
        <v>2311</v>
      </c>
      <c r="AJ192" s="75" t="s">
        <v>2312</v>
      </c>
      <c r="AK192" s="69" t="s">
        <v>2332</v>
      </c>
      <c r="AL192" s="74">
        <f>(B192-DATE(1970,1,1))*86400</f>
        <v>1764633600</v>
      </c>
      <c r="AM192" s="74">
        <f>(C192-DATE(1970,1,1))*86400</f>
        <v>1764892800</v>
      </c>
      <c r="AN192" s="74">
        <f>AVERAGE(AL192:AM192)</f>
        <v>1764763200</v>
      </c>
    </row>
    <row r="193" spans="1:65" x14ac:dyDescent="0.2">
      <c r="A193" s="287" t="s">
        <v>123</v>
      </c>
      <c r="B193" s="187">
        <v>45993</v>
      </c>
      <c r="C193" s="187">
        <v>45996</v>
      </c>
      <c r="D193" s="69" t="s">
        <v>183</v>
      </c>
      <c r="E193" s="400">
        <v>1</v>
      </c>
      <c r="F193" s="69" t="s">
        <v>2491</v>
      </c>
      <c r="G193" s="188" t="s">
        <v>126</v>
      </c>
      <c r="H193" s="354">
        <v>800</v>
      </c>
      <c r="I193" s="71">
        <v>27</v>
      </c>
      <c r="J193" s="71"/>
      <c r="K193" s="71"/>
      <c r="L193" s="71"/>
      <c r="M193" s="71">
        <v>5</v>
      </c>
      <c r="N193" s="71"/>
      <c r="O193" s="71"/>
      <c r="P193" s="71"/>
      <c r="Q193" s="71"/>
      <c r="R193" s="72"/>
      <c r="S193" s="71"/>
      <c r="T193" s="71"/>
      <c r="U193" s="71"/>
      <c r="V193" s="71">
        <v>2</v>
      </c>
      <c r="W193" s="71"/>
      <c r="X193" s="71">
        <v>6</v>
      </c>
      <c r="Y193" s="71">
        <v>58</v>
      </c>
      <c r="Z193" s="71">
        <v>2</v>
      </c>
      <c r="AA193" s="71">
        <v>0</v>
      </c>
      <c r="AB193" s="73">
        <f>100/(SUM(I193:Z193))</f>
        <v>1</v>
      </c>
      <c r="AC193" s="259">
        <f>SUM(I193:AA193)</f>
        <v>100</v>
      </c>
      <c r="AD193" s="71"/>
      <c r="AE193" s="71"/>
      <c r="AF193" s="71"/>
      <c r="AG193" s="74" t="s">
        <v>1928</v>
      </c>
      <c r="AH193" s="199" t="s">
        <v>2310</v>
      </c>
      <c r="AI193" s="199" t="s">
        <v>2311</v>
      </c>
      <c r="AJ193" s="75" t="s">
        <v>2312</v>
      </c>
      <c r="AK193" s="69" t="s">
        <v>2333</v>
      </c>
      <c r="AL193" s="74">
        <f>(B193-DATE(1970,1,1))*86400</f>
        <v>1764633600</v>
      </c>
      <c r="AM193" s="74">
        <f>(C193-DATE(1970,1,1))*86400</f>
        <v>1764892800</v>
      </c>
      <c r="AN193" s="74">
        <f>AVERAGE(AL193:AM193)</f>
        <v>1764763200</v>
      </c>
    </row>
    <row r="194" spans="1:65" ht="15.75" customHeight="1" x14ac:dyDescent="0.2">
      <c r="A194" s="283" t="s">
        <v>133</v>
      </c>
      <c r="B194" s="28">
        <v>45992</v>
      </c>
      <c r="C194" s="28">
        <v>45994</v>
      </c>
      <c r="D194" s="27" t="s">
        <v>139</v>
      </c>
      <c r="E194" s="331" t="s">
        <v>125</v>
      </c>
      <c r="F194" s="27"/>
      <c r="G194" s="27" t="s">
        <v>126</v>
      </c>
      <c r="H194" s="352">
        <v>1000</v>
      </c>
      <c r="I194" s="29">
        <v>49</v>
      </c>
      <c r="J194" s="29"/>
      <c r="K194" s="29"/>
      <c r="L194" s="29"/>
      <c r="M194" s="29">
        <v>3</v>
      </c>
      <c r="N194" s="29"/>
      <c r="O194" s="29"/>
      <c r="P194" s="29"/>
      <c r="Q194" s="29"/>
      <c r="R194" s="29"/>
      <c r="S194" s="29"/>
      <c r="T194" s="29"/>
      <c r="U194" s="29"/>
      <c r="V194" s="29">
        <v>3</v>
      </c>
      <c r="W194" s="29"/>
      <c r="X194" s="29">
        <v>7</v>
      </c>
      <c r="Y194" s="29">
        <v>38</v>
      </c>
      <c r="Z194" s="29"/>
      <c r="AA194" s="29">
        <v>0</v>
      </c>
      <c r="AB194" s="30">
        <f>100/(SUM(I194:Z194))</f>
        <v>1</v>
      </c>
      <c r="AC194" s="259">
        <f>SUM(I194:AA194)</f>
        <v>100</v>
      </c>
      <c r="AD194" s="29"/>
      <c r="AE194" s="29"/>
      <c r="AF194" s="29">
        <v>12</v>
      </c>
      <c r="AG194" s="31" t="s">
        <v>136</v>
      </c>
      <c r="AH194" s="198" t="s">
        <v>2308</v>
      </c>
      <c r="AI194" s="198" t="s">
        <v>2309</v>
      </c>
      <c r="AJ194" s="198" t="s">
        <v>2313</v>
      </c>
      <c r="AK194" s="27" t="s">
        <v>381</v>
      </c>
      <c r="AL194" s="31">
        <f>(B194-DATE(1970,1,1))*86400</f>
        <v>1764547200</v>
      </c>
      <c r="AM194" s="31">
        <f>(C194-DATE(1970,1,1))*86400</f>
        <v>1764720000</v>
      </c>
      <c r="AN194" s="31">
        <f>AVERAGE(AL194:AM194)</f>
        <v>1764633600</v>
      </c>
    </row>
    <row r="195" spans="1:65" ht="15.75" customHeight="1" x14ac:dyDescent="0.2">
      <c r="A195" s="284" t="s">
        <v>133</v>
      </c>
      <c r="B195" s="20">
        <v>45988</v>
      </c>
      <c r="C195" s="20">
        <v>45995</v>
      </c>
      <c r="D195" s="19" t="s">
        <v>134</v>
      </c>
      <c r="E195" s="332" t="s">
        <v>125</v>
      </c>
      <c r="F195" s="19"/>
      <c r="G195" s="19" t="s">
        <v>135</v>
      </c>
      <c r="H195" s="332">
        <v>1500</v>
      </c>
      <c r="I195" s="21">
        <v>28</v>
      </c>
      <c r="J195" s="21">
        <v>0</v>
      </c>
      <c r="K195" s="21">
        <v>1</v>
      </c>
      <c r="L195" s="21">
        <v>0</v>
      </c>
      <c r="M195" s="21">
        <v>4</v>
      </c>
      <c r="N195" s="21"/>
      <c r="O195" s="21">
        <v>0</v>
      </c>
      <c r="P195" s="21">
        <v>0</v>
      </c>
      <c r="Q195" s="21"/>
      <c r="R195" s="22"/>
      <c r="S195" s="21">
        <v>0</v>
      </c>
      <c r="T195" s="21">
        <v>1</v>
      </c>
      <c r="U195" s="21"/>
      <c r="V195" s="21">
        <v>2</v>
      </c>
      <c r="W195" s="21">
        <v>0</v>
      </c>
      <c r="X195" s="21">
        <v>3</v>
      </c>
      <c r="Y195" s="21">
        <v>35</v>
      </c>
      <c r="Z195" s="21">
        <v>0</v>
      </c>
      <c r="AA195" s="21">
        <v>26</v>
      </c>
      <c r="AB195" s="23">
        <f>100/(SUM(I195:Z195))</f>
        <v>1.3513513513513513</v>
      </c>
      <c r="AC195" s="259">
        <f>SUM(I195:AA195)</f>
        <v>100</v>
      </c>
      <c r="AD195" s="21"/>
      <c r="AE195" s="24"/>
      <c r="AF195" s="24"/>
      <c r="AG195" s="25" t="s">
        <v>136</v>
      </c>
      <c r="AH195" s="219" t="s">
        <v>2330</v>
      </c>
      <c r="AI195" s="26" t="s">
        <v>2331</v>
      </c>
      <c r="AJ195" s="219"/>
      <c r="AK195" s="19" t="s">
        <v>2333</v>
      </c>
      <c r="AL195" s="25">
        <f>(B195-DATE(1970,1,1))*86400</f>
        <v>1764201600</v>
      </c>
      <c r="AM195" s="25">
        <f>(C195-DATE(1970,1,1))*86400</f>
        <v>1764806400</v>
      </c>
      <c r="AN195" s="25">
        <f>AVERAGE(AL195:AM195)</f>
        <v>1764504000</v>
      </c>
    </row>
    <row r="196" spans="1:65" ht="15.75" customHeight="1" x14ac:dyDescent="0.2">
      <c r="A196" s="284" t="s">
        <v>123</v>
      </c>
      <c r="B196" s="20">
        <v>45988</v>
      </c>
      <c r="C196" s="20">
        <v>45995</v>
      </c>
      <c r="D196" s="19" t="s">
        <v>134</v>
      </c>
      <c r="E196" s="332" t="s">
        <v>125</v>
      </c>
      <c r="F196" s="19"/>
      <c r="G196" s="19" t="s">
        <v>135</v>
      </c>
      <c r="H196" s="332">
        <v>1500</v>
      </c>
      <c r="I196" s="21">
        <v>39</v>
      </c>
      <c r="J196" s="21">
        <v>0</v>
      </c>
      <c r="K196" s="21">
        <v>1</v>
      </c>
      <c r="L196" s="21">
        <v>0</v>
      </c>
      <c r="M196" s="21">
        <v>5</v>
      </c>
      <c r="N196" s="21"/>
      <c r="O196" s="21">
        <v>0</v>
      </c>
      <c r="P196" s="21">
        <v>0</v>
      </c>
      <c r="Q196" s="21"/>
      <c r="R196" s="22"/>
      <c r="S196" s="21">
        <v>0</v>
      </c>
      <c r="T196" s="21">
        <v>1</v>
      </c>
      <c r="U196" s="21"/>
      <c r="V196" s="21">
        <v>3</v>
      </c>
      <c r="W196" s="21">
        <v>0</v>
      </c>
      <c r="X196" s="21">
        <v>4</v>
      </c>
      <c r="Y196" s="21">
        <v>47</v>
      </c>
      <c r="Z196" s="21">
        <v>1</v>
      </c>
      <c r="AA196" s="21">
        <v>0</v>
      </c>
      <c r="AB196" s="23">
        <f>100/(SUM(I196:Z196))</f>
        <v>0.99009900990099009</v>
      </c>
      <c r="AC196" s="259">
        <f>SUM(I196:AA196)</f>
        <v>101</v>
      </c>
      <c r="AD196" s="24"/>
      <c r="AE196" s="24"/>
      <c r="AF196" s="24"/>
      <c r="AG196" s="25" t="s">
        <v>136</v>
      </c>
      <c r="AH196" s="219" t="s">
        <v>2330</v>
      </c>
      <c r="AI196" s="26" t="s">
        <v>2331</v>
      </c>
      <c r="AJ196" s="26"/>
      <c r="AK196" s="19" t="s">
        <v>138</v>
      </c>
      <c r="AL196" s="25">
        <f>(B196-DATE(1970,1,1))*86400</f>
        <v>1764201600</v>
      </c>
      <c r="AM196" s="25">
        <f>(C196-DATE(1970,1,1))*86400</f>
        <v>1764806400</v>
      </c>
      <c r="AN196" s="25">
        <f>AVERAGE(AL196:AM196)</f>
        <v>1764504000</v>
      </c>
    </row>
    <row r="197" spans="1:65" x14ac:dyDescent="0.2">
      <c r="A197" s="279" t="s">
        <v>123</v>
      </c>
      <c r="B197" s="14">
        <v>45990</v>
      </c>
      <c r="C197" s="14">
        <v>45992</v>
      </c>
      <c r="D197" s="13" t="s">
        <v>2288</v>
      </c>
      <c r="E197" s="401">
        <v>1</v>
      </c>
      <c r="F197" s="13"/>
      <c r="G197" s="13" t="s">
        <v>126</v>
      </c>
      <c r="H197" s="349">
        <v>1000</v>
      </c>
      <c r="I197" s="15">
        <v>45</v>
      </c>
      <c r="J197" s="15"/>
      <c r="K197" s="15"/>
      <c r="L197" s="15"/>
      <c r="M197" s="15">
        <v>3</v>
      </c>
      <c r="N197" s="15"/>
      <c r="O197" s="15"/>
      <c r="P197" s="15"/>
      <c r="Q197" s="15"/>
      <c r="R197" s="15"/>
      <c r="S197" s="15"/>
      <c r="T197" s="15"/>
      <c r="U197" s="15"/>
      <c r="V197" s="15">
        <v>4</v>
      </c>
      <c r="W197" s="15"/>
      <c r="X197" s="15">
        <v>8</v>
      </c>
      <c r="Y197" s="15">
        <v>40</v>
      </c>
      <c r="Z197" s="98"/>
      <c r="AA197" s="397">
        <v>0</v>
      </c>
      <c r="AB197" s="16">
        <f>100/(SUM(I197:Z197))</f>
        <v>1</v>
      </c>
      <c r="AC197" s="259">
        <f>SUM(I197:AA197)</f>
        <v>100</v>
      </c>
      <c r="AD197" s="15"/>
      <c r="AE197" s="15"/>
      <c r="AF197" s="15"/>
      <c r="AG197" s="17" t="s">
        <v>2221</v>
      </c>
      <c r="AH197" s="201" t="s">
        <v>2299</v>
      </c>
      <c r="AI197" s="201"/>
      <c r="AJ197" s="18"/>
      <c r="AK197" s="13" t="s">
        <v>2300</v>
      </c>
      <c r="AL197" s="17">
        <f>(B197-DATE(1970,1,1))*86400</f>
        <v>1764374400</v>
      </c>
      <c r="AM197" s="17">
        <f>(C197-DATE(1970,1,1))*86400</f>
        <v>1764547200</v>
      </c>
      <c r="AN197" s="17">
        <f>AVERAGE(AL197:AM197)</f>
        <v>1764460800</v>
      </c>
    </row>
    <row r="198" spans="1:65" ht="15.75" customHeight="1" x14ac:dyDescent="0.2">
      <c r="A198" s="280" t="s">
        <v>123</v>
      </c>
      <c r="B198" s="197">
        <v>45987</v>
      </c>
      <c r="C198" s="197">
        <v>45989</v>
      </c>
      <c r="D198" s="76" t="s">
        <v>2097</v>
      </c>
      <c r="E198" s="320">
        <v>1</v>
      </c>
      <c r="F198" s="76"/>
      <c r="G198" s="76" t="s">
        <v>126</v>
      </c>
      <c r="H198" s="350">
        <v>1000</v>
      </c>
      <c r="I198" s="78">
        <v>44</v>
      </c>
      <c r="J198" s="78" t="s">
        <v>355</v>
      </c>
      <c r="K198" s="78"/>
      <c r="L198" s="78"/>
      <c r="M198" s="78">
        <v>3</v>
      </c>
      <c r="N198" s="78"/>
      <c r="O198" s="78"/>
      <c r="P198" s="78"/>
      <c r="Q198" s="78"/>
      <c r="R198" s="78"/>
      <c r="S198" s="78"/>
      <c r="T198" s="78"/>
      <c r="U198" s="78"/>
      <c r="V198" s="78">
        <v>4</v>
      </c>
      <c r="W198" s="78"/>
      <c r="X198" s="78">
        <v>5</v>
      </c>
      <c r="Y198" s="78">
        <v>38</v>
      </c>
      <c r="Z198" s="78">
        <v>2</v>
      </c>
      <c r="AA198" s="78">
        <v>4</v>
      </c>
      <c r="AB198" s="79">
        <f>100/(SUM(I198:Z198))</f>
        <v>1.0416666666666667</v>
      </c>
      <c r="AC198" s="259">
        <f>SUM(I198:AA198)</f>
        <v>100</v>
      </c>
      <c r="AD198" s="78"/>
      <c r="AE198" s="78"/>
      <c r="AF198" s="78"/>
      <c r="AG198" s="80" t="s">
        <v>127</v>
      </c>
      <c r="AH198" s="81" t="s">
        <v>2324</v>
      </c>
      <c r="AI198" s="195"/>
      <c r="AJ198" s="195"/>
      <c r="AK198" s="76" t="s">
        <v>138</v>
      </c>
      <c r="AL198" s="80">
        <f>(B198-DATE(1970,1,1))*86400</f>
        <v>1764115200</v>
      </c>
      <c r="AM198" s="80">
        <f>(C198-DATE(1970,1,1))*86400</f>
        <v>1764288000</v>
      </c>
      <c r="AN198" s="80">
        <f>AVERAGE(AL198:AM198)</f>
        <v>1764201600</v>
      </c>
    </row>
    <row r="199" spans="1:65" ht="15.75" customHeight="1" x14ac:dyDescent="0.2">
      <c r="A199" s="286" t="s">
        <v>133</v>
      </c>
      <c r="B199" s="41">
        <v>45984</v>
      </c>
      <c r="C199" s="41">
        <v>45991</v>
      </c>
      <c r="D199" s="40" t="s">
        <v>148</v>
      </c>
      <c r="E199" s="325" t="s">
        <v>125</v>
      </c>
      <c r="F199" s="40"/>
      <c r="G199" s="40" t="s">
        <v>597</v>
      </c>
      <c r="H199" s="325">
        <v>1000</v>
      </c>
      <c r="I199" s="42">
        <v>30</v>
      </c>
      <c r="J199" s="42"/>
      <c r="K199" s="42"/>
      <c r="L199" s="42"/>
      <c r="M199" s="42">
        <v>4</v>
      </c>
      <c r="N199" s="42"/>
      <c r="O199" s="42"/>
      <c r="P199" s="42" t="s">
        <v>355</v>
      </c>
      <c r="Q199" s="42"/>
      <c r="R199" s="43"/>
      <c r="S199" s="42"/>
      <c r="T199" s="42"/>
      <c r="U199" s="42"/>
      <c r="V199" s="42">
        <v>3</v>
      </c>
      <c r="W199" s="42"/>
      <c r="X199" s="42">
        <v>4</v>
      </c>
      <c r="Y199" s="42">
        <v>35</v>
      </c>
      <c r="Z199" s="42">
        <v>1</v>
      </c>
      <c r="AA199" s="42">
        <v>23</v>
      </c>
      <c r="AB199" s="44">
        <f>100/(SUM(I199:Z199))</f>
        <v>1.2987012987012987</v>
      </c>
      <c r="AC199" s="259">
        <f>SUM(I199:AA199)</f>
        <v>100</v>
      </c>
      <c r="AD199" s="42"/>
      <c r="AE199" s="43"/>
      <c r="AF199" s="43"/>
      <c r="AG199" s="45" t="s">
        <v>136</v>
      </c>
      <c r="AH199" s="189" t="s">
        <v>2306</v>
      </c>
      <c r="AI199" s="46" t="s">
        <v>2307</v>
      </c>
      <c r="AJ199" s="46"/>
      <c r="AK199" s="40" t="s">
        <v>138</v>
      </c>
      <c r="AL199" s="45">
        <f>(B199-DATE(1970,1,1))*86400</f>
        <v>1763856000</v>
      </c>
      <c r="AM199" s="45">
        <f>(C199-DATE(1970,1,1))*86400</f>
        <v>1764460800</v>
      </c>
      <c r="AN199" s="45">
        <f>AVERAGE(AL199:AM199)</f>
        <v>1764158400</v>
      </c>
    </row>
    <row r="200" spans="1:65" ht="15.75" customHeight="1" x14ac:dyDescent="0.2">
      <c r="A200" s="286" t="s">
        <v>123</v>
      </c>
      <c r="B200" s="41">
        <v>45984</v>
      </c>
      <c r="C200" s="41">
        <v>45991</v>
      </c>
      <c r="D200" s="40" t="s">
        <v>148</v>
      </c>
      <c r="E200" s="325" t="s">
        <v>125</v>
      </c>
      <c r="F200" s="40"/>
      <c r="G200" s="40" t="s">
        <v>597</v>
      </c>
      <c r="H200" s="325">
        <v>1000</v>
      </c>
      <c r="I200" s="42">
        <v>38</v>
      </c>
      <c r="J200" s="42"/>
      <c r="K200" s="42"/>
      <c r="L200" s="42"/>
      <c r="M200" s="42">
        <v>4</v>
      </c>
      <c r="N200" s="42"/>
      <c r="O200" s="42"/>
      <c r="P200" s="42" t="s">
        <v>355</v>
      </c>
      <c r="Q200" s="42"/>
      <c r="R200" s="43"/>
      <c r="S200" s="42"/>
      <c r="T200" s="42"/>
      <c r="U200" s="42"/>
      <c r="V200" s="42">
        <v>4</v>
      </c>
      <c r="W200" s="42"/>
      <c r="X200" s="42">
        <v>5</v>
      </c>
      <c r="Y200" s="42">
        <v>47</v>
      </c>
      <c r="Z200" s="42">
        <v>2</v>
      </c>
      <c r="AA200" s="42">
        <v>0</v>
      </c>
      <c r="AB200" s="44">
        <f>100/(SUM(I200:Z200))</f>
        <v>1</v>
      </c>
      <c r="AC200" s="259">
        <f>SUM(I200:AA200)</f>
        <v>100</v>
      </c>
      <c r="AD200" s="42"/>
      <c r="AE200" s="43"/>
      <c r="AF200" s="43"/>
      <c r="AG200" s="45" t="s">
        <v>136</v>
      </c>
      <c r="AH200" s="189" t="s">
        <v>2306</v>
      </c>
      <c r="AI200" s="46" t="s">
        <v>2307</v>
      </c>
      <c r="AJ200" s="46"/>
      <c r="AK200" s="40"/>
      <c r="AL200" s="45">
        <f>(B200-DATE(1970,1,1))*86400</f>
        <v>1763856000</v>
      </c>
      <c r="AM200" s="45">
        <f>(C200-DATE(1970,1,1))*86400</f>
        <v>1764460800</v>
      </c>
      <c r="AN200" s="45">
        <f>AVERAGE(AL200:AM200)</f>
        <v>1764158400</v>
      </c>
    </row>
    <row r="201" spans="1:65" ht="15.75" customHeight="1" x14ac:dyDescent="0.2">
      <c r="A201" s="288" t="s">
        <v>133</v>
      </c>
      <c r="B201" s="60">
        <v>45985</v>
      </c>
      <c r="C201" s="60">
        <v>45989</v>
      </c>
      <c r="D201" s="61" t="s">
        <v>168</v>
      </c>
      <c r="E201" s="334" t="s">
        <v>125</v>
      </c>
      <c r="F201" s="218"/>
      <c r="G201" s="61" t="s">
        <v>126</v>
      </c>
      <c r="H201" s="334">
        <v>1000</v>
      </c>
      <c r="I201" s="63">
        <v>24</v>
      </c>
      <c r="J201" s="63">
        <v>0</v>
      </c>
      <c r="K201" s="63">
        <v>0</v>
      </c>
      <c r="L201" s="63"/>
      <c r="M201" s="63">
        <v>3</v>
      </c>
      <c r="N201" s="63"/>
      <c r="O201" s="63">
        <v>0</v>
      </c>
      <c r="P201" s="63"/>
      <c r="Q201" s="63"/>
      <c r="R201" s="64"/>
      <c r="S201" s="63"/>
      <c r="T201" s="63"/>
      <c r="U201" s="63"/>
      <c r="V201" s="63">
        <v>5</v>
      </c>
      <c r="W201" s="63"/>
      <c r="X201" s="63">
        <v>6</v>
      </c>
      <c r="Y201" s="63">
        <v>30</v>
      </c>
      <c r="Z201" s="63">
        <v>1</v>
      </c>
      <c r="AA201" s="63">
        <v>30</v>
      </c>
      <c r="AB201" s="65">
        <f>100/(SUM(I201:Z201))</f>
        <v>1.4492753623188406</v>
      </c>
      <c r="AC201" s="259">
        <f>SUM(I201:AA201)</f>
        <v>99</v>
      </c>
      <c r="AD201" s="63"/>
      <c r="AE201" s="64"/>
      <c r="AF201" s="64"/>
      <c r="AG201" s="66" t="s">
        <v>127</v>
      </c>
      <c r="AH201" s="200" t="s">
        <v>2302</v>
      </c>
      <c r="AI201" s="200" t="s">
        <v>2303</v>
      </c>
      <c r="AJ201" s="200"/>
      <c r="AK201" s="61" t="s">
        <v>2305</v>
      </c>
      <c r="AL201" s="66">
        <f>(B201-DATE(1970,1,1))*86400</f>
        <v>1763942400</v>
      </c>
      <c r="AM201" s="66">
        <f>(C201-DATE(1970,1,1))*86400</f>
        <v>1764288000</v>
      </c>
      <c r="AN201" s="66">
        <f>AVERAGE(AL201:AM201)</f>
        <v>1764115200</v>
      </c>
    </row>
    <row r="202" spans="1:65" ht="15.75" customHeight="1" x14ac:dyDescent="0.2">
      <c r="A202" s="288" t="s">
        <v>133</v>
      </c>
      <c r="B202" s="60">
        <v>45985</v>
      </c>
      <c r="C202" s="60">
        <v>45989</v>
      </c>
      <c r="D202" s="61" t="s">
        <v>168</v>
      </c>
      <c r="E202" s="398">
        <v>1</v>
      </c>
      <c r="F202" s="218"/>
      <c r="G202" s="61" t="s">
        <v>126</v>
      </c>
      <c r="H202" s="334">
        <v>1000</v>
      </c>
      <c r="I202" s="63">
        <v>35</v>
      </c>
      <c r="J202" s="63">
        <v>1</v>
      </c>
      <c r="K202" s="63">
        <v>0</v>
      </c>
      <c r="L202" s="63"/>
      <c r="M202" s="63">
        <v>4</v>
      </c>
      <c r="N202" s="63"/>
      <c r="O202" s="63">
        <v>0</v>
      </c>
      <c r="P202" s="63"/>
      <c r="Q202" s="63"/>
      <c r="R202" s="64"/>
      <c r="S202" s="63"/>
      <c r="T202" s="63"/>
      <c r="U202" s="63"/>
      <c r="V202" s="63">
        <v>6</v>
      </c>
      <c r="W202" s="63"/>
      <c r="X202" s="63">
        <v>7</v>
      </c>
      <c r="Y202" s="63">
        <v>43</v>
      </c>
      <c r="Z202" s="63">
        <v>3</v>
      </c>
      <c r="AA202" s="63">
        <v>0</v>
      </c>
      <c r="AB202" s="65">
        <f>100/(SUM(I202:Z202))</f>
        <v>1.0101010101010102</v>
      </c>
      <c r="AC202" s="259">
        <f>SUM(I202:AA202)</f>
        <v>99</v>
      </c>
      <c r="AD202" s="63"/>
      <c r="AE202" s="64"/>
      <c r="AF202" s="64"/>
      <c r="AG202" s="66" t="s">
        <v>127</v>
      </c>
      <c r="AH202" s="200" t="s">
        <v>2302</v>
      </c>
      <c r="AI202" s="200" t="s">
        <v>2303</v>
      </c>
      <c r="AJ202" s="200"/>
      <c r="AK202" s="61" t="s">
        <v>138</v>
      </c>
      <c r="AL202" s="66">
        <f>(B202-DATE(1970,1,1))*86400</f>
        <v>1763942400</v>
      </c>
      <c r="AM202" s="66">
        <f>(C202-DATE(1970,1,1))*86400</f>
        <v>1764288000</v>
      </c>
      <c r="AN202" s="66">
        <f>AVERAGE(AL202:AM202)</f>
        <v>1764115200</v>
      </c>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row>
    <row r="203" spans="1:65" x14ac:dyDescent="0.2">
      <c r="A203" s="288" t="s">
        <v>123</v>
      </c>
      <c r="B203" s="60">
        <v>45985</v>
      </c>
      <c r="C203" s="60">
        <v>45989</v>
      </c>
      <c r="D203" s="61" t="s">
        <v>168</v>
      </c>
      <c r="E203" s="334" t="s">
        <v>125</v>
      </c>
      <c r="F203" s="218"/>
      <c r="G203" s="61" t="s">
        <v>126</v>
      </c>
      <c r="H203" s="334">
        <v>1000</v>
      </c>
      <c r="I203" s="63">
        <v>33</v>
      </c>
      <c r="J203" s="63">
        <v>1</v>
      </c>
      <c r="K203" s="63">
        <v>0</v>
      </c>
      <c r="L203" s="63"/>
      <c r="M203" s="63">
        <v>4</v>
      </c>
      <c r="N203" s="63"/>
      <c r="O203" s="63">
        <v>0</v>
      </c>
      <c r="P203" s="63"/>
      <c r="Q203" s="63"/>
      <c r="R203" s="64"/>
      <c r="S203" s="63"/>
      <c r="T203" s="63"/>
      <c r="U203" s="63"/>
      <c r="V203" s="63">
        <v>6</v>
      </c>
      <c r="W203" s="63"/>
      <c r="X203" s="63">
        <v>8</v>
      </c>
      <c r="Y203" s="63">
        <v>45</v>
      </c>
      <c r="Z203" s="63">
        <v>2</v>
      </c>
      <c r="AA203" s="63">
        <v>0</v>
      </c>
      <c r="AB203" s="65">
        <f>100/(SUM(I203:Z203))</f>
        <v>1.0101010101010102</v>
      </c>
      <c r="AC203" s="259">
        <f>SUM(I203:AA203)</f>
        <v>99</v>
      </c>
      <c r="AD203" s="63"/>
      <c r="AE203" s="64"/>
      <c r="AF203" s="64"/>
      <c r="AG203" s="66" t="s">
        <v>127</v>
      </c>
      <c r="AH203" s="200" t="s">
        <v>2302</v>
      </c>
      <c r="AI203" s="200" t="s">
        <v>2303</v>
      </c>
      <c r="AJ203" s="200"/>
      <c r="AK203" s="61" t="s">
        <v>138</v>
      </c>
      <c r="AL203" s="66">
        <f>(B203-DATE(1970,1,1))*86400</f>
        <v>1763942400</v>
      </c>
      <c r="AM203" s="66">
        <f>(C203-DATE(1970,1,1))*86400</f>
        <v>1764288000</v>
      </c>
      <c r="AN203" s="66">
        <f>AVERAGE(AL203:AM203)</f>
        <v>1764115200</v>
      </c>
    </row>
    <row r="204" spans="1:65" x14ac:dyDescent="0.2">
      <c r="A204" s="403" t="s">
        <v>133</v>
      </c>
      <c r="B204" s="14">
        <v>45985</v>
      </c>
      <c r="C204" s="14">
        <v>45987</v>
      </c>
      <c r="D204" s="13" t="s">
        <v>124</v>
      </c>
      <c r="E204" s="324" t="s">
        <v>125</v>
      </c>
      <c r="F204" s="13"/>
      <c r="G204" s="13" t="s">
        <v>126</v>
      </c>
      <c r="H204" s="349">
        <v>1000</v>
      </c>
      <c r="I204" s="15">
        <v>42</v>
      </c>
      <c r="J204" s="15"/>
      <c r="K204" s="15"/>
      <c r="L204" s="15"/>
      <c r="M204" s="15">
        <v>2</v>
      </c>
      <c r="N204" s="15"/>
      <c r="O204" s="15"/>
      <c r="P204" s="15"/>
      <c r="Q204" s="15"/>
      <c r="R204" s="15"/>
      <c r="S204" s="15"/>
      <c r="T204" s="15"/>
      <c r="U204" s="15"/>
      <c r="V204" s="15">
        <v>3</v>
      </c>
      <c r="W204" s="15"/>
      <c r="X204" s="15">
        <v>7</v>
      </c>
      <c r="Y204" s="15">
        <v>33</v>
      </c>
      <c r="Z204" s="98">
        <v>0</v>
      </c>
      <c r="AA204" s="98">
        <v>13</v>
      </c>
      <c r="AB204" s="16">
        <f>100/(SUM(I204:Z204))</f>
        <v>1.1494252873563218</v>
      </c>
      <c r="AC204" s="259">
        <f>SUM(I204:AA204)</f>
        <v>100</v>
      </c>
      <c r="AD204" s="15"/>
      <c r="AE204" s="15"/>
      <c r="AF204" s="15"/>
      <c r="AG204" s="17" t="s">
        <v>127</v>
      </c>
      <c r="AH204" s="201" t="s">
        <v>2285</v>
      </c>
      <c r="AI204" s="201" t="s">
        <v>2286</v>
      </c>
      <c r="AJ204" s="201" t="s">
        <v>2287</v>
      </c>
      <c r="AK204" s="13" t="s">
        <v>2352</v>
      </c>
      <c r="AL204" s="17">
        <f>(B204-DATE(1970,1,1))*86400</f>
        <v>1763942400</v>
      </c>
      <c r="AM204" s="17">
        <f>(C204-DATE(1970,1,1))*86400</f>
        <v>1764115200</v>
      </c>
      <c r="AN204" s="17">
        <f>AVERAGE(AL204:AM204)</f>
        <v>1764028800</v>
      </c>
    </row>
    <row r="205" spans="1:65" ht="15.75" customHeight="1" x14ac:dyDescent="0.2">
      <c r="A205" s="403" t="s">
        <v>123</v>
      </c>
      <c r="B205" s="14">
        <v>45985</v>
      </c>
      <c r="C205" s="14">
        <v>45987</v>
      </c>
      <c r="D205" s="13" t="s">
        <v>124</v>
      </c>
      <c r="E205" s="324" t="s">
        <v>125</v>
      </c>
      <c r="F205" s="13"/>
      <c r="G205" s="13" t="s">
        <v>126</v>
      </c>
      <c r="H205" s="349">
        <v>1000</v>
      </c>
      <c r="I205" s="15">
        <v>47</v>
      </c>
      <c r="J205" s="15"/>
      <c r="K205" s="15"/>
      <c r="L205" s="15"/>
      <c r="M205" s="15">
        <v>3</v>
      </c>
      <c r="N205" s="15"/>
      <c r="O205" s="15"/>
      <c r="P205" s="15"/>
      <c r="Q205" s="15"/>
      <c r="R205" s="15"/>
      <c r="S205" s="15"/>
      <c r="T205" s="15"/>
      <c r="U205" s="15"/>
      <c r="V205" s="15">
        <v>3</v>
      </c>
      <c r="W205" s="15"/>
      <c r="X205" s="15">
        <v>7</v>
      </c>
      <c r="Y205" s="15">
        <v>40</v>
      </c>
      <c r="Z205" s="15">
        <v>0</v>
      </c>
      <c r="AA205" s="15">
        <v>0</v>
      </c>
      <c r="AB205" s="16">
        <f>100/(SUM(I205:Z205))</f>
        <v>1</v>
      </c>
      <c r="AC205" s="259">
        <f>SUM(I205:AA205)</f>
        <v>100</v>
      </c>
      <c r="AD205" s="15"/>
      <c r="AE205" s="15"/>
      <c r="AF205" s="15"/>
      <c r="AG205" s="17" t="s">
        <v>127</v>
      </c>
      <c r="AH205" s="201" t="s">
        <v>2285</v>
      </c>
      <c r="AI205" s="201" t="s">
        <v>2286</v>
      </c>
      <c r="AJ205" s="201" t="s">
        <v>2287</v>
      </c>
      <c r="AK205" s="13" t="s">
        <v>2301</v>
      </c>
      <c r="AL205" s="17">
        <f>(B205-DATE(1970,1,1))*86400</f>
        <v>1763942400</v>
      </c>
      <c r="AM205" s="17">
        <f>(C205-DATE(1970,1,1))*86400</f>
        <v>1764115200</v>
      </c>
      <c r="AN205" s="17">
        <f>AVERAGE(AL205:AM205)</f>
        <v>1764028800</v>
      </c>
    </row>
    <row r="206" spans="1:65" ht="15.75" customHeight="1" x14ac:dyDescent="0.2">
      <c r="A206" s="287" t="s">
        <v>133</v>
      </c>
      <c r="B206" s="187">
        <v>45982</v>
      </c>
      <c r="C206" s="187">
        <v>45989</v>
      </c>
      <c r="D206" s="69" t="s">
        <v>183</v>
      </c>
      <c r="E206" s="333" t="s">
        <v>125</v>
      </c>
      <c r="F206" s="69"/>
      <c r="G206" s="188" t="s">
        <v>597</v>
      </c>
      <c r="H206" s="354">
        <v>1500</v>
      </c>
      <c r="I206" s="71">
        <v>27</v>
      </c>
      <c r="J206" s="71"/>
      <c r="K206" s="71"/>
      <c r="L206" s="71"/>
      <c r="M206" s="71">
        <v>2</v>
      </c>
      <c r="N206" s="71"/>
      <c r="O206" s="71"/>
      <c r="P206" s="71"/>
      <c r="Q206" s="71"/>
      <c r="R206" s="72"/>
      <c r="S206" s="71"/>
      <c r="T206" s="71"/>
      <c r="U206" s="71"/>
      <c r="V206" s="71">
        <v>2</v>
      </c>
      <c r="W206" s="71"/>
      <c r="X206" s="71">
        <v>4</v>
      </c>
      <c r="Y206" s="71">
        <v>31</v>
      </c>
      <c r="Z206" s="71">
        <v>1</v>
      </c>
      <c r="AA206" s="71">
        <v>33</v>
      </c>
      <c r="AB206" s="73">
        <f>100/(SUM(I206:Z206))</f>
        <v>1.4925373134328359</v>
      </c>
      <c r="AC206" s="259">
        <f>SUM(I206:AA206)</f>
        <v>100</v>
      </c>
      <c r="AD206" s="71"/>
      <c r="AE206" s="71">
        <v>6.8</v>
      </c>
      <c r="AF206" s="71"/>
      <c r="AG206" s="74" t="s">
        <v>2322</v>
      </c>
      <c r="AH206" s="199" t="s">
        <v>2289</v>
      </c>
      <c r="AI206" s="221" t="s">
        <v>2290</v>
      </c>
      <c r="AJ206" s="199" t="s">
        <v>2323</v>
      </c>
      <c r="AK206" s="69" t="s">
        <v>138</v>
      </c>
      <c r="AL206" s="74">
        <f>(B206-DATE(1970,1,1))*86400</f>
        <v>1763683200</v>
      </c>
      <c r="AM206" s="74">
        <f>(C206-DATE(1970,1,1))*86400</f>
        <v>1764288000</v>
      </c>
      <c r="AN206" s="74">
        <f>AVERAGE(AL206:AM206)</f>
        <v>1763985600</v>
      </c>
    </row>
    <row r="207" spans="1:65" ht="15.75" customHeight="1" x14ac:dyDescent="0.2">
      <c r="A207" s="287" t="s">
        <v>133</v>
      </c>
      <c r="B207" s="187">
        <v>45982</v>
      </c>
      <c r="C207" s="187">
        <v>45989</v>
      </c>
      <c r="D207" s="69" t="s">
        <v>183</v>
      </c>
      <c r="E207" s="400">
        <v>1</v>
      </c>
      <c r="F207" s="69"/>
      <c r="G207" s="188" t="s">
        <v>597</v>
      </c>
      <c r="H207" s="354">
        <v>1500</v>
      </c>
      <c r="I207" s="71">
        <v>40</v>
      </c>
      <c r="J207" s="71"/>
      <c r="K207" s="71"/>
      <c r="L207" s="71"/>
      <c r="M207" s="71">
        <v>3</v>
      </c>
      <c r="N207" s="71"/>
      <c r="O207" s="71"/>
      <c r="P207" s="71"/>
      <c r="Q207" s="71"/>
      <c r="R207" s="72"/>
      <c r="S207" s="71"/>
      <c r="T207" s="71"/>
      <c r="U207" s="71"/>
      <c r="V207" s="71">
        <v>3</v>
      </c>
      <c r="W207" s="71"/>
      <c r="X207" s="71">
        <v>6</v>
      </c>
      <c r="Y207" s="71">
        <v>47</v>
      </c>
      <c r="Z207" s="71">
        <v>1</v>
      </c>
      <c r="AA207" s="71">
        <v>0</v>
      </c>
      <c r="AB207" s="73">
        <f>100/(SUM(I207:Z207))</f>
        <v>1</v>
      </c>
      <c r="AC207" s="259">
        <f>SUM(I207:AA207)</f>
        <v>100</v>
      </c>
      <c r="AD207" s="71"/>
      <c r="AE207" s="71"/>
      <c r="AF207" s="71"/>
      <c r="AG207" s="74" t="s">
        <v>1892</v>
      </c>
      <c r="AH207" s="199" t="s">
        <v>2289</v>
      </c>
      <c r="AI207" s="221" t="s">
        <v>2290</v>
      </c>
      <c r="AJ207" s="75"/>
      <c r="AK207" s="69" t="s">
        <v>138</v>
      </c>
      <c r="AL207" s="74">
        <f>(B207-DATE(1970,1,1))*86400</f>
        <v>1763683200</v>
      </c>
      <c r="AM207" s="74">
        <f>(C207-DATE(1970,1,1))*86400</f>
        <v>1764288000</v>
      </c>
      <c r="AN207" s="74">
        <f>AVERAGE(AL207:AM207)</f>
        <v>1763985600</v>
      </c>
    </row>
    <row r="208" spans="1:65" ht="15.75" customHeight="1" x14ac:dyDescent="0.2">
      <c r="A208" s="287" t="s">
        <v>123</v>
      </c>
      <c r="B208" s="187">
        <v>45982</v>
      </c>
      <c r="C208" s="187">
        <v>45989</v>
      </c>
      <c r="D208" s="69" t="s">
        <v>183</v>
      </c>
      <c r="E208" s="400">
        <v>1</v>
      </c>
      <c r="F208" s="69"/>
      <c r="G208" s="188" t="s">
        <v>597</v>
      </c>
      <c r="H208" s="354">
        <v>1500</v>
      </c>
      <c r="I208" s="71">
        <v>37</v>
      </c>
      <c r="J208" s="71"/>
      <c r="K208" s="71"/>
      <c r="L208" s="71"/>
      <c r="M208" s="71">
        <v>4</v>
      </c>
      <c r="N208" s="71"/>
      <c r="O208" s="71"/>
      <c r="P208" s="71"/>
      <c r="Q208" s="71"/>
      <c r="R208" s="72"/>
      <c r="S208" s="71"/>
      <c r="T208" s="71"/>
      <c r="U208" s="71"/>
      <c r="V208" s="71">
        <v>3</v>
      </c>
      <c r="W208" s="71"/>
      <c r="X208" s="71">
        <v>6</v>
      </c>
      <c r="Y208" s="71">
        <v>50</v>
      </c>
      <c r="Z208" s="71">
        <v>1</v>
      </c>
      <c r="AA208" s="71">
        <v>0</v>
      </c>
      <c r="AB208" s="73">
        <f>100/(SUM(I208:Z208))</f>
        <v>0.99009900990099009</v>
      </c>
      <c r="AC208" s="259">
        <f>SUM(I208:AA208)</f>
        <v>101</v>
      </c>
      <c r="AD208" s="71"/>
      <c r="AE208" s="71"/>
      <c r="AF208" s="71"/>
      <c r="AG208" s="74" t="s">
        <v>1892</v>
      </c>
      <c r="AH208" s="199" t="s">
        <v>2289</v>
      </c>
      <c r="AI208" s="221" t="s">
        <v>2290</v>
      </c>
      <c r="AJ208" s="75"/>
      <c r="AK208" s="69" t="s">
        <v>138</v>
      </c>
      <c r="AL208" s="74">
        <f>(B208-DATE(1970,1,1))*86400</f>
        <v>1763683200</v>
      </c>
      <c r="AM208" s="74">
        <f>(C208-DATE(1970,1,1))*86400</f>
        <v>1764288000</v>
      </c>
      <c r="AN208" s="74">
        <f>AVERAGE(AL208:AM208)</f>
        <v>1763985600</v>
      </c>
    </row>
    <row r="209" spans="1:65" ht="15.75" customHeight="1" x14ac:dyDescent="0.2">
      <c r="A209" s="307" t="s">
        <v>123</v>
      </c>
      <c r="B209" s="108">
        <v>45962</v>
      </c>
      <c r="C209" s="108">
        <v>46009</v>
      </c>
      <c r="D209" s="560" t="s">
        <v>2097</v>
      </c>
      <c r="E209" s="380">
        <v>1</v>
      </c>
      <c r="F209" s="560" t="s">
        <v>2481</v>
      </c>
      <c r="G209" s="560" t="s">
        <v>126</v>
      </c>
      <c r="H209" s="561">
        <v>500</v>
      </c>
      <c r="I209" s="78"/>
      <c r="J209" s="78"/>
      <c r="K209" s="78"/>
      <c r="L209" s="78"/>
      <c r="M209" s="78"/>
      <c r="N209" s="78"/>
      <c r="O209" s="78"/>
      <c r="P209" s="78"/>
      <c r="Q209" s="78"/>
      <c r="R209" s="78"/>
      <c r="S209" s="78"/>
      <c r="T209" s="78"/>
      <c r="U209" s="78"/>
      <c r="V209" s="78"/>
      <c r="W209" s="78"/>
      <c r="X209" s="78"/>
      <c r="Y209" s="78"/>
      <c r="Z209" s="78"/>
      <c r="AA209" s="78"/>
      <c r="AB209" s="79" t="e">
        <f>100/(SUM(I209:Z209))</f>
        <v>#DIV/0!</v>
      </c>
      <c r="AC209" s="259">
        <f>SUM(I209:AA209)</f>
        <v>0</v>
      </c>
      <c r="AD209" s="78"/>
      <c r="AE209" s="78"/>
      <c r="AF209" s="78"/>
      <c r="AG209" s="80" t="s">
        <v>64</v>
      </c>
      <c r="AH209" s="195" t="s">
        <v>2478</v>
      </c>
      <c r="AI209" s="195" t="s">
        <v>2362</v>
      </c>
      <c r="AJ209" s="195"/>
      <c r="AK209" s="76" t="s">
        <v>138</v>
      </c>
      <c r="AL209" s="80">
        <f>(B209-DATE(1970,1,1))*86400</f>
        <v>1761955200</v>
      </c>
      <c r="AM209" s="80">
        <f>(C209-DATE(1970,1,1))*86400</f>
        <v>1766016000</v>
      </c>
      <c r="AN209" s="80">
        <f>AVERAGE(AL209:AM209)</f>
        <v>1763985600</v>
      </c>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row>
    <row r="210" spans="1:65" ht="15.75" customHeight="1" x14ac:dyDescent="0.2">
      <c r="A210" s="307" t="s">
        <v>123</v>
      </c>
      <c r="B210" s="108">
        <v>45962</v>
      </c>
      <c r="C210" s="108">
        <v>46009</v>
      </c>
      <c r="D210" s="560" t="s">
        <v>2097</v>
      </c>
      <c r="E210" s="380">
        <v>1</v>
      </c>
      <c r="F210" s="560" t="s">
        <v>2480</v>
      </c>
      <c r="G210" s="560" t="s">
        <v>126</v>
      </c>
      <c r="H210" s="561">
        <v>500</v>
      </c>
      <c r="I210" s="78"/>
      <c r="J210" s="78"/>
      <c r="K210" s="78"/>
      <c r="L210" s="78"/>
      <c r="M210" s="78"/>
      <c r="N210" s="78"/>
      <c r="O210" s="78"/>
      <c r="P210" s="78"/>
      <c r="Q210" s="78"/>
      <c r="R210" s="78"/>
      <c r="S210" s="78"/>
      <c r="T210" s="78"/>
      <c r="U210" s="78"/>
      <c r="V210" s="78"/>
      <c r="W210" s="78"/>
      <c r="X210" s="78"/>
      <c r="Y210" s="78"/>
      <c r="Z210" s="78"/>
      <c r="AA210" s="78"/>
      <c r="AB210" s="79" t="e">
        <f>100/(SUM(I210:Z210))</f>
        <v>#DIV/0!</v>
      </c>
      <c r="AC210" s="259">
        <f>SUM(I210:AA210)</f>
        <v>0</v>
      </c>
      <c r="AD210" s="78"/>
      <c r="AE210" s="78"/>
      <c r="AF210" s="78"/>
      <c r="AG210" s="80" t="s">
        <v>64</v>
      </c>
      <c r="AH210" s="195" t="s">
        <v>2478</v>
      </c>
      <c r="AI210" s="195" t="s">
        <v>2362</v>
      </c>
      <c r="AJ210" s="195"/>
      <c r="AK210" s="76" t="s">
        <v>138</v>
      </c>
      <c r="AL210" s="80">
        <f>(B210-DATE(1970,1,1))*86400</f>
        <v>1761955200</v>
      </c>
      <c r="AM210" s="80">
        <f>(C210-DATE(1970,1,1))*86400</f>
        <v>1766016000</v>
      </c>
      <c r="AN210" s="80">
        <f>AVERAGE(AL210:AM210)</f>
        <v>1763985600</v>
      </c>
    </row>
    <row r="211" spans="1:65" ht="15.75" customHeight="1" x14ac:dyDescent="0.2">
      <c r="A211" s="307" t="s">
        <v>123</v>
      </c>
      <c r="B211" s="108">
        <v>45962</v>
      </c>
      <c r="C211" s="108">
        <v>46009</v>
      </c>
      <c r="D211" s="560" t="s">
        <v>2097</v>
      </c>
      <c r="E211" s="380">
        <v>1</v>
      </c>
      <c r="F211" s="560" t="s">
        <v>2476</v>
      </c>
      <c r="G211" s="560" t="s">
        <v>126</v>
      </c>
      <c r="H211" s="561">
        <v>500</v>
      </c>
      <c r="I211" s="78"/>
      <c r="J211" s="78"/>
      <c r="K211" s="78"/>
      <c r="L211" s="78"/>
      <c r="M211" s="78"/>
      <c r="N211" s="78"/>
      <c r="O211" s="78"/>
      <c r="P211" s="78"/>
      <c r="Q211" s="78"/>
      <c r="R211" s="78"/>
      <c r="S211" s="78"/>
      <c r="T211" s="78"/>
      <c r="U211" s="78"/>
      <c r="V211" s="78"/>
      <c r="W211" s="78"/>
      <c r="X211" s="78"/>
      <c r="Y211" s="78"/>
      <c r="Z211" s="78"/>
      <c r="AA211" s="78"/>
      <c r="AB211" s="79" t="e">
        <f>100/(SUM(I211:Z211))</f>
        <v>#DIV/0!</v>
      </c>
      <c r="AC211" s="259">
        <f>SUM(I211:AA211)</f>
        <v>0</v>
      </c>
      <c r="AD211" s="78"/>
      <c r="AE211" s="78"/>
      <c r="AF211" s="78"/>
      <c r="AG211" s="80" t="s">
        <v>64</v>
      </c>
      <c r="AH211" s="195" t="s">
        <v>2478</v>
      </c>
      <c r="AI211" s="195" t="s">
        <v>2362</v>
      </c>
      <c r="AJ211" s="195"/>
      <c r="AK211" s="76" t="s">
        <v>138</v>
      </c>
      <c r="AL211" s="80">
        <f>(B211-DATE(1970,1,1))*86400</f>
        <v>1761955200</v>
      </c>
      <c r="AM211" s="80">
        <f>(C211-DATE(1970,1,1))*86400</f>
        <v>1766016000</v>
      </c>
      <c r="AN211" s="80">
        <f>AVERAGE(AL211:AM211)</f>
        <v>1763985600</v>
      </c>
    </row>
    <row r="212" spans="1:65" x14ac:dyDescent="0.2">
      <c r="A212" s="562" t="s">
        <v>123</v>
      </c>
      <c r="B212" s="563">
        <v>45962</v>
      </c>
      <c r="C212" s="563">
        <v>46008</v>
      </c>
      <c r="D212" s="564" t="s">
        <v>371</v>
      </c>
      <c r="E212" s="565">
        <v>0</v>
      </c>
      <c r="F212" s="564" t="s">
        <v>2492</v>
      </c>
      <c r="G212" s="566" t="s">
        <v>126</v>
      </c>
      <c r="H212" s="567">
        <v>100</v>
      </c>
      <c r="I212" s="568"/>
      <c r="J212" s="568"/>
      <c r="K212" s="568"/>
      <c r="L212" s="568"/>
      <c r="M212" s="568"/>
      <c r="N212" s="568"/>
      <c r="O212" s="568"/>
      <c r="P212" s="568"/>
      <c r="Q212" s="568"/>
      <c r="R212" s="569"/>
      <c r="S212" s="568"/>
      <c r="T212" s="568"/>
      <c r="U212" s="570"/>
      <c r="V212" s="568"/>
      <c r="W212" s="568"/>
      <c r="X212" s="568"/>
      <c r="Y212" s="568"/>
      <c r="Z212" s="568"/>
      <c r="AA212" s="568">
        <v>0</v>
      </c>
      <c r="AB212" s="571" t="e">
        <f>100/(SUM(I212:Z212))</f>
        <v>#DIV/0!</v>
      </c>
      <c r="AC212" s="571">
        <f>SUM(I212:AA212)</f>
        <v>0</v>
      </c>
      <c r="AD212" s="568"/>
      <c r="AE212" s="568"/>
      <c r="AF212" s="568"/>
      <c r="AG212" s="572" t="s">
        <v>127</v>
      </c>
      <c r="AH212" s="573" t="s">
        <v>2362</v>
      </c>
      <c r="AI212" s="574"/>
      <c r="AJ212" s="573"/>
      <c r="AK212" s="564" t="s">
        <v>2363</v>
      </c>
      <c r="AL212" s="572">
        <f>(B212-DATE(1970,1,1))*86400</f>
        <v>1761955200</v>
      </c>
      <c r="AM212" s="572">
        <f>(C212-DATE(1970,1,1))*86400</f>
        <v>1765929600</v>
      </c>
      <c r="AN212" s="572">
        <f>AVERAGE(AL212:AM212)</f>
        <v>1763942400</v>
      </c>
    </row>
    <row r="213" spans="1:65" ht="15.75" customHeight="1" x14ac:dyDescent="0.2">
      <c r="A213" s="562" t="s">
        <v>123</v>
      </c>
      <c r="B213" s="563">
        <v>45962</v>
      </c>
      <c r="C213" s="563">
        <v>46008</v>
      </c>
      <c r="D213" s="564" t="s">
        <v>371</v>
      </c>
      <c r="E213" s="565">
        <v>0</v>
      </c>
      <c r="F213" s="564" t="s">
        <v>2483</v>
      </c>
      <c r="G213" s="566" t="s">
        <v>126</v>
      </c>
      <c r="H213" s="567">
        <v>100</v>
      </c>
      <c r="I213" s="568"/>
      <c r="J213" s="568"/>
      <c r="K213" s="568"/>
      <c r="L213" s="568"/>
      <c r="M213" s="568"/>
      <c r="N213" s="568"/>
      <c r="O213" s="568"/>
      <c r="P213" s="568"/>
      <c r="Q213" s="568"/>
      <c r="R213" s="569"/>
      <c r="S213" s="568"/>
      <c r="T213" s="568"/>
      <c r="U213" s="570"/>
      <c r="V213" s="568"/>
      <c r="W213" s="568"/>
      <c r="X213" s="568"/>
      <c r="Y213" s="568"/>
      <c r="Z213" s="568"/>
      <c r="AA213" s="568">
        <v>0</v>
      </c>
      <c r="AB213" s="571" t="e">
        <f>100/(SUM(I213:Z213))</f>
        <v>#DIV/0!</v>
      </c>
      <c r="AC213" s="571">
        <f>SUM(I213:AA213)</f>
        <v>0</v>
      </c>
      <c r="AD213" s="568"/>
      <c r="AE213" s="568"/>
      <c r="AF213" s="568"/>
      <c r="AG213" s="572" t="s">
        <v>127</v>
      </c>
      <c r="AH213" s="573" t="s">
        <v>2362</v>
      </c>
      <c r="AI213" s="574"/>
      <c r="AJ213" s="573"/>
      <c r="AK213" s="564" t="s">
        <v>2363</v>
      </c>
      <c r="AL213" s="572">
        <f>(B213-DATE(1970,1,1))*86400</f>
        <v>1761955200</v>
      </c>
      <c r="AM213" s="572">
        <f>(C213-DATE(1970,1,1))*86400</f>
        <v>1765929600</v>
      </c>
      <c r="AN213" s="572">
        <f>AVERAGE(AL213:AM213)</f>
        <v>1763942400</v>
      </c>
    </row>
    <row r="214" spans="1:65" ht="15.75" customHeight="1" x14ac:dyDescent="0.2">
      <c r="A214" s="562" t="s">
        <v>123</v>
      </c>
      <c r="B214" s="563">
        <v>45962</v>
      </c>
      <c r="C214" s="563">
        <v>46008</v>
      </c>
      <c r="D214" s="564" t="s">
        <v>371</v>
      </c>
      <c r="E214" s="565">
        <v>0</v>
      </c>
      <c r="F214" s="564" t="s">
        <v>2493</v>
      </c>
      <c r="G214" s="566" t="s">
        <v>126</v>
      </c>
      <c r="H214" s="567">
        <v>100</v>
      </c>
      <c r="I214" s="568"/>
      <c r="J214" s="568"/>
      <c r="K214" s="568"/>
      <c r="L214" s="568"/>
      <c r="M214" s="568"/>
      <c r="N214" s="568"/>
      <c r="O214" s="568"/>
      <c r="P214" s="568"/>
      <c r="Q214" s="568"/>
      <c r="R214" s="569"/>
      <c r="S214" s="568"/>
      <c r="T214" s="568"/>
      <c r="U214" s="570"/>
      <c r="V214" s="568"/>
      <c r="W214" s="568"/>
      <c r="X214" s="568"/>
      <c r="Y214" s="568"/>
      <c r="Z214" s="568"/>
      <c r="AA214" s="568">
        <v>0</v>
      </c>
      <c r="AB214" s="571" t="e">
        <f>100/(SUM(I214:Z214))</f>
        <v>#DIV/0!</v>
      </c>
      <c r="AC214" s="571">
        <f>SUM(I214:AA214)</f>
        <v>0</v>
      </c>
      <c r="AD214" s="568"/>
      <c r="AE214" s="568"/>
      <c r="AF214" s="568"/>
      <c r="AG214" s="572" t="s">
        <v>127</v>
      </c>
      <c r="AH214" s="573" t="s">
        <v>2362</v>
      </c>
      <c r="AI214" s="574"/>
      <c r="AJ214" s="573"/>
      <c r="AK214" s="564" t="s">
        <v>2363</v>
      </c>
      <c r="AL214" s="572">
        <f>(B214-DATE(1970,1,1))*86400</f>
        <v>1761955200</v>
      </c>
      <c r="AM214" s="572">
        <f>(C214-DATE(1970,1,1))*86400</f>
        <v>1765929600</v>
      </c>
      <c r="AN214" s="572">
        <f>AVERAGE(AL214:AM214)</f>
        <v>1763942400</v>
      </c>
    </row>
    <row r="215" spans="1:65" x14ac:dyDescent="0.2">
      <c r="A215" s="285" t="s">
        <v>133</v>
      </c>
      <c r="B215" s="34">
        <v>45981</v>
      </c>
      <c r="C215" s="34">
        <v>45986</v>
      </c>
      <c r="D215" s="33" t="s">
        <v>143</v>
      </c>
      <c r="E215" s="319" t="s">
        <v>125</v>
      </c>
      <c r="F215" s="33"/>
      <c r="G215" s="33" t="s">
        <v>126</v>
      </c>
      <c r="H215" s="353">
        <v>1000</v>
      </c>
      <c r="I215" s="35">
        <v>33</v>
      </c>
      <c r="J215" s="35"/>
      <c r="K215" s="35"/>
      <c r="L215" s="35"/>
      <c r="M215" s="35">
        <v>2</v>
      </c>
      <c r="N215" s="35"/>
      <c r="O215" s="35"/>
      <c r="P215" s="35"/>
      <c r="Q215" s="35"/>
      <c r="R215" s="36"/>
      <c r="S215" s="35"/>
      <c r="T215" s="35"/>
      <c r="U215" s="35"/>
      <c r="V215" s="35">
        <v>2</v>
      </c>
      <c r="W215" s="35"/>
      <c r="X215" s="35">
        <v>5</v>
      </c>
      <c r="Y215" s="35">
        <v>38</v>
      </c>
      <c r="Z215" s="35">
        <v>1</v>
      </c>
      <c r="AA215" s="35">
        <v>19</v>
      </c>
      <c r="AB215" s="37">
        <f>100/(SUM(I215:Z215))</f>
        <v>1.2345679012345678</v>
      </c>
      <c r="AC215" s="259">
        <f>SUM(I215:AA215)</f>
        <v>100</v>
      </c>
      <c r="AD215" s="35"/>
      <c r="AE215" s="35"/>
      <c r="AF215" s="35"/>
      <c r="AG215" s="33" t="s">
        <v>144</v>
      </c>
      <c r="AH215" s="196" t="s">
        <v>2061</v>
      </c>
      <c r="AI215" s="190" t="s">
        <v>2098</v>
      </c>
      <c r="AJ215" s="33" t="s">
        <v>2304</v>
      </c>
      <c r="AK215" s="33" t="s">
        <v>2316</v>
      </c>
      <c r="AL215" s="39">
        <f>(B215-DATE(1970,1,1))*86400</f>
        <v>1763596800</v>
      </c>
      <c r="AM215" s="39">
        <f>(C215-DATE(1970,1,1))*86400</f>
        <v>1764028800</v>
      </c>
      <c r="AN215" s="39">
        <f>AVERAGE(AL215:AM215)</f>
        <v>1763812800</v>
      </c>
    </row>
    <row r="216" spans="1:65" ht="15.75" customHeight="1" x14ac:dyDescent="0.2">
      <c r="A216" s="285" t="s">
        <v>133</v>
      </c>
      <c r="B216" s="34">
        <v>45981</v>
      </c>
      <c r="C216" s="34">
        <v>45986</v>
      </c>
      <c r="D216" s="33" t="s">
        <v>143</v>
      </c>
      <c r="E216" s="319" t="s">
        <v>125</v>
      </c>
      <c r="F216" s="33"/>
      <c r="G216" s="33" t="s">
        <v>126</v>
      </c>
      <c r="H216" s="353">
        <v>1000</v>
      </c>
      <c r="I216" s="35">
        <v>41</v>
      </c>
      <c r="J216" s="35"/>
      <c r="K216" s="35" t="s">
        <v>355</v>
      </c>
      <c r="L216" s="35"/>
      <c r="M216" s="35">
        <v>2</v>
      </c>
      <c r="N216" s="35"/>
      <c r="O216" s="35"/>
      <c r="P216" s="35"/>
      <c r="Q216" s="35"/>
      <c r="R216" s="36"/>
      <c r="S216" s="35"/>
      <c r="T216" s="35"/>
      <c r="U216" s="35"/>
      <c r="V216" s="35">
        <v>2</v>
      </c>
      <c r="W216" s="35"/>
      <c r="X216" s="35">
        <v>6</v>
      </c>
      <c r="Y216" s="35">
        <v>47</v>
      </c>
      <c r="Z216" s="35">
        <v>2</v>
      </c>
      <c r="AA216" s="35">
        <v>0</v>
      </c>
      <c r="AB216" s="37">
        <f>100/(SUM(I216:Z216))</f>
        <v>1</v>
      </c>
      <c r="AC216" s="259">
        <f>SUM(I216:AA216)</f>
        <v>100</v>
      </c>
      <c r="AD216" s="35"/>
      <c r="AE216" s="35"/>
      <c r="AF216" s="35"/>
      <c r="AG216" s="33" t="s">
        <v>144</v>
      </c>
      <c r="AH216" s="196" t="s">
        <v>2061</v>
      </c>
      <c r="AI216" s="190" t="s">
        <v>2098</v>
      </c>
      <c r="AJ216" s="33" t="s">
        <v>2304</v>
      </c>
      <c r="AK216" s="33"/>
      <c r="AL216" s="39">
        <f>(B216-DATE(1970,1,1))*86400</f>
        <v>1763596800</v>
      </c>
      <c r="AM216" s="39">
        <f>(C216-DATE(1970,1,1))*86400</f>
        <v>1764028800</v>
      </c>
      <c r="AN216" s="39">
        <f>AVERAGE(AL216:AM216)</f>
        <v>1763812800</v>
      </c>
    </row>
    <row r="217" spans="1:65" ht="15.75" customHeight="1" x14ac:dyDescent="0.2">
      <c r="A217" s="285" t="s">
        <v>123</v>
      </c>
      <c r="B217" s="34">
        <v>45981</v>
      </c>
      <c r="C217" s="34">
        <v>45986</v>
      </c>
      <c r="D217" s="33" t="s">
        <v>143</v>
      </c>
      <c r="E217" s="319" t="s">
        <v>125</v>
      </c>
      <c r="F217" s="33"/>
      <c r="G217" s="33" t="s">
        <v>126</v>
      </c>
      <c r="H217" s="353">
        <v>1000</v>
      </c>
      <c r="I217" s="35">
        <v>40</v>
      </c>
      <c r="J217" s="35"/>
      <c r="K217" s="35" t="s">
        <v>355</v>
      </c>
      <c r="L217" s="35"/>
      <c r="M217" s="35">
        <v>2</v>
      </c>
      <c r="N217" s="35"/>
      <c r="O217" s="35"/>
      <c r="P217" s="35"/>
      <c r="Q217" s="35"/>
      <c r="R217" s="36"/>
      <c r="S217" s="35"/>
      <c r="T217" s="35"/>
      <c r="U217" s="35"/>
      <c r="V217" s="35">
        <v>2</v>
      </c>
      <c r="W217" s="35"/>
      <c r="X217" s="35">
        <v>5</v>
      </c>
      <c r="Y217" s="35">
        <v>50</v>
      </c>
      <c r="Z217" s="35">
        <v>1</v>
      </c>
      <c r="AA217" s="35">
        <v>0</v>
      </c>
      <c r="AB217" s="37">
        <f>100/(SUM(I217:Z217))</f>
        <v>1</v>
      </c>
      <c r="AC217" s="259">
        <f>SUM(I217:AA217)</f>
        <v>100</v>
      </c>
      <c r="AD217" s="35"/>
      <c r="AE217" s="35"/>
      <c r="AF217" s="35"/>
      <c r="AG217" s="33" t="s">
        <v>144</v>
      </c>
      <c r="AH217" s="196" t="s">
        <v>2061</v>
      </c>
      <c r="AI217" s="190" t="s">
        <v>2098</v>
      </c>
      <c r="AJ217" s="33" t="s">
        <v>2304</v>
      </c>
      <c r="AK217" s="33"/>
      <c r="AL217" s="39">
        <f>(B217-DATE(1970,1,1))*86400</f>
        <v>1763596800</v>
      </c>
      <c r="AM217" s="39">
        <f>(C217-DATE(1970,1,1))*86400</f>
        <v>1764028800</v>
      </c>
      <c r="AN217" s="39">
        <f>AVERAGE(AL217:AM217)</f>
        <v>1763812800</v>
      </c>
    </row>
    <row r="218" spans="1:65" ht="15.75" customHeight="1" x14ac:dyDescent="0.2">
      <c r="A218" s="281" t="s">
        <v>133</v>
      </c>
      <c r="B218" s="240">
        <v>45971</v>
      </c>
      <c r="C218" s="240">
        <v>45979</v>
      </c>
      <c r="D218" s="53" t="s">
        <v>154</v>
      </c>
      <c r="E218" s="323" t="s">
        <v>125</v>
      </c>
      <c r="F218" s="53"/>
      <c r="G218" s="53" t="s">
        <v>126</v>
      </c>
      <c r="H218" s="351">
        <v>1002</v>
      </c>
      <c r="I218" s="55">
        <v>26</v>
      </c>
      <c r="J218" s="55">
        <v>0</v>
      </c>
      <c r="K218" s="55">
        <v>0</v>
      </c>
      <c r="L218" s="55">
        <v>0</v>
      </c>
      <c r="M218" s="55">
        <v>5</v>
      </c>
      <c r="N218" s="55"/>
      <c r="O218" s="55">
        <v>0</v>
      </c>
      <c r="P218" s="55">
        <v>0</v>
      </c>
      <c r="Q218" s="55"/>
      <c r="R218" s="56"/>
      <c r="S218" s="55">
        <v>0</v>
      </c>
      <c r="T218" s="55"/>
      <c r="U218" s="55">
        <v>0</v>
      </c>
      <c r="V218" s="55">
        <v>2</v>
      </c>
      <c r="W218" s="55"/>
      <c r="X218" s="55">
        <v>3</v>
      </c>
      <c r="Y218" s="55">
        <v>33</v>
      </c>
      <c r="Z218" s="55"/>
      <c r="AA218" s="55">
        <v>31</v>
      </c>
      <c r="AB218" s="57">
        <f>100/(SUM(I218:Z218))</f>
        <v>1.4492753623188406</v>
      </c>
      <c r="AC218" s="259">
        <f>SUM(I218:AA218)</f>
        <v>100</v>
      </c>
      <c r="AD218" s="55" t="s">
        <v>355</v>
      </c>
      <c r="AE218" s="55"/>
      <c r="AF218" s="55"/>
      <c r="AG218" s="58" t="s">
        <v>155</v>
      </c>
      <c r="AH218" s="59" t="s">
        <v>2278</v>
      </c>
      <c r="AI218" s="59" t="s">
        <v>2279</v>
      </c>
      <c r="AJ218" s="186"/>
      <c r="AK218" s="53" t="s">
        <v>2314</v>
      </c>
      <c r="AL218" s="58">
        <f>(B218-DATE(1970,1,1))*86400</f>
        <v>1762732800</v>
      </c>
      <c r="AM218" s="58">
        <f>(C218-DATE(1970,1,1))*86400</f>
        <v>1763424000</v>
      </c>
      <c r="AN218" s="58">
        <f>AVERAGE(AL218:AM218)</f>
        <v>1763078400</v>
      </c>
    </row>
    <row r="219" spans="1:65" x14ac:dyDescent="0.2">
      <c r="A219" s="281" t="s">
        <v>123</v>
      </c>
      <c r="B219" s="240">
        <v>45971</v>
      </c>
      <c r="C219" s="240">
        <v>45979</v>
      </c>
      <c r="D219" s="53" t="s">
        <v>154</v>
      </c>
      <c r="E219" s="323" t="s">
        <v>125</v>
      </c>
      <c r="F219" s="53"/>
      <c r="G219" s="53" t="s">
        <v>126</v>
      </c>
      <c r="H219" s="351">
        <v>1002</v>
      </c>
      <c r="I219" s="55">
        <v>32</v>
      </c>
      <c r="J219" s="55">
        <v>0</v>
      </c>
      <c r="K219" s="55">
        <v>0</v>
      </c>
      <c r="L219" s="55">
        <v>0</v>
      </c>
      <c r="M219" s="55">
        <v>6</v>
      </c>
      <c r="N219" s="55"/>
      <c r="O219" s="55">
        <v>0</v>
      </c>
      <c r="P219" s="55">
        <v>0</v>
      </c>
      <c r="Q219" s="55"/>
      <c r="R219" s="56"/>
      <c r="S219" s="55">
        <v>0</v>
      </c>
      <c r="T219" s="55"/>
      <c r="U219" s="55">
        <v>1</v>
      </c>
      <c r="V219" s="55">
        <v>3</v>
      </c>
      <c r="W219" s="55"/>
      <c r="X219" s="55">
        <v>3</v>
      </c>
      <c r="Y219" s="55">
        <v>37</v>
      </c>
      <c r="Z219" s="55"/>
      <c r="AA219" s="241">
        <v>20</v>
      </c>
      <c r="AB219" s="57">
        <f>100/(SUM(I219:Z219))</f>
        <v>1.2195121951219512</v>
      </c>
      <c r="AC219" s="259">
        <f>SUM(I219:AA219)</f>
        <v>102</v>
      </c>
      <c r="AD219" s="55"/>
      <c r="AE219" s="55"/>
      <c r="AF219" s="55"/>
      <c r="AG219" s="58" t="s">
        <v>155</v>
      </c>
      <c r="AH219" s="59" t="s">
        <v>2278</v>
      </c>
      <c r="AI219" s="59" t="s">
        <v>2279</v>
      </c>
      <c r="AJ219" s="186"/>
      <c r="AK219" s="53" t="s">
        <v>138</v>
      </c>
      <c r="AL219" s="58">
        <f>(B219-DATE(1970,1,1))*86400</f>
        <v>1762732800</v>
      </c>
      <c r="AM219" s="58">
        <f>(C219-DATE(1970,1,1))*86400</f>
        <v>1763424000</v>
      </c>
      <c r="AN219" s="58">
        <f>AVERAGE(AL219:AM219)</f>
        <v>1763078400</v>
      </c>
    </row>
    <row r="220" spans="1:65" s="6" customFormat="1" x14ac:dyDescent="0.2">
      <c r="A220" s="281" t="s">
        <v>123</v>
      </c>
      <c r="B220" s="240">
        <v>45971</v>
      </c>
      <c r="C220" s="240">
        <v>45979</v>
      </c>
      <c r="D220" s="53" t="s">
        <v>154</v>
      </c>
      <c r="E220" s="323" t="s">
        <v>125</v>
      </c>
      <c r="F220" s="53"/>
      <c r="G220" s="53" t="s">
        <v>126</v>
      </c>
      <c r="H220" s="351">
        <v>1002</v>
      </c>
      <c r="I220" s="55">
        <v>39</v>
      </c>
      <c r="J220" s="55">
        <v>0</v>
      </c>
      <c r="K220" s="55">
        <v>0</v>
      </c>
      <c r="L220" s="55">
        <v>0</v>
      </c>
      <c r="M220" s="55">
        <v>6</v>
      </c>
      <c r="N220" s="55"/>
      <c r="O220" s="55">
        <v>0</v>
      </c>
      <c r="P220" s="55">
        <v>0</v>
      </c>
      <c r="Q220" s="55"/>
      <c r="R220" s="56"/>
      <c r="S220" s="55">
        <v>0</v>
      </c>
      <c r="T220" s="55"/>
      <c r="U220" s="55">
        <v>1</v>
      </c>
      <c r="V220" s="55">
        <v>3</v>
      </c>
      <c r="W220" s="55"/>
      <c r="X220" s="55">
        <v>4</v>
      </c>
      <c r="Y220" s="55">
        <v>48</v>
      </c>
      <c r="Z220" s="55"/>
      <c r="AA220" s="55">
        <v>0</v>
      </c>
      <c r="AB220" s="57">
        <f>100/(SUM(I220:Z220))</f>
        <v>0.99009900990099009</v>
      </c>
      <c r="AC220" s="259">
        <f>SUM(I220:AA220)</f>
        <v>101</v>
      </c>
      <c r="AD220" s="55"/>
      <c r="AE220" s="55"/>
      <c r="AF220" s="55"/>
      <c r="AG220" s="58" t="s">
        <v>155</v>
      </c>
      <c r="AH220" s="59" t="s">
        <v>2278</v>
      </c>
      <c r="AI220" s="59" t="s">
        <v>2279</v>
      </c>
      <c r="AJ220" s="186"/>
      <c r="AK220" s="53" t="s">
        <v>138</v>
      </c>
      <c r="AL220" s="58">
        <f>(B220-DATE(1970,1,1))*86400</f>
        <v>1762732800</v>
      </c>
      <c r="AM220" s="58">
        <f>(C220-DATE(1970,1,1))*86400</f>
        <v>1763424000</v>
      </c>
      <c r="AN220" s="58">
        <f>AVERAGE(AL220:AM220)</f>
        <v>1763078400</v>
      </c>
      <c r="AO220"/>
      <c r="AP220"/>
      <c r="AQ220"/>
      <c r="AR220"/>
      <c r="AS220"/>
      <c r="AT220"/>
      <c r="AU220"/>
      <c r="AV220"/>
      <c r="AW220"/>
      <c r="AX220"/>
      <c r="AY220"/>
      <c r="AZ220"/>
      <c r="BA220"/>
      <c r="BB220"/>
      <c r="BC220"/>
      <c r="BD220"/>
      <c r="BE220"/>
      <c r="BF220"/>
      <c r="BG220"/>
      <c r="BH220"/>
      <c r="BI220"/>
      <c r="BJ220"/>
      <c r="BK220"/>
      <c r="BL220"/>
      <c r="BM220"/>
    </row>
    <row r="221" spans="1:65" ht="15.75" customHeight="1" x14ac:dyDescent="0.2">
      <c r="A221" s="291" t="s">
        <v>123</v>
      </c>
      <c r="B221" s="191">
        <v>45974</v>
      </c>
      <c r="C221" s="191">
        <v>45975</v>
      </c>
      <c r="D221" s="47" t="s">
        <v>152</v>
      </c>
      <c r="E221" s="337" t="s">
        <v>125</v>
      </c>
      <c r="F221" s="47"/>
      <c r="G221" s="47" t="s">
        <v>126</v>
      </c>
      <c r="H221" s="356">
        <v>1000</v>
      </c>
      <c r="I221" s="49">
        <v>50</v>
      </c>
      <c r="J221" s="49"/>
      <c r="K221" s="49"/>
      <c r="L221" s="49"/>
      <c r="M221" s="49">
        <v>2</v>
      </c>
      <c r="N221" s="49"/>
      <c r="O221" s="49"/>
      <c r="P221" s="49" t="s">
        <v>355</v>
      </c>
      <c r="Q221" s="49"/>
      <c r="R221" s="49"/>
      <c r="S221" s="49"/>
      <c r="T221" s="49"/>
      <c r="U221" s="49"/>
      <c r="V221" s="49">
        <v>3</v>
      </c>
      <c r="W221" s="49"/>
      <c r="X221" s="49">
        <v>5</v>
      </c>
      <c r="Y221" s="49">
        <v>40</v>
      </c>
      <c r="Z221" s="49">
        <v>1</v>
      </c>
      <c r="AA221" s="49">
        <v>0</v>
      </c>
      <c r="AB221" s="50">
        <f>100/(SUM(I221:Z221))</f>
        <v>0.99009900990099009</v>
      </c>
      <c r="AC221" s="259">
        <f>SUM(I221:AA221)</f>
        <v>101</v>
      </c>
      <c r="AD221" s="49"/>
      <c r="AE221" s="49"/>
      <c r="AF221" s="49"/>
      <c r="AG221" s="51" t="s">
        <v>127</v>
      </c>
      <c r="AH221" s="193" t="s">
        <v>2272</v>
      </c>
      <c r="AI221" s="193"/>
      <c r="AJ221" s="193"/>
      <c r="AK221" s="47" t="s">
        <v>2273</v>
      </c>
      <c r="AL221" s="51">
        <f>(B221-DATE(1970,1,1))*86400</f>
        <v>1762992000</v>
      </c>
      <c r="AM221" s="51">
        <f>(C221-DATE(1970,1,1))*86400</f>
        <v>1763078400</v>
      </c>
      <c r="AN221" s="51">
        <f>AVERAGE(AL221:AM221)</f>
        <v>1763035200</v>
      </c>
    </row>
    <row r="222" spans="1:65" ht="15.75" customHeight="1" x14ac:dyDescent="0.2">
      <c r="A222" s="406" t="s">
        <v>123</v>
      </c>
      <c r="B222" s="407">
        <v>45971</v>
      </c>
      <c r="C222" s="407">
        <v>45974</v>
      </c>
      <c r="D222" s="408" t="s">
        <v>227</v>
      </c>
      <c r="E222" s="409" t="s">
        <v>125</v>
      </c>
      <c r="F222" s="408"/>
      <c r="G222" s="408" t="s">
        <v>126</v>
      </c>
      <c r="H222" s="410">
        <v>1000</v>
      </c>
      <c r="I222" s="411">
        <v>48</v>
      </c>
      <c r="J222" s="411"/>
      <c r="K222" s="411"/>
      <c r="L222" s="411"/>
      <c r="M222" s="411">
        <v>2</v>
      </c>
      <c r="N222" s="411"/>
      <c r="O222" s="411"/>
      <c r="P222" s="411"/>
      <c r="Q222" s="411"/>
      <c r="R222" s="411"/>
      <c r="S222" s="411"/>
      <c r="T222" s="411"/>
      <c r="U222" s="411"/>
      <c r="V222" s="411">
        <v>4</v>
      </c>
      <c r="W222" s="411"/>
      <c r="X222" s="411">
        <v>5</v>
      </c>
      <c r="Y222" s="411">
        <v>41</v>
      </c>
      <c r="Z222" s="411"/>
      <c r="AA222" s="411">
        <v>0</v>
      </c>
      <c r="AB222" s="412">
        <f>100/(SUM(I222:Z222))</f>
        <v>1</v>
      </c>
      <c r="AC222" s="413">
        <f>SUM(I222:AA222)</f>
        <v>100</v>
      </c>
      <c r="AD222" s="411"/>
      <c r="AE222" s="411"/>
      <c r="AF222" s="411"/>
      <c r="AG222" s="414" t="s">
        <v>127</v>
      </c>
      <c r="AH222" s="418" t="s">
        <v>2275</v>
      </c>
      <c r="AI222" s="415" t="s">
        <v>2400</v>
      </c>
      <c r="AJ222" s="415" t="s">
        <v>2274</v>
      </c>
      <c r="AK222" s="408" t="s">
        <v>2234</v>
      </c>
      <c r="AL222" s="414">
        <f>(B222-DATE(1970,1,1))*86400</f>
        <v>1762732800</v>
      </c>
      <c r="AM222" s="414">
        <f>(C222-DATE(1970,1,1))*86400</f>
        <v>1762992000</v>
      </c>
      <c r="AN222" s="414">
        <f>AVERAGE(AL222:AM222)</f>
        <v>1762862400</v>
      </c>
    </row>
    <row r="223" spans="1:65" x14ac:dyDescent="0.2">
      <c r="A223" s="283" t="s">
        <v>133</v>
      </c>
      <c r="B223" s="28">
        <v>45972</v>
      </c>
      <c r="C223" s="28">
        <v>45973</v>
      </c>
      <c r="D223" s="27" t="s">
        <v>139</v>
      </c>
      <c r="E223" s="331" t="s">
        <v>125</v>
      </c>
      <c r="F223" s="27"/>
      <c r="G223" s="27" t="s">
        <v>126</v>
      </c>
      <c r="H223" s="352">
        <v>1000</v>
      </c>
      <c r="I223" s="29"/>
      <c r="J223" s="29"/>
      <c r="K223" s="29"/>
      <c r="L223" s="29"/>
      <c r="M223" s="29"/>
      <c r="N223" s="29"/>
      <c r="O223" s="29"/>
      <c r="P223" s="29"/>
      <c r="Q223" s="29"/>
      <c r="R223" s="29"/>
      <c r="S223" s="29"/>
      <c r="T223" s="29"/>
      <c r="U223" s="29"/>
      <c r="V223" s="29"/>
      <c r="W223" s="29"/>
      <c r="X223" s="29"/>
      <c r="Y223" s="29"/>
      <c r="Z223" s="29"/>
      <c r="AA223" s="29"/>
      <c r="AB223" s="30" t="e">
        <f>100/(SUM(I223:Z223))</f>
        <v>#DIV/0!</v>
      </c>
      <c r="AC223" s="259">
        <f>SUM(I223:AA223)</f>
        <v>0</v>
      </c>
      <c r="AD223" s="29"/>
      <c r="AE223" s="29"/>
      <c r="AF223" s="29"/>
      <c r="AG223" s="31" t="s">
        <v>136</v>
      </c>
      <c r="AH223" s="198" t="s">
        <v>2265</v>
      </c>
      <c r="AI223" s="198" t="s">
        <v>2266</v>
      </c>
      <c r="AJ223" s="198"/>
      <c r="AK223" s="27" t="s">
        <v>2314</v>
      </c>
      <c r="AL223" s="31">
        <f>(B223-DATE(1970,1,1))*86400</f>
        <v>1762819200</v>
      </c>
      <c r="AM223" s="31">
        <f>(C223-DATE(1970,1,1))*86400</f>
        <v>1762905600</v>
      </c>
      <c r="AN223" s="31">
        <f>AVERAGE(AL223:AM223)</f>
        <v>1762862400</v>
      </c>
    </row>
    <row r="224" spans="1:65" x14ac:dyDescent="0.2">
      <c r="A224" s="277" t="s">
        <v>133</v>
      </c>
      <c r="B224" s="244">
        <v>45971</v>
      </c>
      <c r="C224" s="244">
        <v>45973</v>
      </c>
      <c r="D224" s="243" t="s">
        <v>1975</v>
      </c>
      <c r="E224" s="399">
        <v>0</v>
      </c>
      <c r="F224" s="243"/>
      <c r="G224" s="245" t="s">
        <v>1025</v>
      </c>
      <c r="H224" s="348">
        <v>1000</v>
      </c>
      <c r="I224" s="246">
        <v>32.4</v>
      </c>
      <c r="J224" s="246"/>
      <c r="K224" s="246"/>
      <c r="L224" s="246"/>
      <c r="M224" s="246"/>
      <c r="N224" s="246"/>
      <c r="O224" s="246"/>
      <c r="P224" s="246"/>
      <c r="Q224" s="246"/>
      <c r="R224" s="247"/>
      <c r="S224" s="246"/>
      <c r="T224" s="246"/>
      <c r="U224" s="246"/>
      <c r="V224" s="246"/>
      <c r="W224" s="246"/>
      <c r="X224" s="246"/>
      <c r="Y224" s="246">
        <v>35.799999999999997</v>
      </c>
      <c r="Z224" s="246">
        <v>6.4</v>
      </c>
      <c r="AA224" s="246">
        <v>25.3</v>
      </c>
      <c r="AB224" s="248">
        <f>100/(SUM(I224:Z224))</f>
        <v>1.3404825737265416</v>
      </c>
      <c r="AC224" s="259">
        <f>SUM(I224:AA224)</f>
        <v>99.899999999999991</v>
      </c>
      <c r="AD224" s="246">
        <v>80</v>
      </c>
      <c r="AE224" s="246"/>
      <c r="AF224" s="246"/>
      <c r="AG224" s="249" t="s">
        <v>1976</v>
      </c>
      <c r="AH224" s="250" t="s">
        <v>2282</v>
      </c>
      <c r="AI224" s="251"/>
      <c r="AJ224" s="251"/>
      <c r="AK224" s="243"/>
      <c r="AL224" s="249">
        <f>(B224-DATE(1970,1,1))*86400</f>
        <v>1762732800</v>
      </c>
      <c r="AM224" s="249">
        <f>(C224-DATE(1970,1,1))*86400</f>
        <v>1762905600</v>
      </c>
      <c r="AN224" s="249">
        <f>AVERAGE(AL224:AM224)</f>
        <v>1762819200</v>
      </c>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row>
    <row r="225" spans="1:65" ht="15.75" customHeight="1" x14ac:dyDescent="0.2">
      <c r="A225" s="277" t="s">
        <v>123</v>
      </c>
      <c r="B225" s="244">
        <v>45971</v>
      </c>
      <c r="C225" s="244">
        <v>45973</v>
      </c>
      <c r="D225" s="243" t="s">
        <v>1975</v>
      </c>
      <c r="E225" s="399">
        <v>0</v>
      </c>
      <c r="F225" s="243"/>
      <c r="G225" s="245" t="s">
        <v>1025</v>
      </c>
      <c r="H225" s="348">
        <v>1000</v>
      </c>
      <c r="I225" s="246">
        <v>43.4</v>
      </c>
      <c r="J225" s="246"/>
      <c r="K225" s="246"/>
      <c r="L225" s="246"/>
      <c r="M225" s="246"/>
      <c r="N225" s="246"/>
      <c r="O225" s="246"/>
      <c r="P225" s="246"/>
      <c r="Q225" s="246"/>
      <c r="R225" s="247"/>
      <c r="S225" s="246"/>
      <c r="T225" s="246"/>
      <c r="U225" s="246"/>
      <c r="V225" s="246"/>
      <c r="W225" s="246"/>
      <c r="X225" s="246"/>
      <c r="Y225" s="246">
        <v>47.9</v>
      </c>
      <c r="Z225" s="246">
        <v>8.6</v>
      </c>
      <c r="AA225" s="246">
        <v>0</v>
      </c>
      <c r="AB225" s="248">
        <f>100/(SUM(I225:Z225))</f>
        <v>1.0010010010010011</v>
      </c>
      <c r="AC225" s="259">
        <f>SUM(I225:AA225)</f>
        <v>99.899999999999991</v>
      </c>
      <c r="AD225" s="246"/>
      <c r="AE225" s="246"/>
      <c r="AF225" s="246"/>
      <c r="AG225" s="249" t="s">
        <v>1976</v>
      </c>
      <c r="AH225" s="250" t="s">
        <v>2282</v>
      </c>
      <c r="AI225" s="251"/>
      <c r="AJ225" s="251"/>
      <c r="AK225" s="243"/>
      <c r="AL225" s="249">
        <f>(B225-DATE(1970,1,1))*86400</f>
        <v>1762732800</v>
      </c>
      <c r="AM225" s="249">
        <f>(C225-DATE(1970,1,1))*86400</f>
        <v>1762905600</v>
      </c>
      <c r="AN225" s="249">
        <f>AVERAGE(AL225:AM225)</f>
        <v>1762819200</v>
      </c>
    </row>
    <row r="226" spans="1:65" ht="15.75" customHeight="1" x14ac:dyDescent="0.2">
      <c r="A226" s="403" t="s">
        <v>133</v>
      </c>
      <c r="B226" s="14">
        <v>45971</v>
      </c>
      <c r="C226" s="14">
        <v>45973</v>
      </c>
      <c r="D226" s="13" t="s">
        <v>124</v>
      </c>
      <c r="E226" s="324" t="s">
        <v>125</v>
      </c>
      <c r="F226" s="13" t="s">
        <v>140</v>
      </c>
      <c r="G226" s="13" t="s">
        <v>126</v>
      </c>
      <c r="H226" s="349">
        <v>1000</v>
      </c>
      <c r="I226" s="15"/>
      <c r="J226" s="15"/>
      <c r="K226" s="15"/>
      <c r="L226" s="15"/>
      <c r="M226" s="15"/>
      <c r="N226" s="15"/>
      <c r="O226" s="15"/>
      <c r="P226" s="15"/>
      <c r="Q226" s="15"/>
      <c r="R226" s="15"/>
      <c r="S226" s="15"/>
      <c r="T226" s="15"/>
      <c r="U226" s="15"/>
      <c r="V226" s="15"/>
      <c r="W226" s="15"/>
      <c r="X226" s="15"/>
      <c r="Y226" s="15"/>
      <c r="Z226" s="15"/>
      <c r="AA226" s="15">
        <v>0</v>
      </c>
      <c r="AB226" s="16" t="e">
        <f>100/(SUM(I226:Z226))</f>
        <v>#DIV/0!</v>
      </c>
      <c r="AC226" s="259">
        <f>SUM(I226:AA226)</f>
        <v>0</v>
      </c>
      <c r="AD226" s="15"/>
      <c r="AE226" s="15"/>
      <c r="AF226" s="15"/>
      <c r="AG226" s="17" t="s">
        <v>127</v>
      </c>
      <c r="AH226" s="201" t="s">
        <v>2264</v>
      </c>
      <c r="AI226" s="201"/>
      <c r="AJ226" s="201"/>
      <c r="AK226" s="13" t="s">
        <v>2314</v>
      </c>
      <c r="AL226" s="17">
        <f>(B226-DATE(1970,1,1))*86400</f>
        <v>1762732800</v>
      </c>
      <c r="AM226" s="17">
        <f>(C226-DATE(1970,1,1))*86400</f>
        <v>1762905600</v>
      </c>
      <c r="AN226" s="17">
        <f>AVERAGE(AL226:AM226)</f>
        <v>1762819200</v>
      </c>
    </row>
    <row r="227" spans="1:65" ht="15.75" customHeight="1" x14ac:dyDescent="0.2">
      <c r="A227" s="279" t="s">
        <v>123</v>
      </c>
      <c r="B227" s="14">
        <v>45971</v>
      </c>
      <c r="C227" s="14">
        <v>45972</v>
      </c>
      <c r="D227" s="13" t="s">
        <v>2221</v>
      </c>
      <c r="E227" s="324">
        <v>0</v>
      </c>
      <c r="F227" s="13" t="s">
        <v>140</v>
      </c>
      <c r="G227" s="13" t="s">
        <v>126</v>
      </c>
      <c r="H227" s="349">
        <v>1000</v>
      </c>
      <c r="I227" s="15"/>
      <c r="J227" s="15"/>
      <c r="K227" s="15"/>
      <c r="L227" s="15"/>
      <c r="M227" s="15"/>
      <c r="N227" s="15"/>
      <c r="O227" s="15"/>
      <c r="P227" s="15"/>
      <c r="Q227" s="15"/>
      <c r="R227" s="15"/>
      <c r="S227" s="15"/>
      <c r="T227" s="15"/>
      <c r="U227" s="15"/>
      <c r="V227" s="15"/>
      <c r="W227" s="15"/>
      <c r="X227" s="15"/>
      <c r="Y227" s="15"/>
      <c r="Z227" s="98"/>
      <c r="AA227" s="98"/>
      <c r="AB227" s="16" t="e">
        <f>100/(SUM(I227:Z227))</f>
        <v>#DIV/0!</v>
      </c>
      <c r="AC227" s="259">
        <f>SUM(I227:AA227)</f>
        <v>0</v>
      </c>
      <c r="AD227" s="15"/>
      <c r="AE227" s="15"/>
      <c r="AF227" s="15"/>
      <c r="AG227" s="17" t="s">
        <v>2221</v>
      </c>
      <c r="AH227" s="201" t="s">
        <v>2276</v>
      </c>
      <c r="AI227" s="201"/>
      <c r="AJ227" s="18"/>
      <c r="AK227" s="13" t="s">
        <v>2315</v>
      </c>
      <c r="AL227" s="17">
        <f>(B227-DATE(1970,1,1))*86400</f>
        <v>1762732800</v>
      </c>
      <c r="AM227" s="17">
        <f>(C227-DATE(1970,1,1))*86400</f>
        <v>1762819200</v>
      </c>
      <c r="AN227" s="17">
        <f>AVERAGE(AL227:AM227)</f>
        <v>1762776000</v>
      </c>
    </row>
    <row r="228" spans="1:65" ht="15.75" customHeight="1" x14ac:dyDescent="0.2">
      <c r="A228" s="278" t="s">
        <v>133</v>
      </c>
      <c r="B228" s="203">
        <v>45968</v>
      </c>
      <c r="C228" s="203">
        <v>45969</v>
      </c>
      <c r="D228" s="202" t="s">
        <v>1706</v>
      </c>
      <c r="E228" s="330" t="s">
        <v>184</v>
      </c>
      <c r="F228" s="202" t="s">
        <v>140</v>
      </c>
      <c r="G228" s="202" t="s">
        <v>135</v>
      </c>
      <c r="H228" s="330">
        <v>1500</v>
      </c>
      <c r="I228" s="202"/>
      <c r="J228" s="202"/>
      <c r="K228" s="202"/>
      <c r="L228" s="202"/>
      <c r="M228" s="202"/>
      <c r="N228" s="202"/>
      <c r="O228" s="202"/>
      <c r="P228" s="202"/>
      <c r="Q228" s="202"/>
      <c r="R228" s="202"/>
      <c r="S228" s="202"/>
      <c r="T228" s="202"/>
      <c r="U228" s="202"/>
      <c r="V228" s="202"/>
      <c r="W228" s="204"/>
      <c r="X228" s="202"/>
      <c r="Y228" s="202"/>
      <c r="Z228" s="202"/>
      <c r="AA228" s="202"/>
      <c r="AB228" s="205"/>
      <c r="AC228" s="259">
        <f>SUM(I228:AA228)</f>
        <v>0</v>
      </c>
      <c r="AD228" s="206"/>
      <c r="AE228" s="206"/>
      <c r="AF228" s="206"/>
      <c r="AG228" s="206" t="s">
        <v>1940</v>
      </c>
      <c r="AH228" s="207" t="s">
        <v>2260</v>
      </c>
      <c r="AI228" s="202"/>
      <c r="AJ228" s="202"/>
      <c r="AK228" s="202" t="s">
        <v>138</v>
      </c>
      <c r="AL228" s="208">
        <f>(B228-DATE(1970,1,1))*86400</f>
        <v>1762473600</v>
      </c>
      <c r="AM228" s="208">
        <f>(C228-DATE(1970,1,1))*86400</f>
        <v>1762560000</v>
      </c>
      <c r="AN228" s="208">
        <f>AVERAGE(AL228:AM228)</f>
        <v>1762516800</v>
      </c>
    </row>
    <row r="229" spans="1:65" ht="15.75" customHeight="1" x14ac:dyDescent="0.2">
      <c r="A229" s="285" t="s">
        <v>133</v>
      </c>
      <c r="B229" s="34">
        <v>45959</v>
      </c>
      <c r="C229" s="34">
        <v>45974</v>
      </c>
      <c r="D229" s="33" t="s">
        <v>143</v>
      </c>
      <c r="E229" s="319" t="s">
        <v>125</v>
      </c>
      <c r="F229" s="33" t="s">
        <v>140</v>
      </c>
      <c r="G229" s="33" t="s">
        <v>126</v>
      </c>
      <c r="H229" s="358" t="s">
        <v>2328</v>
      </c>
      <c r="I229" s="35"/>
      <c r="J229" s="35"/>
      <c r="K229" s="35"/>
      <c r="L229" s="35"/>
      <c r="M229" s="35"/>
      <c r="N229" s="35"/>
      <c r="O229" s="35"/>
      <c r="P229" s="35"/>
      <c r="Q229" s="35"/>
      <c r="R229" s="36"/>
      <c r="S229" s="35"/>
      <c r="T229" s="35"/>
      <c r="U229" s="35"/>
      <c r="V229" s="35"/>
      <c r="W229" s="35"/>
      <c r="X229" s="35"/>
      <c r="Y229" s="35"/>
      <c r="Z229" s="36"/>
      <c r="AA229" s="35"/>
      <c r="AB229" s="37" t="e">
        <f>100/(SUM(I229:Z229))</f>
        <v>#DIV/0!</v>
      </c>
      <c r="AC229" s="259">
        <f>SUM(I229:AA229)</f>
        <v>0</v>
      </c>
      <c r="AD229" s="35">
        <v>85</v>
      </c>
      <c r="AE229" s="35"/>
      <c r="AF229" s="35"/>
      <c r="AG229" s="33" t="s">
        <v>644</v>
      </c>
      <c r="AH229" s="190" t="s">
        <v>2326</v>
      </c>
      <c r="AI229" s="190" t="s">
        <v>2327</v>
      </c>
      <c r="AJ229" s="190" t="s">
        <v>2325</v>
      </c>
      <c r="AK229" s="33" t="s">
        <v>2329</v>
      </c>
      <c r="AL229" s="39">
        <f>(B229-DATE(1970,1,1))*86400</f>
        <v>1761696000</v>
      </c>
      <c r="AM229" s="39">
        <f>(C229-DATE(1970,1,1))*86400</f>
        <v>1762992000</v>
      </c>
      <c r="AN229" s="39">
        <f>AVERAGE(AL229:AM229)</f>
        <v>1762344000</v>
      </c>
    </row>
    <row r="230" spans="1:65" x14ac:dyDescent="0.2">
      <c r="A230" s="278" t="s">
        <v>133</v>
      </c>
      <c r="B230" s="203">
        <v>45965</v>
      </c>
      <c r="C230" s="203">
        <v>45965</v>
      </c>
      <c r="D230" s="202" t="s">
        <v>1706</v>
      </c>
      <c r="E230" s="330" t="s">
        <v>184</v>
      </c>
      <c r="F230" s="202" t="s">
        <v>140</v>
      </c>
      <c r="G230" s="202" t="s">
        <v>135</v>
      </c>
      <c r="H230" s="330">
        <v>1300</v>
      </c>
      <c r="I230" s="202"/>
      <c r="J230" s="202"/>
      <c r="K230" s="202"/>
      <c r="L230" s="202"/>
      <c r="M230" s="202"/>
      <c r="N230" s="202"/>
      <c r="O230" s="202"/>
      <c r="P230" s="202"/>
      <c r="Q230" s="202"/>
      <c r="R230" s="202"/>
      <c r="S230" s="202"/>
      <c r="T230" s="202"/>
      <c r="U230" s="202"/>
      <c r="V230" s="202"/>
      <c r="W230" s="204"/>
      <c r="X230" s="202"/>
      <c r="Y230" s="202"/>
      <c r="Z230" s="202"/>
      <c r="AA230" s="202"/>
      <c r="AB230" s="205"/>
      <c r="AC230" s="259">
        <f>SUM(I230:AA230)</f>
        <v>0</v>
      </c>
      <c r="AD230" s="206"/>
      <c r="AE230" s="206"/>
      <c r="AF230" s="206"/>
      <c r="AG230" s="206" t="s">
        <v>1940</v>
      </c>
      <c r="AH230" s="207" t="s">
        <v>2253</v>
      </c>
      <c r="AI230" s="202"/>
      <c r="AJ230" s="202"/>
      <c r="AK230" s="202" t="s">
        <v>2254</v>
      </c>
      <c r="AL230" s="208">
        <f>(B230-DATE(1970,1,1))*86400</f>
        <v>1762214400</v>
      </c>
      <c r="AM230" s="208">
        <f>(C230-DATE(1970,1,1))*86400</f>
        <v>1762214400</v>
      </c>
      <c r="AN230" s="208">
        <f>AVERAGE(AL230:AM230)</f>
        <v>1762214400</v>
      </c>
    </row>
    <row r="231" spans="1:65" x14ac:dyDescent="0.2">
      <c r="A231" s="284" t="s">
        <v>133</v>
      </c>
      <c r="B231" s="20">
        <v>45961</v>
      </c>
      <c r="C231" s="20">
        <v>45968</v>
      </c>
      <c r="D231" s="19" t="s">
        <v>134</v>
      </c>
      <c r="E231" s="332" t="s">
        <v>125</v>
      </c>
      <c r="F231" s="19"/>
      <c r="G231" s="19" t="s">
        <v>135</v>
      </c>
      <c r="H231" s="332">
        <v>1500</v>
      </c>
      <c r="I231" s="21">
        <v>29</v>
      </c>
      <c r="J231" s="21">
        <v>0</v>
      </c>
      <c r="K231" s="21">
        <v>0</v>
      </c>
      <c r="L231" s="21">
        <v>0</v>
      </c>
      <c r="M231" s="21">
        <v>4</v>
      </c>
      <c r="N231" s="21"/>
      <c r="O231" s="21">
        <v>0</v>
      </c>
      <c r="P231" s="21">
        <v>0</v>
      </c>
      <c r="Q231" s="21"/>
      <c r="R231" s="22"/>
      <c r="S231" s="21">
        <v>0</v>
      </c>
      <c r="T231" s="21">
        <v>0</v>
      </c>
      <c r="U231" s="21"/>
      <c r="V231" s="21">
        <v>3</v>
      </c>
      <c r="W231" s="21">
        <v>0</v>
      </c>
      <c r="X231" s="21">
        <v>4</v>
      </c>
      <c r="Y231" s="21">
        <v>35</v>
      </c>
      <c r="Z231" s="21">
        <v>0</v>
      </c>
      <c r="AA231" s="21">
        <v>25</v>
      </c>
      <c r="AB231" s="23">
        <f>100/(SUM(I231:Z231))</f>
        <v>1.3333333333333333</v>
      </c>
      <c r="AC231" s="259">
        <f>SUM(I231:AA231)</f>
        <v>100</v>
      </c>
      <c r="AD231" s="21"/>
      <c r="AE231" s="24"/>
      <c r="AF231" s="24"/>
      <c r="AG231" s="25" t="s">
        <v>136</v>
      </c>
      <c r="AH231" s="26" t="s">
        <v>2261</v>
      </c>
      <c r="AI231" s="26" t="s">
        <v>2262</v>
      </c>
      <c r="AJ231" s="219"/>
      <c r="AK231" s="19" t="s">
        <v>2263</v>
      </c>
      <c r="AL231" s="25">
        <f>(B231-DATE(1970,1,1))*86400</f>
        <v>1761868800</v>
      </c>
      <c r="AM231" s="25">
        <f>(C231-DATE(1970,1,1))*86400</f>
        <v>1762473600</v>
      </c>
      <c r="AN231" s="25">
        <f>AVERAGE(AL231:AM231)</f>
        <v>1762171200</v>
      </c>
    </row>
    <row r="232" spans="1:65" x14ac:dyDescent="0.2">
      <c r="A232" s="284" t="s">
        <v>123</v>
      </c>
      <c r="B232" s="20">
        <v>45961</v>
      </c>
      <c r="C232" s="20">
        <v>45968</v>
      </c>
      <c r="D232" s="19" t="s">
        <v>134</v>
      </c>
      <c r="E232" s="332" t="s">
        <v>125</v>
      </c>
      <c r="F232" s="19"/>
      <c r="G232" s="19" t="s">
        <v>135</v>
      </c>
      <c r="H232" s="332">
        <v>1500</v>
      </c>
      <c r="I232" s="21">
        <v>40</v>
      </c>
      <c r="J232" s="21">
        <v>0</v>
      </c>
      <c r="K232" s="21">
        <v>0</v>
      </c>
      <c r="L232" s="21">
        <v>0</v>
      </c>
      <c r="M232" s="21">
        <v>5</v>
      </c>
      <c r="N232" s="21"/>
      <c r="O232" s="21">
        <v>0</v>
      </c>
      <c r="P232" s="21">
        <v>0</v>
      </c>
      <c r="Q232" s="21"/>
      <c r="R232" s="22"/>
      <c r="S232" s="21">
        <v>0</v>
      </c>
      <c r="T232" s="21">
        <v>0</v>
      </c>
      <c r="U232" s="21"/>
      <c r="V232" s="21">
        <v>3</v>
      </c>
      <c r="W232" s="21">
        <v>0</v>
      </c>
      <c r="X232" s="21">
        <v>4</v>
      </c>
      <c r="Y232" s="21">
        <v>47</v>
      </c>
      <c r="Z232" s="21">
        <v>1</v>
      </c>
      <c r="AA232" s="21">
        <v>0</v>
      </c>
      <c r="AB232" s="23">
        <f>100/(SUM(I232:Z232))</f>
        <v>1</v>
      </c>
      <c r="AC232" s="259">
        <f>SUM(I232:AA232)</f>
        <v>100</v>
      </c>
      <c r="AD232" s="24"/>
      <c r="AE232" s="24"/>
      <c r="AF232" s="24"/>
      <c r="AG232" s="25" t="s">
        <v>136</v>
      </c>
      <c r="AH232" s="26" t="s">
        <v>2261</v>
      </c>
      <c r="AI232" s="26" t="s">
        <v>2262</v>
      </c>
      <c r="AJ232" s="26"/>
      <c r="AK232" s="19" t="s">
        <v>138</v>
      </c>
      <c r="AL232" s="25">
        <f>(B232-DATE(1970,1,1))*86400</f>
        <v>1761868800</v>
      </c>
      <c r="AM232" s="25">
        <f>(C232-DATE(1970,1,1))*86400</f>
        <v>1762473600</v>
      </c>
      <c r="AN232" s="25">
        <f>AVERAGE(AL232:AM232)</f>
        <v>1762171200</v>
      </c>
    </row>
    <row r="233" spans="1:65" ht="15.75" customHeight="1" x14ac:dyDescent="0.2">
      <c r="A233" s="285" t="s">
        <v>133</v>
      </c>
      <c r="B233" s="34">
        <v>45957</v>
      </c>
      <c r="C233" s="34">
        <v>45964</v>
      </c>
      <c r="D233" s="33" t="s">
        <v>143</v>
      </c>
      <c r="E233" s="319" t="s">
        <v>125</v>
      </c>
      <c r="F233" s="33" t="s">
        <v>2494</v>
      </c>
      <c r="G233" s="33" t="s">
        <v>126</v>
      </c>
      <c r="H233" s="353">
        <v>800</v>
      </c>
      <c r="I233" s="35"/>
      <c r="J233" s="35"/>
      <c r="K233" s="35"/>
      <c r="L233" s="35"/>
      <c r="M233" s="35"/>
      <c r="N233" s="35"/>
      <c r="O233" s="35"/>
      <c r="P233" s="35"/>
      <c r="Q233" s="35"/>
      <c r="R233" s="36"/>
      <c r="S233" s="35"/>
      <c r="T233" s="35"/>
      <c r="U233" s="35"/>
      <c r="V233" s="35"/>
      <c r="W233" s="35"/>
      <c r="X233" s="35"/>
      <c r="Y233" s="35"/>
      <c r="Z233" s="35"/>
      <c r="AA233" s="35"/>
      <c r="AB233" s="37" t="e">
        <f>100/(SUM(I233:Z233))</f>
        <v>#DIV/0!</v>
      </c>
      <c r="AC233" s="259">
        <f>SUM(I233:AA233)</f>
        <v>0</v>
      </c>
      <c r="AD233" s="35"/>
      <c r="AE233" s="35"/>
      <c r="AF233" s="35"/>
      <c r="AG233" s="33" t="s">
        <v>2343</v>
      </c>
      <c r="AH233" s="190" t="s">
        <v>2344</v>
      </c>
      <c r="AI233" s="190" t="s">
        <v>2345</v>
      </c>
      <c r="AJ233" s="33"/>
      <c r="AK233" s="33" t="s">
        <v>2350</v>
      </c>
      <c r="AL233" s="39">
        <f>(B233-DATE(1970,1,1))*86400</f>
        <v>1761523200</v>
      </c>
      <c r="AM233" s="39">
        <f>(C233-DATE(1970,1,1))*86400</f>
        <v>1762128000</v>
      </c>
      <c r="AN233" s="39">
        <f>AVERAGE(AL233:AM233)</f>
        <v>1761825600</v>
      </c>
    </row>
    <row r="234" spans="1:65" ht="15.75" customHeight="1" x14ac:dyDescent="0.2">
      <c r="A234" s="283" t="s">
        <v>133</v>
      </c>
      <c r="B234" s="28">
        <v>45946</v>
      </c>
      <c r="C234" s="28">
        <v>45970</v>
      </c>
      <c r="D234" s="27" t="s">
        <v>139</v>
      </c>
      <c r="E234" s="331" t="s">
        <v>125</v>
      </c>
      <c r="F234" s="27" t="s">
        <v>2256</v>
      </c>
      <c r="G234" s="27" t="s">
        <v>149</v>
      </c>
      <c r="H234" s="352">
        <v>1000</v>
      </c>
      <c r="I234" s="29"/>
      <c r="J234" s="29"/>
      <c r="K234" s="29"/>
      <c r="L234" s="29"/>
      <c r="M234" s="29"/>
      <c r="N234" s="29"/>
      <c r="O234" s="29"/>
      <c r="P234" s="29"/>
      <c r="Q234" s="29"/>
      <c r="R234" s="29"/>
      <c r="S234" s="29"/>
      <c r="T234" s="29"/>
      <c r="U234" s="29"/>
      <c r="V234" s="29"/>
      <c r="W234" s="29"/>
      <c r="X234" s="29"/>
      <c r="Y234" s="29"/>
      <c r="Z234" s="29"/>
      <c r="AA234" s="29"/>
      <c r="AB234" s="30" t="e">
        <f>100/(SUM(I234:Z234))</f>
        <v>#DIV/0!</v>
      </c>
      <c r="AC234" s="259">
        <f>SUM(I234:AA234)</f>
        <v>0</v>
      </c>
      <c r="AD234" s="29"/>
      <c r="AE234" s="29"/>
      <c r="AF234" s="29"/>
      <c r="AG234" s="31"/>
      <c r="AH234" s="198" t="s">
        <v>2257</v>
      </c>
      <c r="AI234" s="198"/>
      <c r="AJ234" s="198"/>
      <c r="AK234" s="27"/>
      <c r="AL234" s="31">
        <f>(B234-DATE(1970,1,1))*86400</f>
        <v>1760572800</v>
      </c>
      <c r="AM234" s="31">
        <f>(C234-DATE(1970,1,1))*86400</f>
        <v>1762646400</v>
      </c>
      <c r="AN234" s="31">
        <f>AVERAGE(AL234:AM234)</f>
        <v>1761609600</v>
      </c>
    </row>
    <row r="235" spans="1:65" ht="15.75" customHeight="1" x14ac:dyDescent="0.2">
      <c r="A235" s="286" t="s">
        <v>133</v>
      </c>
      <c r="B235" s="41">
        <v>45954</v>
      </c>
      <c r="C235" s="41">
        <v>45961</v>
      </c>
      <c r="D235" s="40" t="s">
        <v>148</v>
      </c>
      <c r="E235" s="325" t="s">
        <v>125</v>
      </c>
      <c r="F235" s="40"/>
      <c r="G235" s="40" t="s">
        <v>126</v>
      </c>
      <c r="H235" s="325">
        <v>1000</v>
      </c>
      <c r="I235" s="42">
        <v>29</v>
      </c>
      <c r="J235" s="42"/>
      <c r="K235" s="42"/>
      <c r="L235" s="42"/>
      <c r="M235" s="42">
        <v>4</v>
      </c>
      <c r="N235" s="42"/>
      <c r="O235" s="42"/>
      <c r="P235" s="42">
        <v>1</v>
      </c>
      <c r="Q235" s="42"/>
      <c r="R235" s="43"/>
      <c r="S235" s="42"/>
      <c r="T235" s="42"/>
      <c r="U235" s="42"/>
      <c r="V235" s="42">
        <v>3</v>
      </c>
      <c r="W235" s="42"/>
      <c r="X235" s="42">
        <v>5</v>
      </c>
      <c r="Y235" s="42">
        <v>35</v>
      </c>
      <c r="Z235" s="42">
        <v>1</v>
      </c>
      <c r="AA235" s="42">
        <v>22</v>
      </c>
      <c r="AB235" s="44">
        <f>100/(SUM(I235:Z235))</f>
        <v>1.2820512820512822</v>
      </c>
      <c r="AC235" s="259">
        <f>SUM(I235:AA235)</f>
        <v>100</v>
      </c>
      <c r="AD235" s="42"/>
      <c r="AE235" s="43"/>
      <c r="AF235" s="43"/>
      <c r="AG235" s="45" t="s">
        <v>136</v>
      </c>
      <c r="AH235" s="189" t="s">
        <v>2242</v>
      </c>
      <c r="AI235" s="46"/>
      <c r="AJ235" s="46"/>
      <c r="AK235" s="40" t="s">
        <v>2249</v>
      </c>
      <c r="AL235" s="45">
        <f>(B235-DATE(1970,1,1))*86400</f>
        <v>1761264000</v>
      </c>
      <c r="AM235" s="45">
        <f>(C235-DATE(1970,1,1))*86400</f>
        <v>1761868800</v>
      </c>
      <c r="AN235" s="45">
        <f>AVERAGE(AL235:AM235)</f>
        <v>1761566400</v>
      </c>
    </row>
    <row r="236" spans="1:65" ht="15.75" customHeight="1" x14ac:dyDescent="0.2">
      <c r="A236" s="286" t="s">
        <v>123</v>
      </c>
      <c r="B236" s="41">
        <v>45954</v>
      </c>
      <c r="C236" s="41">
        <v>45961</v>
      </c>
      <c r="D236" s="40" t="s">
        <v>148</v>
      </c>
      <c r="E236" s="325" t="s">
        <v>125</v>
      </c>
      <c r="F236" s="40"/>
      <c r="G236" s="40" t="s">
        <v>126</v>
      </c>
      <c r="H236" s="325">
        <v>1000</v>
      </c>
      <c r="I236" s="42">
        <v>37</v>
      </c>
      <c r="J236" s="42"/>
      <c r="K236" s="42"/>
      <c r="L236" s="42"/>
      <c r="M236" s="42">
        <v>5</v>
      </c>
      <c r="N236" s="42"/>
      <c r="O236" s="42"/>
      <c r="P236" s="42">
        <v>1</v>
      </c>
      <c r="Q236" s="42"/>
      <c r="R236" s="43"/>
      <c r="S236" s="42"/>
      <c r="T236" s="42"/>
      <c r="U236" s="42"/>
      <c r="V236" s="42">
        <v>4</v>
      </c>
      <c r="W236" s="42"/>
      <c r="X236" s="42">
        <v>5</v>
      </c>
      <c r="Y236" s="42">
        <v>48</v>
      </c>
      <c r="Z236" s="42">
        <v>0</v>
      </c>
      <c r="AA236" s="42">
        <v>0</v>
      </c>
      <c r="AB236" s="44">
        <f>100/(SUM(I236:Z236))</f>
        <v>1</v>
      </c>
      <c r="AC236" s="259">
        <f>SUM(I236:AA236)</f>
        <v>100</v>
      </c>
      <c r="AD236" s="42"/>
      <c r="AE236" s="43"/>
      <c r="AF236" s="43"/>
      <c r="AG236" s="45" t="s">
        <v>136</v>
      </c>
      <c r="AH236" s="189" t="s">
        <v>2242</v>
      </c>
      <c r="AI236" s="46"/>
      <c r="AJ236" s="46"/>
      <c r="AK236" s="40"/>
      <c r="AL236" s="45">
        <f>(B236-DATE(1970,1,1))*86400</f>
        <v>1761264000</v>
      </c>
      <c r="AM236" s="45">
        <f>(C236-DATE(1970,1,1))*86400</f>
        <v>1761868800</v>
      </c>
      <c r="AN236" s="45">
        <f>AVERAGE(AL236:AM236)</f>
        <v>1761566400</v>
      </c>
    </row>
    <row r="237" spans="1:65" ht="15.75" customHeight="1" x14ac:dyDescent="0.2">
      <c r="A237" s="278" t="s">
        <v>133</v>
      </c>
      <c r="B237" s="203">
        <v>45955</v>
      </c>
      <c r="C237" s="203">
        <v>45955</v>
      </c>
      <c r="D237" s="202" t="s">
        <v>1706</v>
      </c>
      <c r="E237" s="330" t="s">
        <v>184</v>
      </c>
      <c r="F237" s="202" t="s">
        <v>140</v>
      </c>
      <c r="G237" s="202" t="s">
        <v>135</v>
      </c>
      <c r="H237" s="330">
        <v>1300</v>
      </c>
      <c r="I237" s="202"/>
      <c r="J237" s="202"/>
      <c r="K237" s="202"/>
      <c r="L237" s="202"/>
      <c r="M237" s="202"/>
      <c r="N237" s="202"/>
      <c r="O237" s="202"/>
      <c r="P237" s="202"/>
      <c r="Q237" s="202"/>
      <c r="R237" s="202"/>
      <c r="S237" s="202"/>
      <c r="T237" s="202"/>
      <c r="U237" s="202"/>
      <c r="V237" s="202"/>
      <c r="W237" s="204"/>
      <c r="X237" s="202"/>
      <c r="Y237" s="202"/>
      <c r="Z237" s="202"/>
      <c r="AA237" s="202"/>
      <c r="AB237" s="205"/>
      <c r="AC237" s="259">
        <f>SUM(I237:AA237)</f>
        <v>0</v>
      </c>
      <c r="AD237" s="206"/>
      <c r="AE237" s="206"/>
      <c r="AF237" s="206"/>
      <c r="AG237" s="206" t="s">
        <v>1940</v>
      </c>
      <c r="AH237" s="207" t="s">
        <v>2250</v>
      </c>
      <c r="AI237" s="202"/>
      <c r="AJ237" s="202"/>
      <c r="AK237" s="202" t="s">
        <v>2252</v>
      </c>
      <c r="AL237" s="208">
        <f>(B237-DATE(1970,1,1))*86400</f>
        <v>1761350400</v>
      </c>
      <c r="AM237" s="208">
        <f>(C237-DATE(1970,1,1))*86400</f>
        <v>1761350400</v>
      </c>
      <c r="AN237" s="208">
        <f>AVERAGE(AL237:AM237)</f>
        <v>1761350400</v>
      </c>
    </row>
    <row r="238" spans="1:65" s="416" customFormat="1" ht="15.75" customHeight="1" x14ac:dyDescent="0.2">
      <c r="A238" s="403" t="s">
        <v>133</v>
      </c>
      <c r="B238" s="14">
        <v>45954</v>
      </c>
      <c r="C238" s="14">
        <v>45954</v>
      </c>
      <c r="D238" s="13" t="s">
        <v>124</v>
      </c>
      <c r="E238" s="324" t="s">
        <v>125</v>
      </c>
      <c r="F238" s="13" t="s">
        <v>140</v>
      </c>
      <c r="G238" s="13" t="s">
        <v>126</v>
      </c>
      <c r="H238" s="349">
        <v>500</v>
      </c>
      <c r="I238" s="15"/>
      <c r="J238" s="15"/>
      <c r="K238" s="15"/>
      <c r="L238" s="15"/>
      <c r="M238" s="15"/>
      <c r="N238" s="15"/>
      <c r="O238" s="15"/>
      <c r="P238" s="15"/>
      <c r="Q238" s="15"/>
      <c r="R238" s="15"/>
      <c r="S238" s="15"/>
      <c r="T238" s="15"/>
      <c r="U238" s="15"/>
      <c r="V238" s="15"/>
      <c r="W238" s="15"/>
      <c r="X238" s="15"/>
      <c r="Y238" s="15"/>
      <c r="Z238" s="15"/>
      <c r="AA238" s="15">
        <v>0</v>
      </c>
      <c r="AB238" s="16" t="e">
        <f>100/(SUM(I238:Z238))</f>
        <v>#DIV/0!</v>
      </c>
      <c r="AC238" s="259">
        <f>SUM(I238:AA238)</f>
        <v>0</v>
      </c>
      <c r="AD238" s="15"/>
      <c r="AE238" s="15"/>
      <c r="AF238" s="15"/>
      <c r="AG238" s="17" t="s">
        <v>127</v>
      </c>
      <c r="AH238" s="201" t="s">
        <v>2251</v>
      </c>
      <c r="AI238" s="201"/>
      <c r="AJ238" s="201"/>
      <c r="AK238" s="13" t="s">
        <v>2252</v>
      </c>
      <c r="AL238" s="17">
        <f>(B238-DATE(1970,1,1))*86400</f>
        <v>1761264000</v>
      </c>
      <c r="AM238" s="17">
        <f>(C238-DATE(1970,1,1))*86400</f>
        <v>1761264000</v>
      </c>
      <c r="AN238" s="17">
        <f>AVERAGE(AL238:AM238)</f>
        <v>1761264000</v>
      </c>
      <c r="AO238"/>
      <c r="AP238"/>
      <c r="AQ238"/>
      <c r="AR238"/>
      <c r="AS238"/>
      <c r="AT238"/>
      <c r="AU238"/>
      <c r="AV238"/>
      <c r="AW238"/>
      <c r="AX238"/>
      <c r="AY238"/>
      <c r="AZ238"/>
      <c r="BA238"/>
      <c r="BB238"/>
      <c r="BC238"/>
      <c r="BD238"/>
      <c r="BE238"/>
      <c r="BF238"/>
      <c r="BG238"/>
      <c r="BH238"/>
      <c r="BI238"/>
      <c r="BJ238"/>
      <c r="BK238"/>
      <c r="BL238"/>
      <c r="BM238"/>
    </row>
    <row r="239" spans="1:65" ht="15.75" customHeight="1" x14ac:dyDescent="0.2">
      <c r="A239" s="287" t="s">
        <v>133</v>
      </c>
      <c r="B239" s="187">
        <v>45948</v>
      </c>
      <c r="C239" s="265">
        <v>45957</v>
      </c>
      <c r="D239" s="69" t="s">
        <v>183</v>
      </c>
      <c r="E239" s="333" t="s">
        <v>125</v>
      </c>
      <c r="F239" s="69" t="s">
        <v>2495</v>
      </c>
      <c r="G239" s="188" t="s">
        <v>126</v>
      </c>
      <c r="H239" s="354">
        <v>1000</v>
      </c>
      <c r="I239" s="71">
        <v>24</v>
      </c>
      <c r="J239" s="71"/>
      <c r="K239" s="71"/>
      <c r="L239" s="71"/>
      <c r="M239" s="71">
        <v>4</v>
      </c>
      <c r="N239" s="71"/>
      <c r="O239" s="71"/>
      <c r="P239" s="71">
        <v>1</v>
      </c>
      <c r="Q239" s="71"/>
      <c r="R239" s="72"/>
      <c r="S239" s="71"/>
      <c r="T239" s="71"/>
      <c r="U239" s="71"/>
      <c r="V239" s="71">
        <v>6</v>
      </c>
      <c r="W239" s="71">
        <v>1</v>
      </c>
      <c r="X239" s="71">
        <v>4</v>
      </c>
      <c r="Y239" s="71">
        <v>51</v>
      </c>
      <c r="Z239" s="71">
        <v>1</v>
      </c>
      <c r="AA239" s="71">
        <v>8</v>
      </c>
      <c r="AB239" s="73">
        <f>100/(SUM(I239:Z239))</f>
        <v>1.0869565217391304</v>
      </c>
      <c r="AC239" s="259">
        <f>SUM(I239:AA239)</f>
        <v>100</v>
      </c>
      <c r="AD239" s="71"/>
      <c r="AE239" s="71"/>
      <c r="AF239" s="71"/>
      <c r="AG239" s="74" t="s">
        <v>155</v>
      </c>
      <c r="AH239" s="199" t="s">
        <v>2280</v>
      </c>
      <c r="AI239" s="221" t="s">
        <v>2281</v>
      </c>
      <c r="AJ239" s="75"/>
      <c r="AK239" s="69"/>
      <c r="AL239" s="74">
        <f>(B239-DATE(1970,1,1))*86400</f>
        <v>1760745600</v>
      </c>
      <c r="AM239" s="74">
        <f>(C239-DATE(1970,1,1))*86400</f>
        <v>1761523200</v>
      </c>
      <c r="AN239" s="74">
        <f>AVERAGE(AL239:AM239)</f>
        <v>1761134400</v>
      </c>
    </row>
    <row r="240" spans="1:65" x14ac:dyDescent="0.2">
      <c r="A240" s="287" t="s">
        <v>133</v>
      </c>
      <c r="B240" s="187">
        <v>45948</v>
      </c>
      <c r="C240" s="265">
        <v>45957</v>
      </c>
      <c r="D240" s="69" t="s">
        <v>183</v>
      </c>
      <c r="E240" s="333" t="s">
        <v>125</v>
      </c>
      <c r="F240" s="69" t="s">
        <v>2495</v>
      </c>
      <c r="G240" s="188" t="s">
        <v>126</v>
      </c>
      <c r="H240" s="354">
        <v>1000</v>
      </c>
      <c r="I240" s="71">
        <v>26</v>
      </c>
      <c r="J240" s="71"/>
      <c r="K240" s="71"/>
      <c r="L240" s="71"/>
      <c r="M240" s="71">
        <v>4</v>
      </c>
      <c r="N240" s="71"/>
      <c r="O240" s="71"/>
      <c r="P240" s="71">
        <v>1</v>
      </c>
      <c r="Q240" s="71"/>
      <c r="R240" s="72"/>
      <c r="S240" s="71"/>
      <c r="T240" s="71"/>
      <c r="U240" s="71"/>
      <c r="V240" s="71">
        <v>6</v>
      </c>
      <c r="W240" s="71">
        <v>1</v>
      </c>
      <c r="X240" s="71">
        <v>5</v>
      </c>
      <c r="Y240" s="71">
        <v>55</v>
      </c>
      <c r="Z240" s="71">
        <v>2</v>
      </c>
      <c r="AA240" s="71">
        <v>0</v>
      </c>
      <c r="AB240" s="73">
        <f>100/(SUM(I240:Z240))</f>
        <v>1</v>
      </c>
      <c r="AC240" s="259">
        <f>SUM(I240:AA240)</f>
        <v>100</v>
      </c>
      <c r="AD240" s="71"/>
      <c r="AE240" s="71"/>
      <c r="AF240" s="71"/>
      <c r="AG240" s="74" t="s">
        <v>155</v>
      </c>
      <c r="AH240" s="199" t="s">
        <v>2280</v>
      </c>
      <c r="AI240" s="75" t="s">
        <v>2281</v>
      </c>
      <c r="AJ240" s="75"/>
      <c r="AK240" s="69"/>
      <c r="AL240" s="74">
        <f>(B240-DATE(1970,1,1))*86400</f>
        <v>1760745600</v>
      </c>
      <c r="AM240" s="74">
        <f>(C240-DATE(1970,1,1))*86400</f>
        <v>1761523200</v>
      </c>
      <c r="AN240" s="74">
        <f>AVERAGE(AL240:AM240)</f>
        <v>1761134400</v>
      </c>
    </row>
    <row r="241" spans="1:65" s="6" customFormat="1" x14ac:dyDescent="0.2">
      <c r="A241" s="287" t="s">
        <v>123</v>
      </c>
      <c r="B241" s="187">
        <v>45948</v>
      </c>
      <c r="C241" s="265">
        <v>45957</v>
      </c>
      <c r="D241" s="69" t="s">
        <v>183</v>
      </c>
      <c r="E241" s="333" t="s">
        <v>125</v>
      </c>
      <c r="F241" s="69" t="s">
        <v>2495</v>
      </c>
      <c r="G241" s="188" t="s">
        <v>126</v>
      </c>
      <c r="H241" s="354">
        <v>1000</v>
      </c>
      <c r="I241" s="71">
        <v>26</v>
      </c>
      <c r="J241" s="71"/>
      <c r="K241" s="71"/>
      <c r="L241" s="71"/>
      <c r="M241" s="71">
        <v>4</v>
      </c>
      <c r="N241" s="71"/>
      <c r="O241" s="71"/>
      <c r="P241" s="71">
        <v>1</v>
      </c>
      <c r="Q241" s="71"/>
      <c r="R241" s="72"/>
      <c r="S241" s="71"/>
      <c r="T241" s="71"/>
      <c r="U241" s="71"/>
      <c r="V241" s="71">
        <v>5</v>
      </c>
      <c r="W241" s="71">
        <v>1</v>
      </c>
      <c r="X241" s="71">
        <v>4</v>
      </c>
      <c r="Y241" s="71">
        <v>58</v>
      </c>
      <c r="Z241" s="71">
        <v>1</v>
      </c>
      <c r="AA241" s="71">
        <v>0</v>
      </c>
      <c r="AB241" s="73">
        <f>100/(SUM(I241:Z241))</f>
        <v>1</v>
      </c>
      <c r="AC241" s="259">
        <f>SUM(I241:AA241)</f>
        <v>100</v>
      </c>
      <c r="AD241" s="71"/>
      <c r="AE241" s="71"/>
      <c r="AF241" s="71"/>
      <c r="AG241" s="74" t="s">
        <v>155</v>
      </c>
      <c r="AH241" s="199" t="s">
        <v>2280</v>
      </c>
      <c r="AI241" s="75" t="s">
        <v>2281</v>
      </c>
      <c r="AJ241" s="75"/>
      <c r="AK241" s="69"/>
      <c r="AL241" s="74">
        <f>(B241-DATE(1970,1,1))*86400</f>
        <v>1760745600</v>
      </c>
      <c r="AM241" s="74">
        <f>(C241-DATE(1970,1,1))*86400</f>
        <v>1761523200</v>
      </c>
      <c r="AN241" s="74">
        <f>AVERAGE(AL241:AM241)</f>
        <v>1761134400</v>
      </c>
      <c r="AO241"/>
      <c r="AP241"/>
      <c r="AQ241"/>
      <c r="AR241"/>
      <c r="AS241"/>
      <c r="AT241"/>
      <c r="AU241"/>
      <c r="AV241"/>
      <c r="AW241"/>
      <c r="AX241"/>
      <c r="AY241"/>
      <c r="AZ241"/>
      <c r="BA241"/>
      <c r="BB241"/>
      <c r="BC241"/>
      <c r="BD241"/>
      <c r="BE241"/>
      <c r="BF241"/>
      <c r="BG241"/>
      <c r="BH241"/>
      <c r="BI241"/>
      <c r="BJ241"/>
      <c r="BK241"/>
      <c r="BL241"/>
      <c r="BM241"/>
    </row>
    <row r="242" spans="1:65" x14ac:dyDescent="0.2">
      <c r="A242" s="281" t="s">
        <v>133</v>
      </c>
      <c r="B242" s="240">
        <v>45933</v>
      </c>
      <c r="C242" s="240">
        <v>45967</v>
      </c>
      <c r="D242" s="53" t="s">
        <v>154</v>
      </c>
      <c r="E242" s="323" t="s">
        <v>125</v>
      </c>
      <c r="F242" s="53" t="s">
        <v>2496</v>
      </c>
      <c r="G242" s="53" t="s">
        <v>126</v>
      </c>
      <c r="H242" s="351">
        <v>1002</v>
      </c>
      <c r="I242" s="55">
        <v>28</v>
      </c>
      <c r="J242" s="55">
        <v>0</v>
      </c>
      <c r="K242" s="55">
        <v>0</v>
      </c>
      <c r="L242" s="55">
        <v>0</v>
      </c>
      <c r="M242" s="55">
        <v>8</v>
      </c>
      <c r="N242" s="55"/>
      <c r="O242" s="547">
        <v>0</v>
      </c>
      <c r="P242" s="547">
        <v>0</v>
      </c>
      <c r="Q242" s="55"/>
      <c r="R242" s="56"/>
      <c r="S242" s="547">
        <v>0</v>
      </c>
      <c r="T242" s="55"/>
      <c r="U242" s="547">
        <v>0</v>
      </c>
      <c r="V242" s="55">
        <v>3</v>
      </c>
      <c r="W242" s="55"/>
      <c r="X242" s="55">
        <v>1</v>
      </c>
      <c r="Y242" s="55">
        <v>34</v>
      </c>
      <c r="Z242" s="55">
        <v>1</v>
      </c>
      <c r="AA242" s="55">
        <v>25</v>
      </c>
      <c r="AB242" s="57">
        <f>100/(SUM(I242:Z242))</f>
        <v>1.3333333333333333</v>
      </c>
      <c r="AC242" s="259">
        <f>SUM(I242:AA242)</f>
        <v>100</v>
      </c>
      <c r="AD242" s="55" t="s">
        <v>355</v>
      </c>
      <c r="AE242" s="55"/>
      <c r="AF242" s="55"/>
      <c r="AG242" s="58" t="s">
        <v>136</v>
      </c>
      <c r="AH242" s="186" t="s">
        <v>2351</v>
      </c>
      <c r="AI242" s="59"/>
      <c r="AJ242" s="186"/>
      <c r="AK242" s="53" t="s">
        <v>138</v>
      </c>
      <c r="AL242" s="58">
        <f>(B242-DATE(1970,1,1))*86400</f>
        <v>1759449600</v>
      </c>
      <c r="AM242" s="58">
        <f>(C242-DATE(1970,1,1))*86400</f>
        <v>1762387200</v>
      </c>
      <c r="AN242" s="58">
        <f>AVERAGE(AL242:AM242)</f>
        <v>1760918400</v>
      </c>
    </row>
    <row r="243" spans="1:65" ht="15.75" customHeight="1" x14ac:dyDescent="0.2">
      <c r="A243" s="281" t="s">
        <v>123</v>
      </c>
      <c r="B243" s="240">
        <v>45933</v>
      </c>
      <c r="C243" s="240">
        <v>45967</v>
      </c>
      <c r="D243" s="53" t="s">
        <v>154</v>
      </c>
      <c r="E243" s="323" t="s">
        <v>125</v>
      </c>
      <c r="F243" s="53" t="s">
        <v>2496</v>
      </c>
      <c r="G243" s="53" t="s">
        <v>126</v>
      </c>
      <c r="H243" s="351">
        <v>1002</v>
      </c>
      <c r="I243" s="55">
        <v>30</v>
      </c>
      <c r="J243" s="55">
        <v>0</v>
      </c>
      <c r="K243" s="55">
        <v>0</v>
      </c>
      <c r="L243" s="55">
        <v>0</v>
      </c>
      <c r="M243" s="55">
        <v>8</v>
      </c>
      <c r="N243" s="55"/>
      <c r="O243" s="547">
        <v>0</v>
      </c>
      <c r="P243" s="547">
        <v>0</v>
      </c>
      <c r="Q243" s="55"/>
      <c r="R243" s="56"/>
      <c r="S243" s="547">
        <v>0</v>
      </c>
      <c r="T243" s="55"/>
      <c r="U243" s="547">
        <v>0</v>
      </c>
      <c r="V243" s="55">
        <v>4</v>
      </c>
      <c r="W243" s="55"/>
      <c r="X243" s="55">
        <v>1</v>
      </c>
      <c r="Y243" s="55">
        <v>38</v>
      </c>
      <c r="Z243" s="55">
        <v>1</v>
      </c>
      <c r="AA243" s="241">
        <v>19</v>
      </c>
      <c r="AB243" s="57">
        <f>100/(SUM(I243:Z243))</f>
        <v>1.2195121951219512</v>
      </c>
      <c r="AC243" s="259">
        <f>SUM(I243:AA243)</f>
        <v>101</v>
      </c>
      <c r="AD243" s="55"/>
      <c r="AE243" s="55"/>
      <c r="AF243" s="55"/>
      <c r="AG243" s="58" t="s">
        <v>136</v>
      </c>
      <c r="AH243" s="186" t="s">
        <v>2351</v>
      </c>
      <c r="AI243" s="59"/>
      <c r="AJ243" s="186"/>
      <c r="AK243" s="53" t="s">
        <v>138</v>
      </c>
      <c r="AL243" s="58">
        <f>(B243-DATE(1970,1,1))*86400</f>
        <v>1759449600</v>
      </c>
      <c r="AM243" s="58">
        <f>(C243-DATE(1970,1,1))*86400</f>
        <v>1762387200</v>
      </c>
      <c r="AN243" s="58">
        <f>AVERAGE(AL243:AM243)</f>
        <v>1760918400</v>
      </c>
    </row>
    <row r="244" spans="1:65" ht="15.75" customHeight="1" x14ac:dyDescent="0.2">
      <c r="A244" s="281" t="s">
        <v>123</v>
      </c>
      <c r="B244" s="240">
        <v>45933</v>
      </c>
      <c r="C244" s="240">
        <v>45967</v>
      </c>
      <c r="D244" s="53" t="s">
        <v>154</v>
      </c>
      <c r="E244" s="323" t="s">
        <v>125</v>
      </c>
      <c r="F244" s="53" t="s">
        <v>2496</v>
      </c>
      <c r="G244" s="53" t="s">
        <v>126</v>
      </c>
      <c r="H244" s="351">
        <v>1002</v>
      </c>
      <c r="I244" s="55">
        <v>38</v>
      </c>
      <c r="J244" s="55">
        <v>0</v>
      </c>
      <c r="K244" s="55">
        <v>0</v>
      </c>
      <c r="L244" s="55">
        <v>0</v>
      </c>
      <c r="M244" s="55">
        <v>10</v>
      </c>
      <c r="N244" s="55"/>
      <c r="O244" s="547">
        <v>0</v>
      </c>
      <c r="P244" s="547">
        <v>0</v>
      </c>
      <c r="Q244" s="55"/>
      <c r="R244" s="56"/>
      <c r="S244" s="547">
        <v>0</v>
      </c>
      <c r="T244" s="55"/>
      <c r="U244" s="547">
        <v>0</v>
      </c>
      <c r="V244" s="55">
        <v>4</v>
      </c>
      <c r="W244" s="55"/>
      <c r="X244" s="55">
        <v>1</v>
      </c>
      <c r="Y244" s="55">
        <v>48</v>
      </c>
      <c r="Z244" s="55">
        <v>0</v>
      </c>
      <c r="AA244" s="55">
        <v>0</v>
      </c>
      <c r="AB244" s="57">
        <f>100/(SUM(I244:Z244))</f>
        <v>0.99009900990099009</v>
      </c>
      <c r="AC244" s="259">
        <f>SUM(I244:AA244)</f>
        <v>101</v>
      </c>
      <c r="AD244" s="55"/>
      <c r="AE244" s="55"/>
      <c r="AF244" s="55"/>
      <c r="AG244" s="58" t="s">
        <v>136</v>
      </c>
      <c r="AH244" s="186" t="s">
        <v>2351</v>
      </c>
      <c r="AI244" s="59"/>
      <c r="AJ244" s="186"/>
      <c r="AK244" s="53" t="s">
        <v>138</v>
      </c>
      <c r="AL244" s="58">
        <f>(B244-DATE(1970,1,1))*86400</f>
        <v>1759449600</v>
      </c>
      <c r="AM244" s="58">
        <f>(C244-DATE(1970,1,1))*86400</f>
        <v>1762387200</v>
      </c>
      <c r="AN244" s="58">
        <f>AVERAGE(AL244:AM244)</f>
        <v>1760918400</v>
      </c>
    </row>
    <row r="245" spans="1:65" x14ac:dyDescent="0.2">
      <c r="A245" s="288" t="s">
        <v>133</v>
      </c>
      <c r="B245" s="60">
        <v>45946</v>
      </c>
      <c r="C245" s="60">
        <v>45952</v>
      </c>
      <c r="D245" s="61" t="s">
        <v>168</v>
      </c>
      <c r="E245" s="334" t="s">
        <v>125</v>
      </c>
      <c r="F245" s="218"/>
      <c r="G245" s="61" t="s">
        <v>126</v>
      </c>
      <c r="H245" s="334">
        <v>1000</v>
      </c>
      <c r="I245" s="63">
        <v>24</v>
      </c>
      <c r="J245" s="63">
        <v>0</v>
      </c>
      <c r="K245" s="63">
        <v>0</v>
      </c>
      <c r="L245" s="63">
        <v>0</v>
      </c>
      <c r="M245" s="63">
        <v>4</v>
      </c>
      <c r="N245" s="63"/>
      <c r="O245" s="63">
        <v>0</v>
      </c>
      <c r="P245" s="63">
        <v>1</v>
      </c>
      <c r="Q245" s="63"/>
      <c r="R245" s="64"/>
      <c r="S245" s="63"/>
      <c r="T245" s="63"/>
      <c r="U245" s="63"/>
      <c r="V245" s="63">
        <v>5</v>
      </c>
      <c r="W245" s="63"/>
      <c r="X245" s="63">
        <v>5</v>
      </c>
      <c r="Y245" s="63">
        <v>30</v>
      </c>
      <c r="Z245" s="63">
        <v>1</v>
      </c>
      <c r="AA245" s="63">
        <v>31</v>
      </c>
      <c r="AB245" s="65">
        <f>100/(SUM(I245:Z245))</f>
        <v>1.4285714285714286</v>
      </c>
      <c r="AC245" s="259">
        <f>SUM(I245:AA245)</f>
        <v>101</v>
      </c>
      <c r="AD245" s="63"/>
      <c r="AE245" s="64"/>
      <c r="AF245" s="64"/>
      <c r="AG245" s="66" t="s">
        <v>127</v>
      </c>
      <c r="AH245" s="200" t="s">
        <v>2237</v>
      </c>
      <c r="AI245" s="200" t="s">
        <v>2238</v>
      </c>
      <c r="AJ245" s="200" t="s">
        <v>2270</v>
      </c>
      <c r="AK245" s="61" t="s">
        <v>2236</v>
      </c>
      <c r="AL245" s="66">
        <f>(B245-DATE(1970,1,1))*86400</f>
        <v>1760572800</v>
      </c>
      <c r="AM245" s="66">
        <f>(C245-DATE(1970,1,1))*86400</f>
        <v>1761091200</v>
      </c>
      <c r="AN245" s="66">
        <f>AVERAGE(AL245:AM245)</f>
        <v>1760832000</v>
      </c>
    </row>
    <row r="246" spans="1:65" ht="15.75" customHeight="1" x14ac:dyDescent="0.2">
      <c r="A246" s="288" t="s">
        <v>133</v>
      </c>
      <c r="B246" s="60">
        <v>45946</v>
      </c>
      <c r="C246" s="60">
        <v>45952</v>
      </c>
      <c r="D246" s="61" t="s">
        <v>168</v>
      </c>
      <c r="E246" s="398">
        <v>1</v>
      </c>
      <c r="F246" s="218"/>
      <c r="G246" s="61" t="s">
        <v>126</v>
      </c>
      <c r="H246" s="334">
        <v>1000</v>
      </c>
      <c r="I246" s="63">
        <v>35</v>
      </c>
      <c r="J246" s="63">
        <v>0</v>
      </c>
      <c r="K246" s="63">
        <v>1</v>
      </c>
      <c r="L246" s="63">
        <v>1</v>
      </c>
      <c r="M246" s="63">
        <v>5</v>
      </c>
      <c r="N246" s="63"/>
      <c r="O246" s="63">
        <v>0</v>
      </c>
      <c r="P246" s="63">
        <v>1</v>
      </c>
      <c r="Q246" s="63"/>
      <c r="R246" s="64"/>
      <c r="S246" s="63"/>
      <c r="T246" s="63"/>
      <c r="U246" s="63"/>
      <c r="V246" s="63">
        <v>6</v>
      </c>
      <c r="W246" s="63"/>
      <c r="X246" s="63">
        <v>6</v>
      </c>
      <c r="Y246" s="63">
        <v>43</v>
      </c>
      <c r="Z246" s="63">
        <v>3</v>
      </c>
      <c r="AA246" s="63">
        <v>0</v>
      </c>
      <c r="AB246" s="65">
        <f>100/(SUM(I246:Z246))</f>
        <v>0.99009900990099009</v>
      </c>
      <c r="AC246" s="259">
        <f>SUM(I246:AA246)</f>
        <v>101</v>
      </c>
      <c r="AD246" s="63"/>
      <c r="AE246" s="64"/>
      <c r="AF246" s="64"/>
      <c r="AG246" s="66" t="s">
        <v>127</v>
      </c>
      <c r="AH246" s="200" t="s">
        <v>2237</v>
      </c>
      <c r="AI246" s="200" t="s">
        <v>2238</v>
      </c>
      <c r="AJ246" s="200" t="s">
        <v>2271</v>
      </c>
      <c r="AK246" s="61" t="s">
        <v>2317</v>
      </c>
      <c r="AL246" s="66">
        <f>(B246-DATE(1970,1,1))*86400</f>
        <v>1760572800</v>
      </c>
      <c r="AM246" s="66">
        <f>(C246-DATE(1970,1,1))*86400</f>
        <v>1761091200</v>
      </c>
      <c r="AN246" s="66">
        <f>AVERAGE(AL246:AM246)</f>
        <v>1760832000</v>
      </c>
    </row>
    <row r="247" spans="1:65" ht="15.75" customHeight="1" x14ac:dyDescent="0.2">
      <c r="A247" s="288" t="s">
        <v>123</v>
      </c>
      <c r="B247" s="60">
        <v>45946</v>
      </c>
      <c r="C247" s="60">
        <v>45952</v>
      </c>
      <c r="D247" s="61" t="s">
        <v>168</v>
      </c>
      <c r="E247" s="334" t="s">
        <v>125</v>
      </c>
      <c r="F247" s="218"/>
      <c r="G247" s="61" t="s">
        <v>126</v>
      </c>
      <c r="H247" s="334">
        <v>1000</v>
      </c>
      <c r="I247" s="63">
        <v>34</v>
      </c>
      <c r="J247" s="63">
        <v>0</v>
      </c>
      <c r="K247" s="63">
        <v>0</v>
      </c>
      <c r="L247" s="63">
        <v>0</v>
      </c>
      <c r="M247" s="63">
        <v>5</v>
      </c>
      <c r="N247" s="63"/>
      <c r="O247" s="63">
        <v>0</v>
      </c>
      <c r="P247" s="63">
        <v>0</v>
      </c>
      <c r="Q247" s="63"/>
      <c r="R247" s="64"/>
      <c r="S247" s="63"/>
      <c r="T247" s="63"/>
      <c r="U247" s="63"/>
      <c r="V247" s="63">
        <v>6</v>
      </c>
      <c r="W247" s="63"/>
      <c r="X247" s="63">
        <v>7</v>
      </c>
      <c r="Y247" s="63">
        <v>44</v>
      </c>
      <c r="Z247" s="63">
        <v>3</v>
      </c>
      <c r="AA247" s="63">
        <v>0</v>
      </c>
      <c r="AB247" s="65">
        <f>100/(SUM(I247:Z247))</f>
        <v>1.0101010101010102</v>
      </c>
      <c r="AC247" s="259">
        <f>SUM(I247:AA247)</f>
        <v>99</v>
      </c>
      <c r="AD247" s="63"/>
      <c r="AE247" s="64"/>
      <c r="AF247" s="64"/>
      <c r="AG247" s="66" t="s">
        <v>127</v>
      </c>
      <c r="AH247" s="200" t="s">
        <v>2237</v>
      </c>
      <c r="AI247" s="200" t="s">
        <v>2238</v>
      </c>
      <c r="AJ247" s="67"/>
      <c r="AK247" s="61" t="s">
        <v>138</v>
      </c>
      <c r="AL247" s="66">
        <f>(B247-DATE(1970,1,1))*86400</f>
        <v>1760572800</v>
      </c>
      <c r="AM247" s="66">
        <f>(C247-DATE(1970,1,1))*86400</f>
        <v>1761091200</v>
      </c>
      <c r="AN247" s="66">
        <f>AVERAGE(AL247:AM247)</f>
        <v>1760832000</v>
      </c>
    </row>
    <row r="248" spans="1:65" ht="15.75" customHeight="1" x14ac:dyDescent="0.2">
      <c r="A248" s="308" t="s">
        <v>133</v>
      </c>
      <c r="B248" s="147">
        <v>45925</v>
      </c>
      <c r="C248" s="147">
        <v>45970</v>
      </c>
      <c r="D248" s="146" t="s">
        <v>2443</v>
      </c>
      <c r="E248" s="346" t="s">
        <v>184</v>
      </c>
      <c r="F248" s="146"/>
      <c r="G248" s="146" t="s">
        <v>149</v>
      </c>
      <c r="H248" s="346">
        <v>5000</v>
      </c>
      <c r="I248" s="148">
        <v>29</v>
      </c>
      <c r="J248" s="148"/>
      <c r="K248" s="148"/>
      <c r="L248" s="148"/>
      <c r="M248" s="148"/>
      <c r="N248" s="148"/>
      <c r="O248" s="148"/>
      <c r="P248" s="148"/>
      <c r="Q248" s="148"/>
      <c r="R248" s="148"/>
      <c r="S248" s="148"/>
      <c r="T248" s="148"/>
      <c r="U248" s="148"/>
      <c r="V248" s="148"/>
      <c r="W248" s="148"/>
      <c r="X248" s="148">
        <v>5</v>
      </c>
      <c r="Y248" s="148">
        <v>32</v>
      </c>
      <c r="Z248" s="148">
        <v>12</v>
      </c>
      <c r="AA248" s="405">
        <v>22</v>
      </c>
      <c r="AB248" s="149">
        <f>100/(SUM(I248:Z248))</f>
        <v>1.2820512820512822</v>
      </c>
      <c r="AC248" s="259">
        <f>SUM(I248:AA248)</f>
        <v>100</v>
      </c>
      <c r="AD248" s="148"/>
      <c r="AE248" s="148"/>
      <c r="AF248" s="148"/>
      <c r="AG248" s="275" t="s">
        <v>2292</v>
      </c>
      <c r="AH248" s="151" t="s">
        <v>2291</v>
      </c>
      <c r="AI248" s="152" t="s">
        <v>2293</v>
      </c>
      <c r="AJ248" s="152"/>
      <c r="AK248" s="146" t="s">
        <v>1057</v>
      </c>
      <c r="AL248" s="150">
        <f>(B248-DATE(1970,1,1))*86400</f>
        <v>1758758400</v>
      </c>
      <c r="AM248" s="150">
        <f>(C248-DATE(1970,1,1))*86400</f>
        <v>1762646400</v>
      </c>
      <c r="AN248" s="150">
        <f>AVERAGE(AL248:AM248)</f>
        <v>1760702400</v>
      </c>
    </row>
    <row r="249" spans="1:65" ht="15.75" customHeight="1" x14ac:dyDescent="0.2">
      <c r="A249" s="296" t="s">
        <v>133</v>
      </c>
      <c r="B249" s="111">
        <v>45901</v>
      </c>
      <c r="C249" s="111">
        <v>45991</v>
      </c>
      <c r="D249" s="99" t="s">
        <v>276</v>
      </c>
      <c r="E249" s="326" t="s">
        <v>125</v>
      </c>
      <c r="F249" s="99"/>
      <c r="G249" s="99" t="s">
        <v>126</v>
      </c>
      <c r="H249" s="326">
        <v>5000</v>
      </c>
      <c r="I249" s="101">
        <v>31.08</v>
      </c>
      <c r="J249" s="101"/>
      <c r="K249" s="101"/>
      <c r="L249" s="101"/>
      <c r="M249" s="101">
        <v>2.04</v>
      </c>
      <c r="N249" s="101"/>
      <c r="O249" s="101"/>
      <c r="P249" s="101"/>
      <c r="Q249" s="101"/>
      <c r="R249" s="101"/>
      <c r="S249" s="101"/>
      <c r="T249" s="101"/>
      <c r="U249" s="101"/>
      <c r="V249" s="101">
        <v>2.96</v>
      </c>
      <c r="W249" s="101"/>
      <c r="X249" s="101">
        <v>5.08</v>
      </c>
      <c r="Y249" s="101">
        <v>37.92</v>
      </c>
      <c r="Z249" s="101">
        <v>1.48</v>
      </c>
      <c r="AA249" s="101">
        <v>19.600000000000001</v>
      </c>
      <c r="AB249" s="102">
        <f>100/(SUM(I249:Z249))</f>
        <v>1.2413108242303872</v>
      </c>
      <c r="AC249" s="259">
        <f>SUM(I249:AA249)</f>
        <v>100.16</v>
      </c>
      <c r="AD249" s="101">
        <v>82</v>
      </c>
      <c r="AE249" s="101">
        <v>6</v>
      </c>
      <c r="AF249" s="101">
        <v>5</v>
      </c>
      <c r="AG249" s="103" t="s">
        <v>127</v>
      </c>
      <c r="AH249" s="222" t="s">
        <v>2355</v>
      </c>
      <c r="AI249" s="104" t="s">
        <v>2356</v>
      </c>
      <c r="AJ249" s="222" t="s">
        <v>2358</v>
      </c>
      <c r="AK249" s="99" t="s">
        <v>2360</v>
      </c>
      <c r="AL249" s="103">
        <f>(B249-DATE(1970,1,1))*86400</f>
        <v>1756684800</v>
      </c>
      <c r="AM249" s="103">
        <f>(C249-DATE(1970,1,1))*86400</f>
        <v>1764460800</v>
      </c>
      <c r="AN249" s="103">
        <f>AVERAGE(AL249:AM249)</f>
        <v>1760572800</v>
      </c>
    </row>
    <row r="250" spans="1:65" ht="15.75" customHeight="1" x14ac:dyDescent="0.2">
      <c r="A250" s="296" t="s">
        <v>123</v>
      </c>
      <c r="B250" s="111">
        <v>45901</v>
      </c>
      <c r="C250" s="111">
        <v>45991</v>
      </c>
      <c r="D250" s="99" t="s">
        <v>276</v>
      </c>
      <c r="E250" s="326" t="s">
        <v>125</v>
      </c>
      <c r="F250" s="99"/>
      <c r="G250" s="99" t="s">
        <v>126</v>
      </c>
      <c r="H250" s="326">
        <v>5000</v>
      </c>
      <c r="I250" s="101">
        <v>32</v>
      </c>
      <c r="J250" s="101"/>
      <c r="K250" s="101"/>
      <c r="L250" s="101"/>
      <c r="M250" s="101">
        <v>2</v>
      </c>
      <c r="N250" s="101"/>
      <c r="O250" s="101"/>
      <c r="P250" s="101"/>
      <c r="Q250" s="101"/>
      <c r="R250" s="101"/>
      <c r="S250" s="101"/>
      <c r="T250" s="101"/>
      <c r="U250" s="101"/>
      <c r="V250" s="101">
        <v>3</v>
      </c>
      <c r="W250" s="101"/>
      <c r="X250" s="101">
        <v>5</v>
      </c>
      <c r="Y250" s="101">
        <v>42</v>
      </c>
      <c r="Z250" s="101">
        <v>1</v>
      </c>
      <c r="AA250" s="103">
        <v>15</v>
      </c>
      <c r="AB250" s="102">
        <f>100/(SUM(I250:Z250))</f>
        <v>1.1764705882352942</v>
      </c>
      <c r="AC250" s="259">
        <f>SUM(I250:AA250)</f>
        <v>100</v>
      </c>
      <c r="AD250" s="101"/>
      <c r="AE250" s="101"/>
      <c r="AF250" s="101"/>
      <c r="AG250" s="103" t="s">
        <v>127</v>
      </c>
      <c r="AH250" s="222" t="s">
        <v>2355</v>
      </c>
      <c r="AI250" s="104" t="s">
        <v>2356</v>
      </c>
      <c r="AJ250" s="222" t="s">
        <v>2357</v>
      </c>
      <c r="AK250" s="99" t="s">
        <v>2359</v>
      </c>
      <c r="AL250" s="103">
        <f>(B250-DATE(1970,1,1))*86400</f>
        <v>1756684800</v>
      </c>
      <c r="AM250" s="103">
        <f>(C250-DATE(1970,1,1))*86400</f>
        <v>1764460800</v>
      </c>
      <c r="AN250" s="103">
        <f>AVERAGE(AL250:AM250)</f>
        <v>1760572800</v>
      </c>
    </row>
    <row r="251" spans="1:65" ht="15.75" customHeight="1" x14ac:dyDescent="0.2">
      <c r="A251" s="406" t="s">
        <v>123</v>
      </c>
      <c r="B251" s="407">
        <v>45943</v>
      </c>
      <c r="C251" s="407">
        <v>45946</v>
      </c>
      <c r="D251" s="408" t="s">
        <v>227</v>
      </c>
      <c r="E251" s="409" t="s">
        <v>125</v>
      </c>
      <c r="F251" s="408"/>
      <c r="G251" s="408" t="s">
        <v>126</v>
      </c>
      <c r="H251" s="410">
        <v>1000</v>
      </c>
      <c r="I251" s="411">
        <v>47</v>
      </c>
      <c r="J251" s="411"/>
      <c r="K251" s="411"/>
      <c r="L251" s="411"/>
      <c r="M251" s="411">
        <v>2</v>
      </c>
      <c r="N251" s="411"/>
      <c r="O251" s="411"/>
      <c r="P251" s="411"/>
      <c r="Q251" s="411"/>
      <c r="R251" s="411"/>
      <c r="S251" s="411"/>
      <c r="T251" s="411"/>
      <c r="U251" s="411"/>
      <c r="V251" s="411">
        <v>3</v>
      </c>
      <c r="W251" s="411"/>
      <c r="X251" s="411">
        <v>6</v>
      </c>
      <c r="Y251" s="411">
        <v>42</v>
      </c>
      <c r="Z251" s="411"/>
      <c r="AA251" s="411">
        <v>0</v>
      </c>
      <c r="AB251" s="412">
        <f>100/(SUM(I251:Z251))</f>
        <v>1</v>
      </c>
      <c r="AC251" s="413">
        <f>SUM(I251:AA251)</f>
        <v>100</v>
      </c>
      <c r="AD251" s="411"/>
      <c r="AE251" s="411"/>
      <c r="AF251" s="411"/>
      <c r="AG251" s="414" t="s">
        <v>127</v>
      </c>
      <c r="AH251" s="415" t="s">
        <v>2225</v>
      </c>
      <c r="AI251" s="415" t="s">
        <v>2401</v>
      </c>
      <c r="AJ251" s="415" t="s">
        <v>2226</v>
      </c>
      <c r="AK251" s="408" t="s">
        <v>2234</v>
      </c>
      <c r="AL251" s="414">
        <f>(B251-DATE(1970,1,1))*86400</f>
        <v>1760313600</v>
      </c>
      <c r="AM251" s="414">
        <f>(C251-DATE(1970,1,1))*86400</f>
        <v>1760572800</v>
      </c>
      <c r="AN251" s="414">
        <f>AVERAGE(AL251:AM251)</f>
        <v>1760443200</v>
      </c>
    </row>
    <row r="252" spans="1:65" x14ac:dyDescent="0.2">
      <c r="A252" s="283" t="s">
        <v>123</v>
      </c>
      <c r="B252" s="28">
        <v>45943</v>
      </c>
      <c r="C252" s="28">
        <v>45944</v>
      </c>
      <c r="D252" s="27" t="s">
        <v>139</v>
      </c>
      <c r="E252" s="331" t="s">
        <v>125</v>
      </c>
      <c r="F252" s="27"/>
      <c r="G252" s="27" t="s">
        <v>126</v>
      </c>
      <c r="H252" s="352">
        <v>1000</v>
      </c>
      <c r="I252" s="29">
        <v>49</v>
      </c>
      <c r="J252" s="29"/>
      <c r="K252" s="29"/>
      <c r="L252" s="29"/>
      <c r="M252" s="29">
        <v>2</v>
      </c>
      <c r="N252" s="29"/>
      <c r="O252" s="29"/>
      <c r="P252" s="29"/>
      <c r="Q252" s="29"/>
      <c r="R252" s="29"/>
      <c r="S252" s="29"/>
      <c r="T252" s="29"/>
      <c r="U252" s="29"/>
      <c r="V252" s="29">
        <v>3</v>
      </c>
      <c r="W252" s="29"/>
      <c r="X252" s="29">
        <v>5</v>
      </c>
      <c r="Y252" s="29">
        <v>40</v>
      </c>
      <c r="Z252" s="29">
        <v>0</v>
      </c>
      <c r="AA252" s="29">
        <v>0</v>
      </c>
      <c r="AB252" s="30">
        <f>100/(SUM(I252:Z252))</f>
        <v>1.0101010101010102</v>
      </c>
      <c r="AC252" s="259">
        <f>SUM(I252:AA252)</f>
        <v>99</v>
      </c>
      <c r="AD252" s="29"/>
      <c r="AE252" s="29"/>
      <c r="AF252" s="29">
        <v>9</v>
      </c>
      <c r="AG252" s="31" t="s">
        <v>127</v>
      </c>
      <c r="AH252" s="198" t="s">
        <v>2227</v>
      </c>
      <c r="AI252" s="198" t="s">
        <v>2228</v>
      </c>
      <c r="AJ252" s="198" t="s">
        <v>2229</v>
      </c>
      <c r="AK252" s="27" t="s">
        <v>2255</v>
      </c>
      <c r="AL252" s="31">
        <f>(B252-DATE(1970,1,1))*86400</f>
        <v>1760313600</v>
      </c>
      <c r="AM252" s="31">
        <f>(C252-DATE(1970,1,1))*86400</f>
        <v>1760400000</v>
      </c>
      <c r="AN252" s="31">
        <f>AVERAGE(AL252:AM252)</f>
        <v>1760356800</v>
      </c>
    </row>
    <row r="253" spans="1:65" ht="15.75" customHeight="1" x14ac:dyDescent="0.2">
      <c r="A253" s="281" t="s">
        <v>133</v>
      </c>
      <c r="B253" s="240">
        <v>45936</v>
      </c>
      <c r="C253" s="240">
        <v>45943</v>
      </c>
      <c r="D253" s="53" t="s">
        <v>154</v>
      </c>
      <c r="E253" s="323" t="s">
        <v>125</v>
      </c>
      <c r="F253" s="53"/>
      <c r="G253" s="53" t="s">
        <v>126</v>
      </c>
      <c r="H253" s="351">
        <v>1000</v>
      </c>
      <c r="I253" s="55">
        <v>27</v>
      </c>
      <c r="J253" s="55">
        <v>0</v>
      </c>
      <c r="K253" s="55">
        <v>0</v>
      </c>
      <c r="L253" s="55">
        <v>0</v>
      </c>
      <c r="M253" s="55">
        <v>5</v>
      </c>
      <c r="N253" s="55"/>
      <c r="O253" s="55">
        <v>0</v>
      </c>
      <c r="P253" s="55">
        <v>0</v>
      </c>
      <c r="Q253" s="55"/>
      <c r="R253" s="56"/>
      <c r="S253" s="55">
        <v>0</v>
      </c>
      <c r="T253" s="55"/>
      <c r="U253" s="55">
        <v>0</v>
      </c>
      <c r="V253" s="55">
        <v>2</v>
      </c>
      <c r="W253" s="55"/>
      <c r="X253" s="55">
        <v>4</v>
      </c>
      <c r="Y253" s="55">
        <v>32</v>
      </c>
      <c r="Z253" s="55"/>
      <c r="AA253" s="55">
        <v>29</v>
      </c>
      <c r="AB253" s="57">
        <f>100/(SUM(I253:Z253))</f>
        <v>1.4285714285714286</v>
      </c>
      <c r="AC253" s="259">
        <f>SUM(I253:AA253)</f>
        <v>99</v>
      </c>
      <c r="AD253" s="55" t="s">
        <v>355</v>
      </c>
      <c r="AE253" s="55"/>
      <c r="AF253" s="55"/>
      <c r="AG253" s="58" t="s">
        <v>155</v>
      </c>
      <c r="AH253" s="59" t="s">
        <v>2206</v>
      </c>
      <c r="AI253" s="59" t="s">
        <v>2205</v>
      </c>
      <c r="AJ253" s="186" t="s">
        <v>2207</v>
      </c>
      <c r="AK253" s="53" t="s">
        <v>138</v>
      </c>
      <c r="AL253" s="58">
        <f>(B253-DATE(1970,1,1))*86400</f>
        <v>1759708800</v>
      </c>
      <c r="AM253" s="58">
        <f>(C253-DATE(1970,1,1))*86400</f>
        <v>1760313600</v>
      </c>
      <c r="AN253" s="58">
        <f>AVERAGE(AL253:AM253)</f>
        <v>1760011200</v>
      </c>
    </row>
    <row r="254" spans="1:65" ht="15.75" customHeight="1" x14ac:dyDescent="0.2">
      <c r="A254" s="281" t="s">
        <v>123</v>
      </c>
      <c r="B254" s="240">
        <v>45936</v>
      </c>
      <c r="C254" s="240">
        <v>45943</v>
      </c>
      <c r="D254" s="53" t="s">
        <v>154</v>
      </c>
      <c r="E254" s="323" t="s">
        <v>125</v>
      </c>
      <c r="F254" s="53"/>
      <c r="G254" s="53" t="s">
        <v>126</v>
      </c>
      <c r="H254" s="351">
        <v>1000</v>
      </c>
      <c r="I254" s="55">
        <v>31</v>
      </c>
      <c r="J254" s="55">
        <v>0</v>
      </c>
      <c r="K254" s="55">
        <v>0</v>
      </c>
      <c r="L254" s="55">
        <v>0</v>
      </c>
      <c r="M254" s="55">
        <v>6</v>
      </c>
      <c r="N254" s="55"/>
      <c r="O254" s="55">
        <v>0</v>
      </c>
      <c r="P254" s="55">
        <v>0</v>
      </c>
      <c r="Q254" s="55"/>
      <c r="R254" s="56"/>
      <c r="S254" s="55">
        <v>0</v>
      </c>
      <c r="T254" s="55"/>
      <c r="U254" s="55">
        <v>1</v>
      </c>
      <c r="V254" s="55">
        <v>2</v>
      </c>
      <c r="W254" s="55"/>
      <c r="X254" s="55">
        <v>5</v>
      </c>
      <c r="Y254" s="55">
        <v>35</v>
      </c>
      <c r="Z254" s="55"/>
      <c r="AA254" s="241">
        <v>21</v>
      </c>
      <c r="AB254" s="57">
        <f>100/(SUM(I254:Z254))</f>
        <v>1.25</v>
      </c>
      <c r="AC254" s="259">
        <f>SUM(I254:AA254)</f>
        <v>101</v>
      </c>
      <c r="AD254" s="55"/>
      <c r="AE254" s="55"/>
      <c r="AF254" s="55"/>
      <c r="AG254" s="58" t="s">
        <v>155</v>
      </c>
      <c r="AH254" s="59" t="s">
        <v>2206</v>
      </c>
      <c r="AI254" s="59" t="s">
        <v>2205</v>
      </c>
      <c r="AJ254" s="186" t="s">
        <v>2207</v>
      </c>
      <c r="AK254" s="53" t="s">
        <v>138</v>
      </c>
      <c r="AL254" s="58">
        <f>(B254-DATE(1970,1,1))*86400</f>
        <v>1759708800</v>
      </c>
      <c r="AM254" s="58">
        <f>(C254-DATE(1970,1,1))*86400</f>
        <v>1760313600</v>
      </c>
      <c r="AN254" s="58">
        <f>AVERAGE(AL254:AM254)</f>
        <v>1760011200</v>
      </c>
    </row>
    <row r="255" spans="1:65" ht="15.75" customHeight="1" x14ac:dyDescent="0.2">
      <c r="A255" s="281" t="s">
        <v>123</v>
      </c>
      <c r="B255" s="240">
        <v>45936</v>
      </c>
      <c r="C255" s="240">
        <v>45943</v>
      </c>
      <c r="D255" s="53" t="s">
        <v>154</v>
      </c>
      <c r="E255" s="323" t="s">
        <v>125</v>
      </c>
      <c r="F255" s="53"/>
      <c r="G255" s="53" t="s">
        <v>126</v>
      </c>
      <c r="H255" s="351">
        <v>1000</v>
      </c>
      <c r="I255" s="55">
        <v>38</v>
      </c>
      <c r="J255" s="55">
        <v>1</v>
      </c>
      <c r="K255" s="55">
        <v>0</v>
      </c>
      <c r="L255" s="55">
        <v>0</v>
      </c>
      <c r="M255" s="55">
        <v>7</v>
      </c>
      <c r="N255" s="55"/>
      <c r="O255" s="55">
        <v>0</v>
      </c>
      <c r="P255" s="55">
        <v>0</v>
      </c>
      <c r="Q255" s="55"/>
      <c r="R255" s="56"/>
      <c r="S255" s="55">
        <v>0</v>
      </c>
      <c r="T255" s="55"/>
      <c r="U255" s="55">
        <v>1</v>
      </c>
      <c r="V255" s="55">
        <v>4</v>
      </c>
      <c r="W255" s="55"/>
      <c r="X255" s="55">
        <v>5</v>
      </c>
      <c r="Y255" s="55">
        <v>45</v>
      </c>
      <c r="Z255" s="55"/>
      <c r="AA255" s="55">
        <v>0</v>
      </c>
      <c r="AB255" s="57">
        <f>100/(SUM(I255:Z255))</f>
        <v>0.99009900990099009</v>
      </c>
      <c r="AC255" s="259">
        <f>SUM(I255:AA255)</f>
        <v>101</v>
      </c>
      <c r="AD255" s="55"/>
      <c r="AE255" s="55"/>
      <c r="AF255" s="55"/>
      <c r="AG255" s="58" t="s">
        <v>155</v>
      </c>
      <c r="AH255" s="59" t="s">
        <v>2206</v>
      </c>
      <c r="AI255" s="59" t="s">
        <v>2205</v>
      </c>
      <c r="AJ255" s="186" t="s">
        <v>2207</v>
      </c>
      <c r="AK255" s="53" t="s">
        <v>2231</v>
      </c>
      <c r="AL255" s="58">
        <f>(B255-DATE(1970,1,1))*86400</f>
        <v>1759708800</v>
      </c>
      <c r="AM255" s="58">
        <f>(C255-DATE(1970,1,1))*86400</f>
        <v>1760313600</v>
      </c>
      <c r="AN255" s="58">
        <f>AVERAGE(AL255:AM255)</f>
        <v>1760011200</v>
      </c>
    </row>
    <row r="256" spans="1:65" ht="15.75" customHeight="1" x14ac:dyDescent="0.2">
      <c r="A256" s="293" t="s">
        <v>133</v>
      </c>
      <c r="B256" s="233">
        <v>45934</v>
      </c>
      <c r="C256" s="233">
        <v>45943</v>
      </c>
      <c r="D256" s="232" t="s">
        <v>1936</v>
      </c>
      <c r="E256" s="338" t="s">
        <v>184</v>
      </c>
      <c r="F256" s="232"/>
      <c r="G256" s="232" t="s">
        <v>135</v>
      </c>
      <c r="H256" s="359">
        <v>1000</v>
      </c>
      <c r="I256" s="234">
        <v>25</v>
      </c>
      <c r="J256" s="234">
        <v>3</v>
      </c>
      <c r="K256" s="234"/>
      <c r="L256" s="234"/>
      <c r="M256" s="234">
        <v>3</v>
      </c>
      <c r="N256" s="234"/>
      <c r="O256" s="234"/>
      <c r="P256" s="234"/>
      <c r="Q256" s="234"/>
      <c r="R256" s="235"/>
      <c r="S256" s="234"/>
      <c r="T256" s="234"/>
      <c r="U256" s="234"/>
      <c r="V256" s="234">
        <v>3</v>
      </c>
      <c r="W256" s="234"/>
      <c r="X256" s="234">
        <v>4</v>
      </c>
      <c r="Y256" s="234">
        <v>33</v>
      </c>
      <c r="Z256" s="234"/>
      <c r="AA256" s="404">
        <v>29</v>
      </c>
      <c r="AB256" s="236">
        <f>100/(SUM(I256:Z256))</f>
        <v>1.408450704225352</v>
      </c>
      <c r="AC256" s="259">
        <f>SUM(I256:AA256)</f>
        <v>100</v>
      </c>
      <c r="AD256" s="234"/>
      <c r="AE256" s="234"/>
      <c r="AF256" s="234"/>
      <c r="AG256" s="237" t="s">
        <v>391</v>
      </c>
      <c r="AH256" s="238" t="s">
        <v>2246</v>
      </c>
      <c r="AI256" s="239" t="s">
        <v>2259</v>
      </c>
      <c r="AJ256" s="238" t="s">
        <v>2258</v>
      </c>
      <c r="AK256" s="232" t="s">
        <v>2248</v>
      </c>
      <c r="AL256" s="237">
        <f>(B256-DATE(1970,1,1))*86400</f>
        <v>1759536000</v>
      </c>
      <c r="AM256" s="237">
        <f>(C256-DATE(1970,1,1))*86400</f>
        <v>1760313600</v>
      </c>
      <c r="AN256" s="237">
        <f>AVERAGE(AL256:AM256)</f>
        <v>1759924800</v>
      </c>
    </row>
    <row r="257" spans="1:65" ht="15.75" customHeight="1" x14ac:dyDescent="0.2">
      <c r="A257" s="293" t="s">
        <v>123</v>
      </c>
      <c r="B257" s="233">
        <v>45934</v>
      </c>
      <c r="C257" s="233">
        <v>45943</v>
      </c>
      <c r="D257" s="232" t="s">
        <v>1936</v>
      </c>
      <c r="E257" s="338" t="s">
        <v>184</v>
      </c>
      <c r="F257" s="232"/>
      <c r="G257" s="232" t="s">
        <v>135</v>
      </c>
      <c r="H257" s="359">
        <v>1000</v>
      </c>
      <c r="I257" s="234">
        <v>32</v>
      </c>
      <c r="J257" s="234">
        <v>3</v>
      </c>
      <c r="K257" s="234"/>
      <c r="L257" s="234"/>
      <c r="M257" s="234">
        <v>4</v>
      </c>
      <c r="N257" s="234"/>
      <c r="O257" s="234"/>
      <c r="P257" s="234"/>
      <c r="Q257" s="234"/>
      <c r="R257" s="235"/>
      <c r="S257" s="234"/>
      <c r="T257" s="234"/>
      <c r="U257" s="234"/>
      <c r="V257" s="234">
        <v>3</v>
      </c>
      <c r="W257" s="234"/>
      <c r="X257" s="234">
        <v>5</v>
      </c>
      <c r="Y257" s="234">
        <v>39</v>
      </c>
      <c r="Z257" s="234"/>
      <c r="AA257" s="404">
        <v>14</v>
      </c>
      <c r="AB257" s="236">
        <f>100/(SUM(I257:Z257))</f>
        <v>1.1627906976744187</v>
      </c>
      <c r="AC257" s="259">
        <f>SUM(I257:AA257)</f>
        <v>100</v>
      </c>
      <c r="AD257" s="234"/>
      <c r="AE257" s="234"/>
      <c r="AF257" s="234"/>
      <c r="AG257" s="237" t="s">
        <v>391</v>
      </c>
      <c r="AH257" s="238" t="s">
        <v>2246</v>
      </c>
      <c r="AI257" s="239" t="s">
        <v>2259</v>
      </c>
      <c r="AJ257" s="238" t="s">
        <v>2258</v>
      </c>
      <c r="AK257" s="232"/>
      <c r="AL257" s="237">
        <f>(B257-DATE(1970,1,1))*86400</f>
        <v>1759536000</v>
      </c>
      <c r="AM257" s="237">
        <f>(C257-DATE(1970,1,1))*86400</f>
        <v>1760313600</v>
      </c>
      <c r="AN257" s="237">
        <f>AVERAGE(AL257:AM257)</f>
        <v>1759924800</v>
      </c>
    </row>
    <row r="258" spans="1:65" x14ac:dyDescent="0.2">
      <c r="A258" s="279" t="s">
        <v>133</v>
      </c>
      <c r="B258" s="14">
        <v>45936</v>
      </c>
      <c r="C258" s="14">
        <v>45938</v>
      </c>
      <c r="D258" s="13" t="s">
        <v>2288</v>
      </c>
      <c r="E258" s="324" t="s">
        <v>125</v>
      </c>
      <c r="F258" s="13"/>
      <c r="G258" s="13" t="s">
        <v>126</v>
      </c>
      <c r="H258" s="349">
        <v>1000</v>
      </c>
      <c r="I258" s="15">
        <v>39</v>
      </c>
      <c r="J258" s="15"/>
      <c r="K258" s="15"/>
      <c r="L258" s="15"/>
      <c r="M258" s="15">
        <v>2</v>
      </c>
      <c r="N258" s="15"/>
      <c r="O258" s="15"/>
      <c r="P258" s="15"/>
      <c r="Q258" s="15"/>
      <c r="R258" s="15"/>
      <c r="S258" s="15"/>
      <c r="T258" s="15"/>
      <c r="U258" s="15"/>
      <c r="V258" s="15">
        <v>4</v>
      </c>
      <c r="W258" s="15"/>
      <c r="X258" s="15">
        <v>5</v>
      </c>
      <c r="Y258" s="15">
        <v>35</v>
      </c>
      <c r="Z258" s="98"/>
      <c r="AA258" s="98">
        <v>15</v>
      </c>
      <c r="AB258" s="16">
        <f>100/(SUM(I258:Z258))</f>
        <v>1.1764705882352942</v>
      </c>
      <c r="AC258" s="259">
        <f>SUM(I258:AA258)</f>
        <v>100</v>
      </c>
      <c r="AD258" s="15"/>
      <c r="AE258" s="15"/>
      <c r="AF258" s="15"/>
      <c r="AG258" s="17" t="s">
        <v>2221</v>
      </c>
      <c r="AH258" s="201" t="s">
        <v>2201</v>
      </c>
      <c r="AI258" s="201" t="s">
        <v>2277</v>
      </c>
      <c r="AJ258" s="18"/>
      <c r="AK258" s="13" t="s">
        <v>2203</v>
      </c>
      <c r="AL258" s="17">
        <f>(B258-DATE(1970,1,1))*86400</f>
        <v>1759708800</v>
      </c>
      <c r="AM258" s="17">
        <f>(C258-DATE(1970,1,1))*86400</f>
        <v>1759881600</v>
      </c>
      <c r="AN258" s="17">
        <f>AVERAGE(AL258:AM258)</f>
        <v>1759795200</v>
      </c>
    </row>
    <row r="259" spans="1:65" s="6" customFormat="1" x14ac:dyDescent="0.2">
      <c r="A259" s="279" t="s">
        <v>123</v>
      </c>
      <c r="B259" s="14">
        <v>45936</v>
      </c>
      <c r="C259" s="14">
        <v>45938</v>
      </c>
      <c r="D259" s="13" t="s">
        <v>2288</v>
      </c>
      <c r="E259" s="401">
        <v>1</v>
      </c>
      <c r="F259" s="13"/>
      <c r="G259" s="13" t="s">
        <v>126</v>
      </c>
      <c r="H259" s="349">
        <v>1000</v>
      </c>
      <c r="I259" s="15">
        <v>44</v>
      </c>
      <c r="J259" s="15"/>
      <c r="K259" s="15"/>
      <c r="L259" s="15"/>
      <c r="M259" s="15">
        <v>3</v>
      </c>
      <c r="N259" s="15"/>
      <c r="O259" s="15"/>
      <c r="P259" s="15"/>
      <c r="Q259" s="15"/>
      <c r="R259" s="15"/>
      <c r="S259" s="15"/>
      <c r="T259" s="15"/>
      <c r="U259" s="15"/>
      <c r="V259" s="15">
        <v>5</v>
      </c>
      <c r="W259" s="15"/>
      <c r="X259" s="15">
        <v>7</v>
      </c>
      <c r="Y259" s="15">
        <v>41</v>
      </c>
      <c r="Z259" s="98"/>
      <c r="AA259" s="397">
        <v>0</v>
      </c>
      <c r="AB259" s="16">
        <f>100/(SUM(I259:Z259))</f>
        <v>1</v>
      </c>
      <c r="AC259" s="259">
        <f>SUM(I259:AA259)</f>
        <v>100</v>
      </c>
      <c r="AD259" s="15"/>
      <c r="AE259" s="15"/>
      <c r="AF259" s="15"/>
      <c r="AG259" s="17" t="s">
        <v>2221</v>
      </c>
      <c r="AH259" s="201" t="s">
        <v>2201</v>
      </c>
      <c r="AI259" s="201"/>
      <c r="AJ259" s="18"/>
      <c r="AK259" s="13" t="s">
        <v>2230</v>
      </c>
      <c r="AL259" s="17">
        <f>(B259-DATE(1970,1,1))*86400</f>
        <v>1759708800</v>
      </c>
      <c r="AM259" s="17">
        <f>(C259-DATE(1970,1,1))*86400</f>
        <v>1759881600</v>
      </c>
      <c r="AN259" s="17">
        <f>AVERAGE(AL259:AM259)</f>
        <v>1759795200</v>
      </c>
      <c r="AO259"/>
      <c r="AP259"/>
      <c r="AQ259"/>
      <c r="AR259"/>
      <c r="AS259"/>
      <c r="AT259"/>
      <c r="AU259"/>
      <c r="AV259"/>
      <c r="AW259"/>
      <c r="AX259"/>
      <c r="AY259"/>
      <c r="AZ259"/>
      <c r="BA259"/>
      <c r="BB259"/>
      <c r="BC259"/>
      <c r="BD259"/>
      <c r="BE259"/>
      <c r="BF259"/>
      <c r="BG259"/>
      <c r="BH259"/>
      <c r="BI259"/>
      <c r="BJ259"/>
      <c r="BK259"/>
      <c r="BL259"/>
      <c r="BM259"/>
    </row>
    <row r="260" spans="1:65" ht="15.75" customHeight="1" x14ac:dyDescent="0.2">
      <c r="A260" s="287" t="s">
        <v>133</v>
      </c>
      <c r="B260" s="187">
        <v>45933</v>
      </c>
      <c r="C260" s="265">
        <v>45940</v>
      </c>
      <c r="D260" s="69" t="s">
        <v>183</v>
      </c>
      <c r="E260" s="333" t="s">
        <v>125</v>
      </c>
      <c r="F260" s="69"/>
      <c r="G260" s="188" t="s">
        <v>597</v>
      </c>
      <c r="H260" s="354">
        <v>1000</v>
      </c>
      <c r="I260" s="71">
        <v>26</v>
      </c>
      <c r="J260" s="71"/>
      <c r="K260" s="71"/>
      <c r="L260" s="71"/>
      <c r="M260" s="71">
        <v>2</v>
      </c>
      <c r="N260" s="71"/>
      <c r="O260" s="71"/>
      <c r="P260" s="71"/>
      <c r="Q260" s="71"/>
      <c r="R260" s="72"/>
      <c r="S260" s="71"/>
      <c r="T260" s="71"/>
      <c r="U260" s="71"/>
      <c r="V260" s="71">
        <v>1</v>
      </c>
      <c r="W260" s="71"/>
      <c r="X260" s="71">
        <v>5</v>
      </c>
      <c r="Y260" s="71">
        <v>33</v>
      </c>
      <c r="Z260" s="71">
        <v>1</v>
      </c>
      <c r="AA260" s="71">
        <v>32</v>
      </c>
      <c r="AB260" s="73">
        <f>100/(SUM(I260:Z260))</f>
        <v>1.4705882352941178</v>
      </c>
      <c r="AC260" s="259">
        <f>SUM(I260:AA260)</f>
        <v>100</v>
      </c>
      <c r="AD260" s="71"/>
      <c r="AE260" s="71">
        <v>6.8</v>
      </c>
      <c r="AF260" s="71">
        <v>16.3</v>
      </c>
      <c r="AG260" s="74" t="s">
        <v>1892</v>
      </c>
      <c r="AH260" s="199" t="s">
        <v>2202</v>
      </c>
      <c r="AI260" s="221"/>
      <c r="AJ260" s="75"/>
      <c r="AK260" s="69" t="s">
        <v>2203</v>
      </c>
      <c r="AL260" s="74">
        <f>(B260-DATE(1970,1,1))*86400</f>
        <v>1759449600</v>
      </c>
      <c r="AM260" s="74">
        <f>(C260-DATE(1970,1,1))*86400</f>
        <v>1760054400</v>
      </c>
      <c r="AN260" s="74">
        <f>AVERAGE(AL260:AM260)</f>
        <v>1759752000</v>
      </c>
    </row>
    <row r="261" spans="1:65" ht="15.75" customHeight="1" x14ac:dyDescent="0.2">
      <c r="A261" s="287" t="s">
        <v>133</v>
      </c>
      <c r="B261" s="187">
        <v>45933</v>
      </c>
      <c r="C261" s="265">
        <v>45940</v>
      </c>
      <c r="D261" s="69" t="s">
        <v>183</v>
      </c>
      <c r="E261" s="400">
        <v>1</v>
      </c>
      <c r="F261" s="69"/>
      <c r="G261" s="188" t="s">
        <v>597</v>
      </c>
      <c r="H261" s="354">
        <v>1000</v>
      </c>
      <c r="I261" s="71">
        <v>38</v>
      </c>
      <c r="J261" s="71"/>
      <c r="K261" s="71"/>
      <c r="L261" s="71"/>
      <c r="M261" s="71">
        <v>3</v>
      </c>
      <c r="N261" s="71"/>
      <c r="O261" s="71"/>
      <c r="P261" s="71"/>
      <c r="Q261" s="71"/>
      <c r="R261" s="72"/>
      <c r="S261" s="71"/>
      <c r="T261" s="71"/>
      <c r="U261" s="71"/>
      <c r="V261" s="71">
        <v>2</v>
      </c>
      <c r="W261" s="71"/>
      <c r="X261" s="71">
        <v>8</v>
      </c>
      <c r="Y261" s="71">
        <v>48</v>
      </c>
      <c r="Z261" s="71">
        <v>1</v>
      </c>
      <c r="AA261" s="71">
        <v>0</v>
      </c>
      <c r="AB261" s="73">
        <f>100/(SUM(I261:Z261))</f>
        <v>1</v>
      </c>
      <c r="AC261" s="259">
        <f>SUM(I261:AA261)</f>
        <v>100</v>
      </c>
      <c r="AD261" s="71"/>
      <c r="AE261" s="71"/>
      <c r="AF261" s="71"/>
      <c r="AG261" s="74" t="s">
        <v>1892</v>
      </c>
      <c r="AH261" s="199" t="s">
        <v>2202</v>
      </c>
      <c r="AI261" s="75"/>
      <c r="AJ261" s="75"/>
      <c r="AK261" s="69" t="s">
        <v>2232</v>
      </c>
      <c r="AL261" s="74">
        <f>(B261-DATE(1970,1,1))*86400</f>
        <v>1759449600</v>
      </c>
      <c r="AM261" s="74">
        <f>(C261-DATE(1970,1,1))*86400</f>
        <v>1760054400</v>
      </c>
      <c r="AN261" s="74">
        <f>AVERAGE(AL261:AM261)</f>
        <v>1759752000</v>
      </c>
    </row>
    <row r="262" spans="1:65" x14ac:dyDescent="0.2">
      <c r="A262" s="287" t="s">
        <v>123</v>
      </c>
      <c r="B262" s="187">
        <v>45933</v>
      </c>
      <c r="C262" s="265">
        <v>45940</v>
      </c>
      <c r="D262" s="69" t="s">
        <v>183</v>
      </c>
      <c r="E262" s="400">
        <v>1</v>
      </c>
      <c r="F262" s="69"/>
      <c r="G262" s="188" t="s">
        <v>597</v>
      </c>
      <c r="H262" s="354">
        <v>1000</v>
      </c>
      <c r="I262" s="71">
        <v>35</v>
      </c>
      <c r="J262" s="71"/>
      <c r="K262" s="71"/>
      <c r="L262" s="71"/>
      <c r="M262" s="71">
        <v>3</v>
      </c>
      <c r="N262" s="71"/>
      <c r="O262" s="71"/>
      <c r="P262" s="71"/>
      <c r="Q262" s="71"/>
      <c r="R262" s="72"/>
      <c r="S262" s="71"/>
      <c r="T262" s="71"/>
      <c r="U262" s="71"/>
      <c r="V262" s="71">
        <v>2</v>
      </c>
      <c r="W262" s="71"/>
      <c r="X262" s="71">
        <v>6</v>
      </c>
      <c r="Y262" s="71">
        <v>53</v>
      </c>
      <c r="Z262" s="71">
        <v>1</v>
      </c>
      <c r="AA262" s="71">
        <v>0</v>
      </c>
      <c r="AB262" s="73">
        <f>100/(SUM(I262:Z262))</f>
        <v>1</v>
      </c>
      <c r="AC262" s="259">
        <f>SUM(I262:AA262)</f>
        <v>100</v>
      </c>
      <c r="AD262" s="71"/>
      <c r="AE262" s="71"/>
      <c r="AF262" s="71"/>
      <c r="AG262" s="74" t="s">
        <v>1892</v>
      </c>
      <c r="AH262" s="199" t="s">
        <v>2202</v>
      </c>
      <c r="AI262" s="75"/>
      <c r="AJ262" s="75"/>
      <c r="AK262" s="69" t="s">
        <v>2204</v>
      </c>
      <c r="AL262" s="74">
        <f>(B262-DATE(1970,1,1))*86400</f>
        <v>1759449600</v>
      </c>
      <c r="AM262" s="74">
        <f>(C262-DATE(1970,1,1))*86400</f>
        <v>1760054400</v>
      </c>
      <c r="AN262" s="74">
        <f>AVERAGE(AL262:AM262)</f>
        <v>1759752000</v>
      </c>
    </row>
    <row r="263" spans="1:65" ht="15.75" customHeight="1" x14ac:dyDescent="0.2">
      <c r="A263" s="284" t="s">
        <v>133</v>
      </c>
      <c r="B263" s="20">
        <v>45930</v>
      </c>
      <c r="C263" s="20">
        <v>45937</v>
      </c>
      <c r="D263" s="19" t="s">
        <v>134</v>
      </c>
      <c r="E263" s="332" t="s">
        <v>125</v>
      </c>
      <c r="F263" s="19"/>
      <c r="G263" s="19" t="s">
        <v>135</v>
      </c>
      <c r="H263" s="332">
        <v>1500</v>
      </c>
      <c r="I263" s="21">
        <v>27</v>
      </c>
      <c r="J263" s="21">
        <v>0</v>
      </c>
      <c r="K263" s="21">
        <v>0</v>
      </c>
      <c r="L263" s="21">
        <v>0</v>
      </c>
      <c r="M263" s="21">
        <v>4</v>
      </c>
      <c r="N263" s="21"/>
      <c r="O263" s="21">
        <v>0</v>
      </c>
      <c r="P263" s="21">
        <v>0</v>
      </c>
      <c r="Q263" s="21"/>
      <c r="R263" s="22"/>
      <c r="S263" s="21">
        <v>0</v>
      </c>
      <c r="T263" s="21">
        <v>0</v>
      </c>
      <c r="U263" s="21"/>
      <c r="V263" s="21">
        <v>2</v>
      </c>
      <c r="W263" s="21">
        <v>1</v>
      </c>
      <c r="X263" s="21">
        <v>3</v>
      </c>
      <c r="Y263" s="21">
        <v>37</v>
      </c>
      <c r="Z263" s="21">
        <v>1</v>
      </c>
      <c r="AA263" s="21">
        <v>25</v>
      </c>
      <c r="AB263" s="23">
        <f>100/(SUM(I263:Z263))</f>
        <v>1.3333333333333333</v>
      </c>
      <c r="AC263" s="259">
        <f>SUM(I263:AA263)</f>
        <v>100</v>
      </c>
      <c r="AD263" s="21"/>
      <c r="AE263" s="24"/>
      <c r="AF263" s="24"/>
      <c r="AG263" s="25" t="s">
        <v>136</v>
      </c>
      <c r="AH263" s="26" t="s">
        <v>2209</v>
      </c>
      <c r="AI263" s="26" t="s">
        <v>2208</v>
      </c>
      <c r="AJ263" s="219" t="s">
        <v>2235</v>
      </c>
      <c r="AK263" s="19" t="s">
        <v>138</v>
      </c>
      <c r="AL263" s="25">
        <f>(B263-DATE(1970,1,1))*86400</f>
        <v>1759190400</v>
      </c>
      <c r="AM263" s="25">
        <f>(C263-DATE(1970,1,1))*86400</f>
        <v>1759795200</v>
      </c>
      <c r="AN263" s="25">
        <f>AVERAGE(AL263:AM263)</f>
        <v>1759492800</v>
      </c>
    </row>
    <row r="264" spans="1:65" s="6" customFormat="1" x14ac:dyDescent="0.2">
      <c r="A264" s="284" t="s">
        <v>123</v>
      </c>
      <c r="B264" s="20">
        <v>45930</v>
      </c>
      <c r="C264" s="20">
        <v>45937</v>
      </c>
      <c r="D264" s="19" t="s">
        <v>134</v>
      </c>
      <c r="E264" s="332" t="s">
        <v>125</v>
      </c>
      <c r="F264" s="19"/>
      <c r="G264" s="19" t="s">
        <v>135</v>
      </c>
      <c r="H264" s="332">
        <v>1500</v>
      </c>
      <c r="I264" s="21">
        <v>38</v>
      </c>
      <c r="J264" s="21">
        <v>0</v>
      </c>
      <c r="K264" s="21">
        <v>0</v>
      </c>
      <c r="L264" s="21">
        <v>0</v>
      </c>
      <c r="M264" s="21">
        <v>5</v>
      </c>
      <c r="N264" s="21"/>
      <c r="O264" s="21">
        <v>0</v>
      </c>
      <c r="P264" s="21">
        <v>1</v>
      </c>
      <c r="Q264" s="21"/>
      <c r="R264" s="22"/>
      <c r="S264" s="21">
        <v>0</v>
      </c>
      <c r="T264" s="21">
        <v>0</v>
      </c>
      <c r="U264" s="21"/>
      <c r="V264" s="21">
        <v>2</v>
      </c>
      <c r="W264" s="21">
        <v>1</v>
      </c>
      <c r="X264" s="21">
        <v>4</v>
      </c>
      <c r="Y264" s="21">
        <v>49</v>
      </c>
      <c r="Z264" s="21">
        <v>0</v>
      </c>
      <c r="AA264" s="21">
        <v>0</v>
      </c>
      <c r="AB264" s="23">
        <f>100/(SUM(I264:Z264))</f>
        <v>1</v>
      </c>
      <c r="AC264" s="259">
        <f>SUM(I264:AA264)</f>
        <v>100</v>
      </c>
      <c r="AD264" s="24"/>
      <c r="AE264" s="24"/>
      <c r="AF264" s="24"/>
      <c r="AG264" s="25" t="s">
        <v>136</v>
      </c>
      <c r="AH264" s="26" t="s">
        <v>2209</v>
      </c>
      <c r="AI264" s="26" t="s">
        <v>2208</v>
      </c>
      <c r="AJ264" s="26"/>
      <c r="AK264" s="19" t="s">
        <v>2233</v>
      </c>
      <c r="AL264" s="25">
        <f>(B264-DATE(1970,1,1))*86400</f>
        <v>1759190400</v>
      </c>
      <c r="AM264" s="25">
        <f>(C264-DATE(1970,1,1))*86400</f>
        <v>1759795200</v>
      </c>
      <c r="AN264" s="25">
        <f>AVERAGE(AL264:AM264)</f>
        <v>1759492800</v>
      </c>
      <c r="AO264"/>
      <c r="AP264"/>
      <c r="AQ264"/>
      <c r="AR264"/>
      <c r="AS264"/>
      <c r="AT264"/>
      <c r="AU264"/>
      <c r="AV264"/>
      <c r="AW264"/>
      <c r="AX264"/>
      <c r="AY264"/>
      <c r="AZ264"/>
      <c r="BA264"/>
      <c r="BB264"/>
      <c r="BC264"/>
      <c r="BD264"/>
      <c r="BE264"/>
      <c r="BF264"/>
      <c r="BG264"/>
      <c r="BH264"/>
      <c r="BI264"/>
      <c r="BJ264"/>
      <c r="BK264"/>
      <c r="BL264"/>
      <c r="BM264"/>
    </row>
    <row r="265" spans="1:65" ht="15.75" customHeight="1" x14ac:dyDescent="0.2">
      <c r="A265" s="286" t="s">
        <v>133</v>
      </c>
      <c r="B265" s="41">
        <v>45925</v>
      </c>
      <c r="C265" s="41">
        <v>45940</v>
      </c>
      <c r="D265" s="40" t="s">
        <v>148</v>
      </c>
      <c r="E265" s="325" t="s">
        <v>125</v>
      </c>
      <c r="F265" s="40" t="s">
        <v>140</v>
      </c>
      <c r="G265" s="40" t="s">
        <v>149</v>
      </c>
      <c r="H265" s="325">
        <v>1000</v>
      </c>
      <c r="I265" s="42"/>
      <c r="J265" s="42"/>
      <c r="K265" s="42"/>
      <c r="L265" s="42"/>
      <c r="M265" s="42"/>
      <c r="N265" s="42"/>
      <c r="O265" s="42"/>
      <c r="P265" s="42"/>
      <c r="Q265" s="42"/>
      <c r="R265" s="43"/>
      <c r="S265" s="42"/>
      <c r="T265" s="42"/>
      <c r="U265" s="42"/>
      <c r="V265" s="42"/>
      <c r="W265" s="42"/>
      <c r="X265" s="42"/>
      <c r="Y265" s="42"/>
      <c r="Z265" s="42"/>
      <c r="AA265" s="42"/>
      <c r="AB265" s="44"/>
      <c r="AC265" s="259">
        <f>SUM(I265:AA265)</f>
        <v>0</v>
      </c>
      <c r="AD265" s="42"/>
      <c r="AE265" s="43"/>
      <c r="AF265" s="43"/>
      <c r="AG265" s="45" t="s">
        <v>2321</v>
      </c>
      <c r="AH265" s="189" t="s">
        <v>2320</v>
      </c>
      <c r="AI265" s="189" t="s">
        <v>2318</v>
      </c>
      <c r="AJ265" s="46"/>
      <c r="AK265" s="40" t="s">
        <v>2319</v>
      </c>
      <c r="AL265" s="45">
        <f>(B265-DATE(1970,1,1))*86400</f>
        <v>1758758400</v>
      </c>
      <c r="AM265" s="45">
        <f>(C265-DATE(1970,1,1))*86400</f>
        <v>1760054400</v>
      </c>
      <c r="AN265" s="45">
        <f>AVERAGE(AL265:AM265)</f>
        <v>1759406400</v>
      </c>
    </row>
    <row r="266" spans="1:65" s="6" customFormat="1" x14ac:dyDescent="0.2">
      <c r="A266" s="291" t="s">
        <v>123</v>
      </c>
      <c r="B266" s="191">
        <v>45929</v>
      </c>
      <c r="C266" s="191">
        <v>45931</v>
      </c>
      <c r="D266" s="47" t="s">
        <v>152</v>
      </c>
      <c r="E266" s="337" t="s">
        <v>125</v>
      </c>
      <c r="F266" s="47"/>
      <c r="G266" s="47" t="s">
        <v>126</v>
      </c>
      <c r="H266" s="356">
        <v>1000</v>
      </c>
      <c r="I266" s="49">
        <v>47</v>
      </c>
      <c r="J266" s="49"/>
      <c r="K266" s="49"/>
      <c r="L266" s="49"/>
      <c r="M266" s="49">
        <v>2</v>
      </c>
      <c r="N266" s="49"/>
      <c r="O266" s="49"/>
      <c r="P266" s="49" t="s">
        <v>355</v>
      </c>
      <c r="Q266" s="49"/>
      <c r="R266" s="49"/>
      <c r="S266" s="49"/>
      <c r="T266" s="49"/>
      <c r="U266" s="49"/>
      <c r="V266" s="49">
        <v>4</v>
      </c>
      <c r="W266" s="49"/>
      <c r="X266" s="49">
        <v>6</v>
      </c>
      <c r="Y266" s="49">
        <v>39</v>
      </c>
      <c r="Z266" s="49">
        <v>2</v>
      </c>
      <c r="AA266" s="49">
        <v>0</v>
      </c>
      <c r="AB266" s="50">
        <f>100/(SUM(I266:Z266))</f>
        <v>1</v>
      </c>
      <c r="AC266" s="259">
        <f>SUM(I266:AA266)</f>
        <v>100</v>
      </c>
      <c r="AD266" s="49"/>
      <c r="AE266" s="49"/>
      <c r="AF266" s="49"/>
      <c r="AG266" s="51" t="s">
        <v>127</v>
      </c>
      <c r="AH266" s="193" t="s">
        <v>2194</v>
      </c>
      <c r="AI266" s="193" t="s">
        <v>2192</v>
      </c>
      <c r="AJ266" s="193" t="s">
        <v>2193</v>
      </c>
      <c r="AK266" s="47" t="s">
        <v>2195</v>
      </c>
      <c r="AL266" s="51">
        <f>(B266-DATE(1970,1,1))*86400</f>
        <v>1759104000</v>
      </c>
      <c r="AM266" s="51">
        <f>(C266-DATE(1970,1,1))*86400</f>
        <v>1759276800</v>
      </c>
      <c r="AN266" s="51">
        <f>AVERAGE(AL266:AM266)</f>
        <v>1759190400</v>
      </c>
      <c r="AO266"/>
      <c r="AP266"/>
      <c r="AQ266"/>
      <c r="AR266"/>
      <c r="AS266"/>
      <c r="AT266"/>
      <c r="AU266"/>
      <c r="AV266"/>
      <c r="AW266"/>
      <c r="AX266"/>
      <c r="AY266"/>
      <c r="AZ266"/>
      <c r="BA266"/>
      <c r="BB266"/>
      <c r="BC266"/>
      <c r="BD266"/>
      <c r="BE266"/>
      <c r="BF266"/>
      <c r="BG266"/>
      <c r="BH266"/>
      <c r="BI266"/>
      <c r="BJ266"/>
      <c r="BK266"/>
      <c r="BL266"/>
      <c r="BM266"/>
    </row>
    <row r="267" spans="1:65" ht="15.75" customHeight="1" x14ac:dyDescent="0.2">
      <c r="A267" s="278" t="s">
        <v>133</v>
      </c>
      <c r="B267" s="203">
        <v>45928</v>
      </c>
      <c r="C267" s="203">
        <v>45929</v>
      </c>
      <c r="D267" s="202" t="s">
        <v>1706</v>
      </c>
      <c r="E267" s="330" t="s">
        <v>184</v>
      </c>
      <c r="F267" s="202" t="s">
        <v>140</v>
      </c>
      <c r="G267" s="202" t="s">
        <v>135</v>
      </c>
      <c r="H267" s="330">
        <v>1700</v>
      </c>
      <c r="I267" s="202"/>
      <c r="J267" s="202"/>
      <c r="K267" s="202"/>
      <c r="L267" s="202"/>
      <c r="M267" s="202"/>
      <c r="N267" s="202"/>
      <c r="O267" s="202"/>
      <c r="P267" s="202"/>
      <c r="Q267" s="202"/>
      <c r="R267" s="202"/>
      <c r="S267" s="202"/>
      <c r="T267" s="202"/>
      <c r="U267" s="202"/>
      <c r="V267" s="202"/>
      <c r="W267" s="204"/>
      <c r="X267" s="202"/>
      <c r="Y267" s="202"/>
      <c r="Z267" s="202"/>
      <c r="AA267" s="202"/>
      <c r="AB267" s="205"/>
      <c r="AC267" s="259">
        <f>SUM(I267:AA267)</f>
        <v>0</v>
      </c>
      <c r="AD267" s="206"/>
      <c r="AE267" s="206"/>
      <c r="AF267" s="206"/>
      <c r="AG267" s="206" t="s">
        <v>1940</v>
      </c>
      <c r="AH267" s="207" t="s">
        <v>2105</v>
      </c>
      <c r="AI267" s="202"/>
      <c r="AJ267" s="202"/>
      <c r="AK267" s="202"/>
      <c r="AL267" s="208">
        <f>(B267-DATE(1970,1,1))*86400</f>
        <v>1759017600</v>
      </c>
      <c r="AM267" s="208">
        <f>(C267-DATE(1970,1,1))*86400</f>
        <v>1759104000</v>
      </c>
      <c r="AN267" s="208">
        <f>AVERAGE(AL267:AM267)</f>
        <v>1759060800</v>
      </c>
    </row>
    <row r="268" spans="1:65" ht="15.75" customHeight="1" x14ac:dyDescent="0.2">
      <c r="A268" s="288" t="s">
        <v>133</v>
      </c>
      <c r="B268" s="60">
        <v>45925</v>
      </c>
      <c r="C268" s="60">
        <v>45931</v>
      </c>
      <c r="D268" s="61" t="s">
        <v>168</v>
      </c>
      <c r="E268" s="334" t="s">
        <v>125</v>
      </c>
      <c r="F268" s="218"/>
      <c r="G268" s="61" t="s">
        <v>126</v>
      </c>
      <c r="H268" s="334">
        <v>1000</v>
      </c>
      <c r="I268" s="63">
        <v>25</v>
      </c>
      <c r="J268" s="63">
        <v>0</v>
      </c>
      <c r="K268" s="63">
        <v>0</v>
      </c>
      <c r="L268" s="63">
        <v>0</v>
      </c>
      <c r="M268" s="63">
        <v>4</v>
      </c>
      <c r="N268" s="63"/>
      <c r="O268" s="63">
        <v>0</v>
      </c>
      <c r="P268" s="63">
        <v>1</v>
      </c>
      <c r="Q268" s="63"/>
      <c r="R268" s="64"/>
      <c r="S268" s="63"/>
      <c r="T268" s="63"/>
      <c r="U268" s="63"/>
      <c r="V268" s="63">
        <v>4</v>
      </c>
      <c r="W268" s="63"/>
      <c r="X268" s="63">
        <v>5</v>
      </c>
      <c r="Y268" s="63">
        <v>30</v>
      </c>
      <c r="Z268" s="63">
        <v>1</v>
      </c>
      <c r="AA268" s="63">
        <v>29</v>
      </c>
      <c r="AB268" s="65">
        <f>100/(SUM(I268:Z268))</f>
        <v>1.4285714285714286</v>
      </c>
      <c r="AC268" s="259">
        <f>SUM(I268:AA268)</f>
        <v>99</v>
      </c>
      <c r="AD268" s="63"/>
      <c r="AE268" s="64"/>
      <c r="AF268" s="64"/>
      <c r="AG268" s="66" t="s">
        <v>127</v>
      </c>
      <c r="AH268" s="200" t="s">
        <v>2181</v>
      </c>
      <c r="AI268" s="200" t="s">
        <v>2183</v>
      </c>
      <c r="AJ268" s="200" t="s">
        <v>2182</v>
      </c>
      <c r="AK268" s="61" t="s">
        <v>2186</v>
      </c>
      <c r="AL268" s="66">
        <f>(B268-DATE(1970,1,1))*86400</f>
        <v>1758758400</v>
      </c>
      <c r="AM268" s="66">
        <f>(C268-DATE(1970,1,1))*86400</f>
        <v>1759276800</v>
      </c>
      <c r="AN268" s="66">
        <f>AVERAGE(AL268:AM268)</f>
        <v>1759017600</v>
      </c>
    </row>
    <row r="269" spans="1:65" ht="15.75" customHeight="1" x14ac:dyDescent="0.2">
      <c r="A269" s="288" t="s">
        <v>133</v>
      </c>
      <c r="B269" s="60">
        <v>45925</v>
      </c>
      <c r="C269" s="60">
        <v>45931</v>
      </c>
      <c r="D269" s="61" t="s">
        <v>168</v>
      </c>
      <c r="E269" s="398">
        <v>1</v>
      </c>
      <c r="F269" s="218"/>
      <c r="G269" s="61" t="s">
        <v>126</v>
      </c>
      <c r="H269" s="334">
        <v>1000</v>
      </c>
      <c r="I269" s="63">
        <v>35</v>
      </c>
      <c r="J269" s="63">
        <v>0</v>
      </c>
      <c r="K269" s="63">
        <v>1</v>
      </c>
      <c r="L269" s="63">
        <v>1</v>
      </c>
      <c r="M269" s="63">
        <v>5</v>
      </c>
      <c r="N269" s="63"/>
      <c r="O269" s="63">
        <v>0</v>
      </c>
      <c r="P269" s="63">
        <v>1</v>
      </c>
      <c r="Q269" s="63"/>
      <c r="R269" s="64"/>
      <c r="S269" s="63"/>
      <c r="T269" s="63"/>
      <c r="U269" s="63"/>
      <c r="V269" s="63">
        <v>6</v>
      </c>
      <c r="W269" s="63"/>
      <c r="X269" s="63">
        <v>8</v>
      </c>
      <c r="Y269" s="63">
        <v>41</v>
      </c>
      <c r="Z269" s="63">
        <v>3</v>
      </c>
      <c r="AA269" s="63">
        <v>0</v>
      </c>
      <c r="AB269" s="65">
        <f>100/(SUM(I269:Z269))</f>
        <v>0.99009900990099009</v>
      </c>
      <c r="AC269" s="259">
        <f>SUM(I269:AA269)</f>
        <v>101</v>
      </c>
      <c r="AD269" s="63"/>
      <c r="AE269" s="64"/>
      <c r="AF269" s="64"/>
      <c r="AG269" s="64"/>
      <c r="AH269" s="200" t="s">
        <v>2181</v>
      </c>
      <c r="AI269" s="200" t="s">
        <v>2183</v>
      </c>
      <c r="AJ269" s="200" t="s">
        <v>2182</v>
      </c>
      <c r="AK269" s="61" t="s">
        <v>138</v>
      </c>
      <c r="AL269" s="66">
        <f>(B269-DATE(1970,1,1))*86400</f>
        <v>1758758400</v>
      </c>
      <c r="AM269" s="66">
        <f>(C269-DATE(1970,1,1))*86400</f>
        <v>1759276800</v>
      </c>
      <c r="AN269" s="66">
        <f>AVERAGE(AL269:AM269)</f>
        <v>1759017600</v>
      </c>
    </row>
    <row r="270" spans="1:65" x14ac:dyDescent="0.2">
      <c r="A270" s="288" t="s">
        <v>123</v>
      </c>
      <c r="B270" s="60">
        <v>45925</v>
      </c>
      <c r="C270" s="60">
        <v>45931</v>
      </c>
      <c r="D270" s="61" t="s">
        <v>168</v>
      </c>
      <c r="E270" s="334" t="s">
        <v>125</v>
      </c>
      <c r="F270" s="218"/>
      <c r="G270" s="61" t="s">
        <v>126</v>
      </c>
      <c r="H270" s="334">
        <v>1000</v>
      </c>
      <c r="I270" s="63">
        <v>35</v>
      </c>
      <c r="J270" s="63">
        <v>0</v>
      </c>
      <c r="K270" s="63">
        <v>0</v>
      </c>
      <c r="L270" s="63">
        <v>0</v>
      </c>
      <c r="M270" s="63">
        <v>5</v>
      </c>
      <c r="N270" s="63"/>
      <c r="O270" s="63">
        <v>1</v>
      </c>
      <c r="P270" s="63">
        <v>1</v>
      </c>
      <c r="Q270" s="63"/>
      <c r="R270" s="64"/>
      <c r="S270" s="63"/>
      <c r="T270" s="63"/>
      <c r="U270" s="63"/>
      <c r="V270" s="63">
        <v>5</v>
      </c>
      <c r="W270" s="63"/>
      <c r="X270" s="63">
        <v>8</v>
      </c>
      <c r="Y270" s="63">
        <v>43</v>
      </c>
      <c r="Z270" s="63">
        <v>2</v>
      </c>
      <c r="AA270" s="63">
        <v>0</v>
      </c>
      <c r="AB270" s="65">
        <f>100/(SUM(I270:Z270))</f>
        <v>1</v>
      </c>
      <c r="AC270" s="259">
        <f>SUM(I270:AA270)</f>
        <v>100</v>
      </c>
      <c r="AD270" s="63"/>
      <c r="AE270" s="64"/>
      <c r="AF270" s="64"/>
      <c r="AG270" s="64"/>
      <c r="AH270" s="200" t="s">
        <v>2181</v>
      </c>
      <c r="AI270" s="200" t="s">
        <v>2183</v>
      </c>
      <c r="AJ270" s="200" t="s">
        <v>2182</v>
      </c>
      <c r="AK270" s="61"/>
      <c r="AL270" s="66">
        <f>(B270-DATE(1970,1,1))*86400</f>
        <v>1758758400</v>
      </c>
      <c r="AM270" s="66">
        <f>(C270-DATE(1970,1,1))*86400</f>
        <v>1759276800</v>
      </c>
      <c r="AN270" s="66">
        <f>AVERAGE(AL270:AM270)</f>
        <v>1759017600</v>
      </c>
    </row>
    <row r="271" spans="1:65" ht="15.75" customHeight="1" x14ac:dyDescent="0.2">
      <c r="A271" s="277" t="s">
        <v>133</v>
      </c>
      <c r="B271" s="244">
        <v>45923</v>
      </c>
      <c r="C271" s="244">
        <v>45925</v>
      </c>
      <c r="D271" s="243" t="s">
        <v>1975</v>
      </c>
      <c r="E271" s="399">
        <v>0</v>
      </c>
      <c r="F271" s="243"/>
      <c r="G271" s="245" t="s">
        <v>1025</v>
      </c>
      <c r="H271" s="348">
        <v>1000</v>
      </c>
      <c r="I271" s="246">
        <v>25.7</v>
      </c>
      <c r="J271" s="246"/>
      <c r="K271" s="246"/>
      <c r="L271" s="246"/>
      <c r="M271" s="246"/>
      <c r="N271" s="246"/>
      <c r="O271" s="246"/>
      <c r="P271" s="246"/>
      <c r="Q271" s="246"/>
      <c r="R271" s="247"/>
      <c r="S271" s="246"/>
      <c r="T271" s="246"/>
      <c r="U271" s="246"/>
      <c r="V271" s="246"/>
      <c r="W271" s="246"/>
      <c r="X271" s="246"/>
      <c r="Y271" s="246">
        <v>35.4</v>
      </c>
      <c r="Z271" s="246">
        <v>6.9</v>
      </c>
      <c r="AA271" s="246">
        <v>32.1</v>
      </c>
      <c r="AB271" s="248">
        <f>100/(SUM(I271:Z271))</f>
        <v>1.4705882352941178</v>
      </c>
      <c r="AC271" s="259">
        <f>SUM(I271:AA271)</f>
        <v>100.1</v>
      </c>
      <c r="AD271" s="246">
        <v>75</v>
      </c>
      <c r="AE271" s="246"/>
      <c r="AF271" s="246"/>
      <c r="AG271" s="249" t="s">
        <v>1976</v>
      </c>
      <c r="AH271" s="250" t="s">
        <v>2106</v>
      </c>
      <c r="AI271" s="251"/>
      <c r="AJ271" s="251"/>
      <c r="AK271" s="243"/>
      <c r="AL271" s="249">
        <f>(B271-DATE(1970,1,1))*86400</f>
        <v>1758585600</v>
      </c>
      <c r="AM271" s="249">
        <f>(C271-DATE(1970,1,1))*86400</f>
        <v>1758758400</v>
      </c>
      <c r="AN271" s="249">
        <f>AVERAGE(AL271:AM271)</f>
        <v>1758672000</v>
      </c>
    </row>
    <row r="272" spans="1:65" ht="15.75" customHeight="1" x14ac:dyDescent="0.2">
      <c r="A272" s="279" t="s">
        <v>133</v>
      </c>
      <c r="B272" s="14">
        <v>45922</v>
      </c>
      <c r="C272" s="14">
        <v>45924</v>
      </c>
      <c r="D272" s="13" t="s">
        <v>124</v>
      </c>
      <c r="E272" s="324" t="s">
        <v>125</v>
      </c>
      <c r="F272" s="13" t="s">
        <v>140</v>
      </c>
      <c r="G272" s="13" t="s">
        <v>126</v>
      </c>
      <c r="H272" s="349">
        <v>1000</v>
      </c>
      <c r="I272" s="15"/>
      <c r="J272" s="15"/>
      <c r="K272" s="15"/>
      <c r="L272" s="15"/>
      <c r="M272" s="15"/>
      <c r="N272" s="15"/>
      <c r="O272" s="15"/>
      <c r="P272" s="15"/>
      <c r="Q272" s="15"/>
      <c r="R272" s="15"/>
      <c r="S272" s="15"/>
      <c r="T272" s="15"/>
      <c r="U272" s="15"/>
      <c r="V272" s="15"/>
      <c r="W272" s="15"/>
      <c r="X272" s="15"/>
      <c r="Y272" s="15"/>
      <c r="Z272" s="98"/>
      <c r="AA272" s="98"/>
      <c r="AB272" s="16" t="e">
        <f>100/(SUM(I272:Z272))</f>
        <v>#DIV/0!</v>
      </c>
      <c r="AC272" s="259">
        <f>SUM(I272:AA272)</f>
        <v>0</v>
      </c>
      <c r="AD272" s="15"/>
      <c r="AE272" s="15"/>
      <c r="AF272" s="15"/>
      <c r="AG272" s="17" t="s">
        <v>127</v>
      </c>
      <c r="AH272" s="201" t="s">
        <v>2104</v>
      </c>
      <c r="AI272" s="201"/>
      <c r="AJ272" s="18"/>
      <c r="AK272" s="13"/>
      <c r="AL272" s="17">
        <f>(B272-DATE(1970,1,1))*86400</f>
        <v>1758499200</v>
      </c>
      <c r="AM272" s="17">
        <f>(C272-DATE(1970,1,1))*86400</f>
        <v>1758672000</v>
      </c>
      <c r="AN272" s="17">
        <f>AVERAGE(AL272:AM272)</f>
        <v>1758585600</v>
      </c>
    </row>
    <row r="273" spans="1:65" ht="15.75" customHeight="1" x14ac:dyDescent="0.2">
      <c r="A273" s="280" t="s">
        <v>133</v>
      </c>
      <c r="B273" s="197">
        <v>45901</v>
      </c>
      <c r="C273" s="197">
        <v>45930</v>
      </c>
      <c r="D273" s="76" t="s">
        <v>2097</v>
      </c>
      <c r="E273" s="320" t="s">
        <v>125</v>
      </c>
      <c r="F273" s="76" t="s">
        <v>140</v>
      </c>
      <c r="G273" s="76" t="s">
        <v>126</v>
      </c>
      <c r="H273" s="350">
        <v>1000</v>
      </c>
      <c r="I273" s="78"/>
      <c r="J273" s="78"/>
      <c r="K273" s="78"/>
      <c r="L273" s="78"/>
      <c r="M273" s="78"/>
      <c r="N273" s="78"/>
      <c r="O273" s="78"/>
      <c r="P273" s="78"/>
      <c r="Q273" s="78"/>
      <c r="R273" s="78"/>
      <c r="S273" s="78"/>
      <c r="T273" s="78"/>
      <c r="U273" s="78"/>
      <c r="V273" s="78"/>
      <c r="W273" s="78"/>
      <c r="X273" s="78"/>
      <c r="Y273" s="78"/>
      <c r="Z273" s="78"/>
      <c r="AA273" s="78"/>
      <c r="AB273" s="79" t="e">
        <f>100/(SUM(I273:Z273))</f>
        <v>#DIV/0!</v>
      </c>
      <c r="AC273" s="259">
        <f>SUM(I273:AA273)</f>
        <v>0</v>
      </c>
      <c r="AD273" s="78"/>
      <c r="AE273" s="78"/>
      <c r="AF273" s="78"/>
      <c r="AG273" s="80" t="s">
        <v>127</v>
      </c>
      <c r="AH273" s="195" t="s">
        <v>2267</v>
      </c>
      <c r="AI273" s="195" t="s">
        <v>2268</v>
      </c>
      <c r="AJ273" s="195" t="s">
        <v>2269</v>
      </c>
      <c r="AK273" s="76"/>
      <c r="AL273" s="80">
        <f>(B273-DATE(1970,1,1))*86400</f>
        <v>1756684800</v>
      </c>
      <c r="AM273" s="80">
        <f>(C273-DATE(1970,1,1))*86400</f>
        <v>1759190400</v>
      </c>
      <c r="AN273" s="80">
        <f>AVERAGE(AL273:AM273)</f>
        <v>1757937600</v>
      </c>
    </row>
    <row r="274" spans="1:65" ht="15.75" customHeight="1" x14ac:dyDescent="0.2">
      <c r="A274" s="280" t="s">
        <v>133</v>
      </c>
      <c r="B274" s="197">
        <v>45901</v>
      </c>
      <c r="C274" s="197">
        <v>45930</v>
      </c>
      <c r="D274" s="76" t="s">
        <v>2097</v>
      </c>
      <c r="E274" s="320" t="s">
        <v>125</v>
      </c>
      <c r="F274" s="76" t="s">
        <v>140</v>
      </c>
      <c r="G274" s="76" t="s">
        <v>126</v>
      </c>
      <c r="H274" s="350">
        <v>1000</v>
      </c>
      <c r="I274" s="78"/>
      <c r="J274" s="78"/>
      <c r="K274" s="78"/>
      <c r="L274" s="78"/>
      <c r="M274" s="78"/>
      <c r="N274" s="78"/>
      <c r="O274" s="78"/>
      <c r="P274" s="78"/>
      <c r="Q274" s="78"/>
      <c r="R274" s="78"/>
      <c r="S274" s="78"/>
      <c r="T274" s="78"/>
      <c r="U274" s="78"/>
      <c r="V274" s="78"/>
      <c r="W274" s="78"/>
      <c r="X274" s="78"/>
      <c r="Y274" s="78"/>
      <c r="Z274" s="78"/>
      <c r="AA274" s="78"/>
      <c r="AB274" s="79" t="e">
        <f>100/(SUM(I274:Z274))</f>
        <v>#DIV/0!</v>
      </c>
      <c r="AC274" s="259">
        <f>SUM(I274:AA274)</f>
        <v>0</v>
      </c>
      <c r="AD274" s="78"/>
      <c r="AE274" s="78"/>
      <c r="AF274" s="78"/>
      <c r="AG274" s="80" t="s">
        <v>127</v>
      </c>
      <c r="AH274" s="195" t="s">
        <v>2103</v>
      </c>
      <c r="AI274" s="81"/>
      <c r="AJ274" s="195"/>
      <c r="AK274" s="76"/>
      <c r="AL274" s="80">
        <f>(B274-DATE(1970,1,1))*86400</f>
        <v>1756684800</v>
      </c>
      <c r="AM274" s="80">
        <f>(C274-DATE(1970,1,1))*86400</f>
        <v>1759190400</v>
      </c>
      <c r="AN274" s="80">
        <f>AVERAGE(AL274:AM274)</f>
        <v>1757937600</v>
      </c>
    </row>
    <row r="275" spans="1:65" x14ac:dyDescent="0.2">
      <c r="A275" s="280" t="s">
        <v>123</v>
      </c>
      <c r="B275" s="197">
        <v>45910</v>
      </c>
      <c r="C275" s="197">
        <v>45914</v>
      </c>
      <c r="D275" s="76" t="s">
        <v>2097</v>
      </c>
      <c r="E275" s="320">
        <v>1</v>
      </c>
      <c r="F275" s="76"/>
      <c r="G275" s="76" t="s">
        <v>126</v>
      </c>
      <c r="H275" s="350">
        <v>1000</v>
      </c>
      <c r="I275" s="78">
        <v>43</v>
      </c>
      <c r="J275" s="78" t="s">
        <v>355</v>
      </c>
      <c r="K275" s="78"/>
      <c r="L275" s="78"/>
      <c r="M275" s="78">
        <v>5</v>
      </c>
      <c r="N275" s="78"/>
      <c r="O275" s="78"/>
      <c r="P275" s="78"/>
      <c r="Q275" s="78"/>
      <c r="R275" s="78"/>
      <c r="S275" s="78"/>
      <c r="T275" s="78"/>
      <c r="U275" s="78"/>
      <c r="V275" s="78">
        <v>5</v>
      </c>
      <c r="W275" s="78"/>
      <c r="X275" s="78">
        <v>6</v>
      </c>
      <c r="Y275" s="78">
        <v>37</v>
      </c>
      <c r="Z275" s="78">
        <v>1</v>
      </c>
      <c r="AA275" s="78">
        <v>3</v>
      </c>
      <c r="AB275" s="79">
        <f>100/(SUM(I275:Z275))</f>
        <v>1.0309278350515463</v>
      </c>
      <c r="AC275" s="259">
        <f>SUM(I275:AA275)</f>
        <v>100</v>
      </c>
      <c r="AD275" s="78"/>
      <c r="AE275" s="78"/>
      <c r="AF275" s="78"/>
      <c r="AG275" s="80" t="s">
        <v>127</v>
      </c>
      <c r="AH275" s="81" t="s">
        <v>2094</v>
      </c>
      <c r="AI275" s="195" t="s">
        <v>2095</v>
      </c>
      <c r="AJ275" s="195" t="s">
        <v>2096</v>
      </c>
      <c r="AK275" s="76" t="s">
        <v>2099</v>
      </c>
      <c r="AL275" s="80">
        <f>(B275-DATE(1970,1,1))*86400</f>
        <v>1757462400</v>
      </c>
      <c r="AM275" s="80">
        <f>(C275-DATE(1970,1,1))*86400</f>
        <v>1757808000</v>
      </c>
      <c r="AN275" s="80">
        <f>AVERAGE(AL275:AM275)</f>
        <v>1757635200</v>
      </c>
    </row>
    <row r="276" spans="1:65" s="416" customFormat="1" ht="15.75" customHeight="1" x14ac:dyDescent="0.2">
      <c r="A276" s="278" t="s">
        <v>133</v>
      </c>
      <c r="B276" s="203">
        <v>45911</v>
      </c>
      <c r="C276" s="203">
        <v>45911</v>
      </c>
      <c r="D276" s="202" t="s">
        <v>1706</v>
      </c>
      <c r="E276" s="330" t="s">
        <v>184</v>
      </c>
      <c r="F276" s="202" t="s">
        <v>140</v>
      </c>
      <c r="G276" s="202" t="s">
        <v>135</v>
      </c>
      <c r="H276" s="330">
        <v>1200</v>
      </c>
      <c r="I276" s="202"/>
      <c r="J276" s="202"/>
      <c r="K276" s="202"/>
      <c r="L276" s="202"/>
      <c r="M276" s="202"/>
      <c r="N276" s="202"/>
      <c r="O276" s="202"/>
      <c r="P276" s="202"/>
      <c r="Q276" s="202"/>
      <c r="R276" s="202"/>
      <c r="S276" s="202"/>
      <c r="T276" s="202"/>
      <c r="U276" s="202"/>
      <c r="V276" s="202"/>
      <c r="W276" s="204"/>
      <c r="X276" s="202"/>
      <c r="Y276" s="202"/>
      <c r="Z276" s="202"/>
      <c r="AA276" s="202"/>
      <c r="AB276" s="205"/>
      <c r="AC276" s="259">
        <f>SUM(I276:AA276)</f>
        <v>0</v>
      </c>
      <c r="AD276" s="206"/>
      <c r="AE276" s="206"/>
      <c r="AF276" s="206"/>
      <c r="AG276" s="206" t="s">
        <v>1940</v>
      </c>
      <c r="AH276" s="207" t="s">
        <v>2085</v>
      </c>
      <c r="AI276" s="202"/>
      <c r="AJ276" s="202"/>
      <c r="AK276" s="202" t="s">
        <v>2086</v>
      </c>
      <c r="AL276" s="208">
        <f>(B276-DATE(1970,1,1))*86400</f>
        <v>1757548800</v>
      </c>
      <c r="AM276" s="208">
        <f>(C276-DATE(1970,1,1))*86400</f>
        <v>1757548800</v>
      </c>
      <c r="AN276" s="208">
        <f>AVERAGE(AL276:AM276)</f>
        <v>1757548800</v>
      </c>
      <c r="AO276"/>
      <c r="AP276"/>
      <c r="AQ276"/>
      <c r="AR276"/>
      <c r="AS276"/>
      <c r="AT276"/>
      <c r="AU276"/>
      <c r="AV276"/>
      <c r="AW276"/>
      <c r="AX276"/>
      <c r="AY276"/>
      <c r="AZ276"/>
      <c r="BA276"/>
      <c r="BB276"/>
      <c r="BC276"/>
      <c r="BD276"/>
      <c r="BE276"/>
      <c r="BF276"/>
      <c r="BG276"/>
      <c r="BH276"/>
      <c r="BI276"/>
      <c r="BJ276"/>
      <c r="BK276"/>
      <c r="BL276"/>
      <c r="BM276"/>
    </row>
    <row r="277" spans="1:65" s="417" customFormat="1" x14ac:dyDescent="0.2">
      <c r="A277" s="281" t="s">
        <v>133</v>
      </c>
      <c r="B277" s="240">
        <v>45908</v>
      </c>
      <c r="C277" s="240">
        <v>45912</v>
      </c>
      <c r="D277" s="53" t="s">
        <v>154</v>
      </c>
      <c r="E277" s="323" t="s">
        <v>125</v>
      </c>
      <c r="F277" s="53"/>
      <c r="G277" s="53" t="s">
        <v>126</v>
      </c>
      <c r="H277" s="351">
        <v>1000</v>
      </c>
      <c r="I277" s="55">
        <v>26</v>
      </c>
      <c r="J277" s="55">
        <v>0</v>
      </c>
      <c r="K277" s="55">
        <v>0</v>
      </c>
      <c r="L277" s="55">
        <v>0</v>
      </c>
      <c r="M277" s="55">
        <v>5</v>
      </c>
      <c r="N277" s="55"/>
      <c r="O277" s="55">
        <v>0</v>
      </c>
      <c r="P277" s="55">
        <v>0</v>
      </c>
      <c r="Q277" s="55"/>
      <c r="R277" s="56"/>
      <c r="S277" s="55">
        <v>0</v>
      </c>
      <c r="T277" s="55"/>
      <c r="U277" s="55">
        <v>0</v>
      </c>
      <c r="V277" s="55">
        <v>2</v>
      </c>
      <c r="W277" s="55"/>
      <c r="X277" s="55">
        <v>4</v>
      </c>
      <c r="Y277" s="55">
        <v>32</v>
      </c>
      <c r="Z277" s="55"/>
      <c r="AA277" s="55">
        <v>31</v>
      </c>
      <c r="AB277" s="57">
        <f>100/(SUM(I277:Z277))</f>
        <v>1.4492753623188406</v>
      </c>
      <c r="AC277" s="259">
        <f>SUM(I277:AA277)</f>
        <v>100</v>
      </c>
      <c r="AD277" s="55" t="s">
        <v>355</v>
      </c>
      <c r="AE277" s="55"/>
      <c r="AF277" s="55"/>
      <c r="AG277" s="58" t="s">
        <v>155</v>
      </c>
      <c r="AH277" s="59" t="s">
        <v>2078</v>
      </c>
      <c r="AI277" s="59" t="s">
        <v>2090</v>
      </c>
      <c r="AJ277" s="186" t="s">
        <v>2101</v>
      </c>
      <c r="AK277" s="53" t="s">
        <v>2198</v>
      </c>
      <c r="AL277" s="58">
        <f>(B277-DATE(1970,1,1))*86400</f>
        <v>1757289600</v>
      </c>
      <c r="AM277" s="58">
        <f>(C277-DATE(1970,1,1))*86400</f>
        <v>1757635200</v>
      </c>
      <c r="AN277" s="58">
        <f>AVERAGE(AL277:AM277)</f>
        <v>1757462400</v>
      </c>
      <c r="AO277"/>
      <c r="AP277"/>
      <c r="AQ277"/>
      <c r="AR277"/>
      <c r="AS277"/>
      <c r="AT277"/>
      <c r="AU277"/>
      <c r="AV277"/>
      <c r="AW277"/>
      <c r="AX277"/>
      <c r="AY277"/>
      <c r="AZ277"/>
      <c r="BA277"/>
      <c r="BB277"/>
      <c r="BC277"/>
      <c r="BD277"/>
      <c r="BE277"/>
      <c r="BF277"/>
      <c r="BG277"/>
      <c r="BH277"/>
      <c r="BI277"/>
      <c r="BJ277"/>
      <c r="BK277"/>
      <c r="BL277"/>
      <c r="BM277"/>
    </row>
    <row r="278" spans="1:65" s="416" customFormat="1" ht="15.75" customHeight="1" x14ac:dyDescent="0.2">
      <c r="A278" s="281" t="s">
        <v>123</v>
      </c>
      <c r="B278" s="240">
        <v>45908</v>
      </c>
      <c r="C278" s="240">
        <v>45912</v>
      </c>
      <c r="D278" s="53" t="s">
        <v>154</v>
      </c>
      <c r="E278" s="323" t="s">
        <v>125</v>
      </c>
      <c r="F278" s="53"/>
      <c r="G278" s="53" t="s">
        <v>126</v>
      </c>
      <c r="H278" s="351">
        <v>1000</v>
      </c>
      <c r="I278" s="55">
        <v>31</v>
      </c>
      <c r="J278" s="55">
        <v>0</v>
      </c>
      <c r="K278" s="55">
        <v>0</v>
      </c>
      <c r="L278" s="55">
        <v>0</v>
      </c>
      <c r="M278" s="55">
        <v>6</v>
      </c>
      <c r="N278" s="55"/>
      <c r="O278" s="55">
        <v>0</v>
      </c>
      <c r="P278" s="55">
        <v>0</v>
      </c>
      <c r="Q278" s="55"/>
      <c r="R278" s="56"/>
      <c r="S278" s="55">
        <v>0</v>
      </c>
      <c r="T278" s="55"/>
      <c r="U278" s="55">
        <v>1</v>
      </c>
      <c r="V278" s="55">
        <v>3</v>
      </c>
      <c r="W278" s="55"/>
      <c r="X278" s="55">
        <v>5</v>
      </c>
      <c r="Y278" s="55">
        <v>37</v>
      </c>
      <c r="Z278" s="55"/>
      <c r="AA278" s="241">
        <v>18</v>
      </c>
      <c r="AB278" s="57">
        <f>100/(SUM(I278:Z278))</f>
        <v>1.2048192771084338</v>
      </c>
      <c r="AC278" s="259">
        <f>SUM(I278:AA278)</f>
        <v>101</v>
      </c>
      <c r="AD278" s="55"/>
      <c r="AE278" s="55"/>
      <c r="AF278" s="55"/>
      <c r="AG278" s="58" t="s">
        <v>155</v>
      </c>
      <c r="AH278" s="59" t="s">
        <v>2078</v>
      </c>
      <c r="AI278" s="59"/>
      <c r="AJ278" s="186"/>
      <c r="AK278" s="53"/>
      <c r="AL278" s="58">
        <f>(B278-DATE(1970,1,1))*86400</f>
        <v>1757289600</v>
      </c>
      <c r="AM278" s="58">
        <f>(C278-DATE(1970,1,1))*86400</f>
        <v>1757635200</v>
      </c>
      <c r="AN278" s="58">
        <f>AVERAGE(AL278:AM278)</f>
        <v>1757462400</v>
      </c>
      <c r="AO278"/>
      <c r="AP278"/>
      <c r="AQ278"/>
      <c r="AR278"/>
      <c r="AS278"/>
      <c r="AT278"/>
      <c r="AU278"/>
      <c r="AV278"/>
      <c r="AW278"/>
      <c r="AX278"/>
      <c r="AY278"/>
      <c r="AZ278"/>
      <c r="BA278"/>
      <c r="BB278"/>
      <c r="BC278"/>
      <c r="BD278"/>
      <c r="BE278"/>
      <c r="BF278"/>
      <c r="BG278"/>
      <c r="BH278"/>
      <c r="BI278"/>
      <c r="BJ278"/>
      <c r="BK278"/>
      <c r="BL278"/>
      <c r="BM278"/>
    </row>
    <row r="279" spans="1:65" s="416" customFormat="1" ht="15.75" customHeight="1" x14ac:dyDescent="0.2">
      <c r="A279" s="281" t="s">
        <v>123</v>
      </c>
      <c r="B279" s="240">
        <v>45908</v>
      </c>
      <c r="C279" s="240">
        <v>45912</v>
      </c>
      <c r="D279" s="53" t="s">
        <v>154</v>
      </c>
      <c r="E279" s="323" t="s">
        <v>125</v>
      </c>
      <c r="F279" s="53"/>
      <c r="G279" s="53" t="s">
        <v>126</v>
      </c>
      <c r="H279" s="351">
        <v>1000</v>
      </c>
      <c r="I279" s="55">
        <v>37</v>
      </c>
      <c r="J279" s="55">
        <v>0</v>
      </c>
      <c r="K279" s="55">
        <v>0</v>
      </c>
      <c r="L279" s="55">
        <v>0</v>
      </c>
      <c r="M279" s="55">
        <v>7</v>
      </c>
      <c r="N279" s="55"/>
      <c r="O279" s="55">
        <v>0</v>
      </c>
      <c r="P279" s="55">
        <v>0</v>
      </c>
      <c r="Q279" s="55"/>
      <c r="R279" s="56"/>
      <c r="S279" s="55">
        <v>0</v>
      </c>
      <c r="T279" s="55"/>
      <c r="U279" s="55">
        <v>1</v>
      </c>
      <c r="V279" s="55">
        <v>4</v>
      </c>
      <c r="W279" s="55"/>
      <c r="X279" s="55">
        <v>6</v>
      </c>
      <c r="Y279" s="55">
        <v>46</v>
      </c>
      <c r="Z279" s="55"/>
      <c r="AA279" s="55">
        <v>0</v>
      </c>
      <c r="AB279" s="57">
        <f>100/(SUM(I279:Z279))</f>
        <v>0.99009900990099009</v>
      </c>
      <c r="AC279" s="259">
        <f>SUM(I279:AA279)</f>
        <v>101</v>
      </c>
      <c r="AD279" s="55"/>
      <c r="AE279" s="55"/>
      <c r="AF279" s="55"/>
      <c r="AG279" s="58" t="s">
        <v>155</v>
      </c>
      <c r="AH279" s="59" t="s">
        <v>2078</v>
      </c>
      <c r="AI279" s="59"/>
      <c r="AJ279" s="186"/>
      <c r="AK279" s="53"/>
      <c r="AL279" s="58">
        <f>(B279-DATE(1970,1,1))*86400</f>
        <v>1757289600</v>
      </c>
      <c r="AM279" s="58">
        <f>(C279-DATE(1970,1,1))*86400</f>
        <v>1757635200</v>
      </c>
      <c r="AN279" s="58">
        <f>AVERAGE(AL279:AM279)</f>
        <v>1757462400</v>
      </c>
      <c r="AO279"/>
      <c r="AP279"/>
      <c r="AQ279"/>
      <c r="AR279"/>
      <c r="AS279"/>
      <c r="AT279"/>
      <c r="AU279"/>
      <c r="AV279"/>
      <c r="AW279"/>
      <c r="AX279"/>
      <c r="AY279"/>
      <c r="AZ279"/>
      <c r="BA279"/>
      <c r="BB279"/>
      <c r="BC279"/>
      <c r="BD279"/>
      <c r="BE279"/>
      <c r="BF279"/>
      <c r="BG279"/>
      <c r="BH279"/>
      <c r="BI279"/>
      <c r="BJ279"/>
      <c r="BK279"/>
      <c r="BL279"/>
      <c r="BM279"/>
    </row>
    <row r="280" spans="1:65" s="416" customFormat="1" x14ac:dyDescent="0.2">
      <c r="A280" s="282" t="s">
        <v>123</v>
      </c>
      <c r="B280" s="14">
        <v>45908</v>
      </c>
      <c r="C280" s="14">
        <v>45910</v>
      </c>
      <c r="D280" s="13" t="s">
        <v>124</v>
      </c>
      <c r="E280" s="324" t="s">
        <v>125</v>
      </c>
      <c r="F280" s="13" t="s">
        <v>140</v>
      </c>
      <c r="G280" s="13" t="s">
        <v>126</v>
      </c>
      <c r="H280" s="349">
        <v>1000</v>
      </c>
      <c r="I280" s="15"/>
      <c r="J280" s="15"/>
      <c r="K280" s="15"/>
      <c r="L280" s="15"/>
      <c r="M280" s="15"/>
      <c r="N280" s="15"/>
      <c r="O280" s="15"/>
      <c r="P280" s="15"/>
      <c r="Q280" s="15"/>
      <c r="R280" s="15"/>
      <c r="S280" s="15"/>
      <c r="T280" s="15"/>
      <c r="U280" s="15"/>
      <c r="V280" s="15"/>
      <c r="W280" s="15"/>
      <c r="X280" s="15"/>
      <c r="Y280" s="15"/>
      <c r="Z280" s="15"/>
      <c r="AA280" s="15">
        <v>0</v>
      </c>
      <c r="AB280" s="16" t="e">
        <f>100/(SUM(I280:Z280))</f>
        <v>#DIV/0!</v>
      </c>
      <c r="AC280" s="259">
        <f>SUM(I280:AA280)</f>
        <v>0</v>
      </c>
      <c r="AD280" s="15"/>
      <c r="AE280" s="15"/>
      <c r="AF280" s="15"/>
      <c r="AG280" s="17" t="s">
        <v>127</v>
      </c>
      <c r="AH280" s="18" t="s">
        <v>2081</v>
      </c>
      <c r="AI280" s="201" t="s">
        <v>2080</v>
      </c>
      <c r="AJ280" s="201"/>
      <c r="AK280" s="13" t="s">
        <v>2086</v>
      </c>
      <c r="AL280" s="17">
        <f>(B280-DATE(1970,1,1))*86400</f>
        <v>1757289600</v>
      </c>
      <c r="AM280" s="17">
        <f>(C280-DATE(1970,1,1))*86400</f>
        <v>1757462400</v>
      </c>
      <c r="AN280" s="17">
        <f>AVERAGE(AL280:AM280)</f>
        <v>1757376000</v>
      </c>
      <c r="AO280"/>
      <c r="AP280"/>
      <c r="AQ280"/>
      <c r="AR280"/>
      <c r="AS280"/>
      <c r="AT280"/>
      <c r="AU280"/>
      <c r="AV280"/>
      <c r="AW280"/>
      <c r="AX280"/>
      <c r="AY280"/>
      <c r="AZ280"/>
      <c r="BA280"/>
      <c r="BB280"/>
      <c r="BC280"/>
      <c r="BD280"/>
      <c r="BE280"/>
      <c r="BF280"/>
      <c r="BG280"/>
      <c r="BH280"/>
      <c r="BI280"/>
      <c r="BJ280"/>
      <c r="BK280"/>
      <c r="BL280"/>
      <c r="BM280"/>
    </row>
    <row r="281" spans="1:65" s="416" customFormat="1" ht="15.75" customHeight="1" x14ac:dyDescent="0.2">
      <c r="A281" s="283" t="s">
        <v>123</v>
      </c>
      <c r="B281" s="28">
        <v>45908</v>
      </c>
      <c r="C281" s="28">
        <v>45910</v>
      </c>
      <c r="D281" s="27" t="s">
        <v>139</v>
      </c>
      <c r="E281" s="331" t="s">
        <v>125</v>
      </c>
      <c r="F281" s="27"/>
      <c r="G281" s="27" t="s">
        <v>126</v>
      </c>
      <c r="H281" s="352">
        <v>1000</v>
      </c>
      <c r="I281" s="29">
        <v>47</v>
      </c>
      <c r="J281" s="29"/>
      <c r="K281" s="29"/>
      <c r="L281" s="29"/>
      <c r="M281" s="29">
        <v>4</v>
      </c>
      <c r="N281" s="29"/>
      <c r="O281" s="29"/>
      <c r="P281" s="29"/>
      <c r="Q281" s="29"/>
      <c r="R281" s="29"/>
      <c r="S281" s="29"/>
      <c r="T281" s="29"/>
      <c r="U281" s="29"/>
      <c r="V281" s="29">
        <v>3</v>
      </c>
      <c r="W281" s="29"/>
      <c r="X281" s="29">
        <v>5</v>
      </c>
      <c r="Y281" s="29">
        <v>40</v>
      </c>
      <c r="Z281" s="29">
        <v>1</v>
      </c>
      <c r="AA281" s="29">
        <v>0</v>
      </c>
      <c r="AB281" s="30">
        <f>100/(SUM(I281:Z281))</f>
        <v>1</v>
      </c>
      <c r="AC281" s="259">
        <f>SUM(I281:AA281)</f>
        <v>100</v>
      </c>
      <c r="AD281" s="29"/>
      <c r="AE281" s="29"/>
      <c r="AF281" s="29"/>
      <c r="AG281" s="31" t="s">
        <v>127</v>
      </c>
      <c r="AH281" s="198" t="s">
        <v>2091</v>
      </c>
      <c r="AI281" s="198" t="s">
        <v>2092</v>
      </c>
      <c r="AJ281" s="198" t="s">
        <v>2093</v>
      </c>
      <c r="AK281" s="27" t="s">
        <v>2100</v>
      </c>
      <c r="AL281" s="31">
        <f>(B281-DATE(1970,1,1))*86400</f>
        <v>1757289600</v>
      </c>
      <c r="AM281" s="31">
        <f>(C281-DATE(1970,1,1))*86400</f>
        <v>1757462400</v>
      </c>
      <c r="AN281" s="31">
        <f>AVERAGE(AL281:AM281)</f>
        <v>1757376000</v>
      </c>
      <c r="AO281"/>
      <c r="AP281"/>
      <c r="AQ281"/>
      <c r="AR281"/>
      <c r="AS281"/>
      <c r="AT281"/>
      <c r="AU281"/>
      <c r="AV281"/>
      <c r="AW281"/>
      <c r="AX281"/>
      <c r="AY281"/>
      <c r="AZ281"/>
      <c r="BA281"/>
      <c r="BB281"/>
      <c r="BC281"/>
      <c r="BD281"/>
      <c r="BE281"/>
      <c r="BF281"/>
      <c r="BG281"/>
      <c r="BH281"/>
      <c r="BI281"/>
      <c r="BJ281"/>
      <c r="BK281"/>
      <c r="BL281"/>
      <c r="BM281"/>
    </row>
    <row r="282" spans="1:65" ht="15.75" customHeight="1" x14ac:dyDescent="0.2">
      <c r="A282" s="284" t="s">
        <v>133</v>
      </c>
      <c r="B282" s="20">
        <v>45900</v>
      </c>
      <c r="C282" s="20">
        <v>45906</v>
      </c>
      <c r="D282" s="19" t="s">
        <v>134</v>
      </c>
      <c r="E282" s="332" t="s">
        <v>125</v>
      </c>
      <c r="F282" s="19"/>
      <c r="G282" s="19" t="s">
        <v>135</v>
      </c>
      <c r="H282" s="332">
        <v>1500</v>
      </c>
      <c r="I282" s="21">
        <v>29</v>
      </c>
      <c r="J282" s="21">
        <v>0</v>
      </c>
      <c r="K282" s="21">
        <v>0</v>
      </c>
      <c r="L282" s="21">
        <v>0</v>
      </c>
      <c r="M282" s="21">
        <v>4</v>
      </c>
      <c r="N282" s="21"/>
      <c r="O282" s="21">
        <v>0</v>
      </c>
      <c r="P282" s="21"/>
      <c r="Q282" s="21"/>
      <c r="R282" s="22"/>
      <c r="S282" s="21">
        <v>0</v>
      </c>
      <c r="T282" s="21">
        <v>1</v>
      </c>
      <c r="U282" s="21"/>
      <c r="V282" s="21">
        <v>2</v>
      </c>
      <c r="W282" s="21">
        <v>0</v>
      </c>
      <c r="X282" s="21">
        <v>3</v>
      </c>
      <c r="Y282" s="21">
        <v>35</v>
      </c>
      <c r="Z282" s="21">
        <v>1</v>
      </c>
      <c r="AA282" s="21">
        <v>25</v>
      </c>
      <c r="AB282" s="23">
        <f>100/(SUM(I282:Z282))</f>
        <v>1.3333333333333333</v>
      </c>
      <c r="AC282" s="259">
        <f>SUM(I282:AA282)</f>
        <v>100</v>
      </c>
      <c r="AD282" s="21"/>
      <c r="AE282" s="24"/>
      <c r="AF282" s="24"/>
      <c r="AG282" s="25" t="s">
        <v>136</v>
      </c>
      <c r="AH282" s="26" t="s">
        <v>2062</v>
      </c>
      <c r="AI282" s="26" t="s">
        <v>2063</v>
      </c>
      <c r="AJ282" s="219" t="s">
        <v>2087</v>
      </c>
      <c r="AK282" s="19" t="s">
        <v>2064</v>
      </c>
      <c r="AL282" s="25">
        <f>(B282-DATE(1970,1,1))*86400</f>
        <v>1756598400</v>
      </c>
      <c r="AM282" s="25">
        <f>(C282-DATE(1970,1,1))*86400</f>
        <v>1757116800</v>
      </c>
      <c r="AN282" s="25">
        <f>AVERAGE(AL282:AM282)</f>
        <v>1756857600</v>
      </c>
    </row>
    <row r="283" spans="1:65" x14ac:dyDescent="0.2">
      <c r="A283" s="284" t="s">
        <v>123</v>
      </c>
      <c r="B283" s="20">
        <v>45900</v>
      </c>
      <c r="C283" s="20">
        <v>45906</v>
      </c>
      <c r="D283" s="19" t="s">
        <v>134</v>
      </c>
      <c r="E283" s="332" t="s">
        <v>125</v>
      </c>
      <c r="F283" s="19"/>
      <c r="G283" s="19" t="s">
        <v>135</v>
      </c>
      <c r="H283" s="332">
        <v>1500</v>
      </c>
      <c r="I283" s="21">
        <v>39</v>
      </c>
      <c r="J283" s="21">
        <v>0</v>
      </c>
      <c r="K283" s="21">
        <v>0</v>
      </c>
      <c r="L283" s="21">
        <v>0</v>
      </c>
      <c r="M283" s="21">
        <v>5</v>
      </c>
      <c r="N283" s="21"/>
      <c r="O283" s="21">
        <v>0</v>
      </c>
      <c r="P283" s="21"/>
      <c r="Q283" s="21"/>
      <c r="R283" s="22"/>
      <c r="S283" s="21">
        <v>0</v>
      </c>
      <c r="T283" s="21">
        <v>1</v>
      </c>
      <c r="U283" s="21"/>
      <c r="V283" s="21">
        <v>2</v>
      </c>
      <c r="W283" s="21">
        <v>0</v>
      </c>
      <c r="X283" s="21">
        <v>4</v>
      </c>
      <c r="Y283" s="21">
        <v>48</v>
      </c>
      <c r="Z283" s="21">
        <v>1</v>
      </c>
      <c r="AA283" s="21">
        <v>0</v>
      </c>
      <c r="AB283" s="23">
        <f>100/(SUM(I283:Z283))</f>
        <v>1</v>
      </c>
      <c r="AC283" s="259">
        <f>SUM(I283:AA283)</f>
        <v>100</v>
      </c>
      <c r="AD283" s="24"/>
      <c r="AE283" s="24"/>
      <c r="AF283" s="24"/>
      <c r="AG283" s="25" t="s">
        <v>136</v>
      </c>
      <c r="AH283" s="26" t="s">
        <v>2062</v>
      </c>
      <c r="AI283" s="26" t="s">
        <v>2063</v>
      </c>
      <c r="AJ283" s="26"/>
      <c r="AK283" s="19"/>
      <c r="AL283" s="25">
        <f>(B283-DATE(1970,1,1))*86400</f>
        <v>1756598400</v>
      </c>
      <c r="AM283" s="25">
        <f>(C283-DATE(1970,1,1))*86400</f>
        <v>1757116800</v>
      </c>
      <c r="AN283" s="25">
        <f>AVERAGE(AL283:AM283)</f>
        <v>1756857600</v>
      </c>
    </row>
    <row r="284" spans="1:65" ht="15.75" customHeight="1" x14ac:dyDescent="0.2">
      <c r="A284" s="281" t="s">
        <v>133</v>
      </c>
      <c r="B284" s="240">
        <v>45901</v>
      </c>
      <c r="C284" s="240">
        <v>45905</v>
      </c>
      <c r="D284" s="53" t="s">
        <v>154</v>
      </c>
      <c r="E284" s="323" t="s">
        <v>125</v>
      </c>
      <c r="F284" s="53" t="s">
        <v>2483</v>
      </c>
      <c r="G284" s="53" t="s">
        <v>126</v>
      </c>
      <c r="H284" s="351">
        <v>1000</v>
      </c>
      <c r="I284" s="55"/>
      <c r="J284" s="55"/>
      <c r="K284" s="55"/>
      <c r="L284" s="55"/>
      <c r="M284" s="55"/>
      <c r="N284" s="55"/>
      <c r="O284" s="55"/>
      <c r="P284" s="55"/>
      <c r="Q284" s="55"/>
      <c r="R284" s="56"/>
      <c r="S284" s="55"/>
      <c r="T284" s="55"/>
      <c r="U284" s="55"/>
      <c r="V284" s="55"/>
      <c r="W284" s="55"/>
      <c r="X284" s="55"/>
      <c r="Y284" s="55"/>
      <c r="Z284" s="55"/>
      <c r="AA284" s="55"/>
      <c r="AB284" s="57" t="e">
        <f>100/(SUM(I284:Z284))</f>
        <v>#DIV/0!</v>
      </c>
      <c r="AC284" s="259">
        <f>SUM(I284:AA284)</f>
        <v>0</v>
      </c>
      <c r="AD284" s="55"/>
      <c r="AE284" s="55"/>
      <c r="AF284" s="55"/>
      <c r="AG284" s="58" t="s">
        <v>127</v>
      </c>
      <c r="AH284" s="186" t="s">
        <v>2069</v>
      </c>
      <c r="AI284" s="59"/>
      <c r="AJ284" s="186"/>
      <c r="AK284" s="53" t="s">
        <v>138</v>
      </c>
      <c r="AL284" s="58">
        <f>(B284-DATE(1970,1,1))*86400</f>
        <v>1756684800</v>
      </c>
      <c r="AM284" s="58">
        <f>(C284-DATE(1970,1,1))*86400</f>
        <v>1757030400</v>
      </c>
      <c r="AN284" s="58">
        <f>AVERAGE(AL284:AM284)</f>
        <v>1756857600</v>
      </c>
    </row>
    <row r="285" spans="1:65" ht="15.75" customHeight="1" x14ac:dyDescent="0.2">
      <c r="A285" s="285" t="s">
        <v>133</v>
      </c>
      <c r="B285" s="34">
        <v>45894</v>
      </c>
      <c r="C285" s="34">
        <v>45908</v>
      </c>
      <c r="D285" s="33" t="s">
        <v>143</v>
      </c>
      <c r="E285" s="319" t="s">
        <v>125</v>
      </c>
      <c r="F285" s="33" t="s">
        <v>2497</v>
      </c>
      <c r="G285" s="33" t="s">
        <v>126</v>
      </c>
      <c r="H285" s="353">
        <v>1000</v>
      </c>
      <c r="I285" s="35">
        <v>24</v>
      </c>
      <c r="J285" s="35"/>
      <c r="K285" s="35"/>
      <c r="L285" s="35"/>
      <c r="M285" s="35">
        <v>4</v>
      </c>
      <c r="N285" s="35"/>
      <c r="O285" s="35"/>
      <c r="P285" s="35"/>
      <c r="Q285" s="35"/>
      <c r="R285" s="36"/>
      <c r="S285" s="35"/>
      <c r="T285" s="35"/>
      <c r="U285" s="35"/>
      <c r="V285" s="35">
        <v>5</v>
      </c>
      <c r="W285" s="35"/>
      <c r="X285" s="35">
        <v>2</v>
      </c>
      <c r="Y285" s="35">
        <v>51</v>
      </c>
      <c r="Z285" s="35">
        <v>1</v>
      </c>
      <c r="AA285" s="35">
        <v>13</v>
      </c>
      <c r="AB285" s="37">
        <f>100/(SUM(I285:Z285))</f>
        <v>1.1494252873563218</v>
      </c>
      <c r="AC285" s="259">
        <f>SUM(I285:AA285)</f>
        <v>100</v>
      </c>
      <c r="AD285" s="35"/>
      <c r="AE285" s="35"/>
      <c r="AF285" s="35"/>
      <c r="AG285" s="33" t="s">
        <v>144</v>
      </c>
      <c r="AH285" s="223" t="s">
        <v>2102</v>
      </c>
      <c r="AI285" s="190" t="s">
        <v>2406</v>
      </c>
      <c r="AJ285" s="190"/>
      <c r="AK285" s="33" t="s">
        <v>2197</v>
      </c>
      <c r="AL285" s="39">
        <f>(B285-DATE(1970,1,1))*86400</f>
        <v>1756080000</v>
      </c>
      <c r="AM285" s="39">
        <f>(C285-DATE(1970,1,1))*86400</f>
        <v>1757289600</v>
      </c>
      <c r="AN285" s="39">
        <f>AVERAGE(AL285:AM285)</f>
        <v>1756684800</v>
      </c>
    </row>
    <row r="286" spans="1:65" x14ac:dyDescent="0.2">
      <c r="A286" s="285" t="s">
        <v>133</v>
      </c>
      <c r="B286" s="34">
        <v>45894</v>
      </c>
      <c r="C286" s="34">
        <v>45908</v>
      </c>
      <c r="D286" s="33" t="s">
        <v>143</v>
      </c>
      <c r="E286" s="319" t="s">
        <v>125</v>
      </c>
      <c r="F286" s="33" t="s">
        <v>2497</v>
      </c>
      <c r="G286" s="33" t="s">
        <v>126</v>
      </c>
      <c r="H286" s="353">
        <v>1000</v>
      </c>
      <c r="I286" s="35">
        <v>27</v>
      </c>
      <c r="J286" s="35"/>
      <c r="K286" s="35" t="s">
        <v>355</v>
      </c>
      <c r="L286" s="35"/>
      <c r="M286" s="35">
        <v>4</v>
      </c>
      <c r="N286" s="35"/>
      <c r="O286" s="35"/>
      <c r="P286" s="35"/>
      <c r="Q286" s="35"/>
      <c r="R286" s="36"/>
      <c r="S286" s="35"/>
      <c r="T286" s="35"/>
      <c r="U286" s="35"/>
      <c r="V286" s="35">
        <v>5</v>
      </c>
      <c r="W286" s="35"/>
      <c r="X286" s="35">
        <v>3</v>
      </c>
      <c r="Y286" s="35">
        <v>59</v>
      </c>
      <c r="Z286" s="35">
        <v>2</v>
      </c>
      <c r="AA286" s="35">
        <v>0</v>
      </c>
      <c r="AB286" s="37">
        <f>100/(SUM(I286:Z286))</f>
        <v>1</v>
      </c>
      <c r="AC286" s="259">
        <f>SUM(I286:AA286)</f>
        <v>100</v>
      </c>
      <c r="AD286" s="35"/>
      <c r="AE286" s="35"/>
      <c r="AF286" s="35"/>
      <c r="AG286" s="33" t="s">
        <v>144</v>
      </c>
      <c r="AH286" s="223" t="s">
        <v>2102</v>
      </c>
      <c r="AI286" s="196"/>
      <c r="AJ286" s="190"/>
      <c r="AK286" s="33"/>
      <c r="AL286" s="39">
        <f>(B286-DATE(1970,1,1))*86400</f>
        <v>1756080000</v>
      </c>
      <c r="AM286" s="39">
        <f>(C286-DATE(1970,1,1))*86400</f>
        <v>1757289600</v>
      </c>
      <c r="AN286" s="39">
        <f>AVERAGE(AL286:AM286)</f>
        <v>1756684800</v>
      </c>
    </row>
    <row r="287" spans="1:65" ht="15.75" customHeight="1" x14ac:dyDescent="0.2">
      <c r="A287" s="285" t="s">
        <v>123</v>
      </c>
      <c r="B287" s="34">
        <v>45894</v>
      </c>
      <c r="C287" s="34">
        <v>45908</v>
      </c>
      <c r="D287" s="33" t="s">
        <v>143</v>
      </c>
      <c r="E287" s="319" t="s">
        <v>125</v>
      </c>
      <c r="F287" s="33" t="s">
        <v>2497</v>
      </c>
      <c r="G287" s="33" t="s">
        <v>126</v>
      </c>
      <c r="H287" s="353">
        <v>1000</v>
      </c>
      <c r="I287" s="35">
        <v>26</v>
      </c>
      <c r="J287" s="35"/>
      <c r="K287" s="35" t="s">
        <v>355</v>
      </c>
      <c r="L287" s="35"/>
      <c r="M287" s="35">
        <v>4</v>
      </c>
      <c r="N287" s="35"/>
      <c r="O287" s="35"/>
      <c r="P287" s="35"/>
      <c r="Q287" s="35"/>
      <c r="R287" s="36"/>
      <c r="S287" s="35"/>
      <c r="T287" s="35"/>
      <c r="U287" s="35"/>
      <c r="V287" s="35">
        <v>5</v>
      </c>
      <c r="W287" s="35"/>
      <c r="X287" s="35">
        <v>2</v>
      </c>
      <c r="Y287" s="35">
        <v>61</v>
      </c>
      <c r="Z287" s="35">
        <v>2</v>
      </c>
      <c r="AA287" s="35">
        <v>0</v>
      </c>
      <c r="AB287" s="37">
        <f>100/(SUM(I287:Z287))</f>
        <v>1</v>
      </c>
      <c r="AC287" s="259">
        <f>SUM(I287:AA287)</f>
        <v>100</v>
      </c>
      <c r="AD287" s="35"/>
      <c r="AE287" s="35"/>
      <c r="AF287" s="35"/>
      <c r="AG287" s="33" t="s">
        <v>144</v>
      </c>
      <c r="AH287" s="223" t="s">
        <v>2102</v>
      </c>
      <c r="AI287" s="196"/>
      <c r="AJ287" s="190"/>
      <c r="AK287" s="33"/>
      <c r="AL287" s="39">
        <f>(B287-DATE(1970,1,1))*86400</f>
        <v>1756080000</v>
      </c>
      <c r="AM287" s="39">
        <f>(C287-DATE(1970,1,1))*86400</f>
        <v>1757289600</v>
      </c>
      <c r="AN287" s="39">
        <f>AVERAGE(AL287:AM287)</f>
        <v>1756684800</v>
      </c>
    </row>
    <row r="288" spans="1:65" ht="15.75" customHeight="1" x14ac:dyDescent="0.2">
      <c r="A288" s="278" t="s">
        <v>133</v>
      </c>
      <c r="B288" s="203">
        <v>45901</v>
      </c>
      <c r="C288" s="203">
        <v>45901</v>
      </c>
      <c r="D288" s="202" t="s">
        <v>1706</v>
      </c>
      <c r="E288" s="330" t="s">
        <v>184</v>
      </c>
      <c r="F288" s="202" t="s">
        <v>140</v>
      </c>
      <c r="G288" s="202" t="s">
        <v>135</v>
      </c>
      <c r="H288" s="330">
        <v>1200</v>
      </c>
      <c r="I288" s="202"/>
      <c r="J288" s="202"/>
      <c r="K288" s="202"/>
      <c r="L288" s="202"/>
      <c r="M288" s="202"/>
      <c r="N288" s="202"/>
      <c r="O288" s="202"/>
      <c r="P288" s="202"/>
      <c r="Q288" s="202"/>
      <c r="R288" s="202"/>
      <c r="S288" s="202"/>
      <c r="T288" s="202"/>
      <c r="U288" s="202"/>
      <c r="V288" s="202"/>
      <c r="W288" s="204"/>
      <c r="X288" s="202"/>
      <c r="Y288" s="202"/>
      <c r="Z288" s="202"/>
      <c r="AA288" s="202"/>
      <c r="AB288" s="205"/>
      <c r="AC288" s="259">
        <f>SUM(I288:AA288)</f>
        <v>0</v>
      </c>
      <c r="AD288" s="206"/>
      <c r="AE288" s="206"/>
      <c r="AF288" s="206"/>
      <c r="AG288" s="206" t="s">
        <v>1940</v>
      </c>
      <c r="AH288" s="207" t="s">
        <v>2053</v>
      </c>
      <c r="AI288" s="202" t="s">
        <v>2054</v>
      </c>
      <c r="AJ288" s="202" t="s">
        <v>2055</v>
      </c>
      <c r="AK288" s="202" t="s">
        <v>2056</v>
      </c>
      <c r="AL288" s="208">
        <f>(B288-DATE(1970,1,1))*86400</f>
        <v>1756684800</v>
      </c>
      <c r="AM288" s="208">
        <f>(C288-DATE(1970,1,1))*86400</f>
        <v>1756684800</v>
      </c>
      <c r="AN288" s="208">
        <f>AVERAGE(AL288:AM288)</f>
        <v>1756684800</v>
      </c>
    </row>
    <row r="289" spans="1:65" ht="15.75" customHeight="1" x14ac:dyDescent="0.2">
      <c r="A289" s="285" t="s">
        <v>133</v>
      </c>
      <c r="B289" s="34">
        <v>45897</v>
      </c>
      <c r="C289" s="34">
        <v>45904</v>
      </c>
      <c r="D289" s="33" t="s">
        <v>143</v>
      </c>
      <c r="E289" s="319" t="s">
        <v>125</v>
      </c>
      <c r="F289" s="33"/>
      <c r="G289" s="33" t="s">
        <v>126</v>
      </c>
      <c r="H289" s="353">
        <v>1000</v>
      </c>
      <c r="I289" s="35">
        <v>30</v>
      </c>
      <c r="J289" s="35"/>
      <c r="K289" s="35"/>
      <c r="L289" s="35"/>
      <c r="M289" s="35">
        <v>2</v>
      </c>
      <c r="N289" s="35"/>
      <c r="O289" s="35"/>
      <c r="P289" s="35"/>
      <c r="Q289" s="35"/>
      <c r="R289" s="36"/>
      <c r="S289" s="35"/>
      <c r="T289" s="35"/>
      <c r="U289" s="35"/>
      <c r="V289" s="35">
        <v>3</v>
      </c>
      <c r="W289" s="35"/>
      <c r="X289" s="35">
        <v>4</v>
      </c>
      <c r="Y289" s="35">
        <v>37</v>
      </c>
      <c r="Z289" s="35">
        <v>2</v>
      </c>
      <c r="AA289" s="35">
        <v>22</v>
      </c>
      <c r="AB289" s="37">
        <f>100/(SUM(I289:Z289))</f>
        <v>1.2820512820512822</v>
      </c>
      <c r="AC289" s="259">
        <f>SUM(I289:AA289)</f>
        <v>100</v>
      </c>
      <c r="AD289" s="35"/>
      <c r="AE289" s="35"/>
      <c r="AF289" s="35"/>
      <c r="AG289" s="33" t="s">
        <v>144</v>
      </c>
      <c r="AH289" s="223" t="s">
        <v>165</v>
      </c>
      <c r="AI289" s="196" t="s">
        <v>2061</v>
      </c>
      <c r="AJ289" s="190" t="s">
        <v>2098</v>
      </c>
      <c r="AK289" s="33" t="s">
        <v>2065</v>
      </c>
      <c r="AL289" s="39">
        <f>(B289-DATE(1970,1,1))*86400</f>
        <v>1756339200</v>
      </c>
      <c r="AM289" s="39">
        <f>(C289-DATE(1970,1,1))*86400</f>
        <v>1756944000</v>
      </c>
      <c r="AN289" s="39">
        <f>AVERAGE(AL289:AM289)</f>
        <v>1756641600</v>
      </c>
    </row>
    <row r="290" spans="1:65" ht="15.75" customHeight="1" x14ac:dyDescent="0.2">
      <c r="A290" s="285" t="s">
        <v>133</v>
      </c>
      <c r="B290" s="34">
        <v>45897</v>
      </c>
      <c r="C290" s="34">
        <v>45904</v>
      </c>
      <c r="D290" s="33" t="s">
        <v>143</v>
      </c>
      <c r="E290" s="319" t="s">
        <v>125</v>
      </c>
      <c r="F290" s="33"/>
      <c r="G290" s="33" t="s">
        <v>126</v>
      </c>
      <c r="H290" s="353">
        <v>1000</v>
      </c>
      <c r="I290" s="35">
        <v>38</v>
      </c>
      <c r="J290" s="35"/>
      <c r="K290" s="35" t="s">
        <v>355</v>
      </c>
      <c r="L290" s="35"/>
      <c r="M290" s="35">
        <v>2</v>
      </c>
      <c r="N290" s="35"/>
      <c r="O290" s="35"/>
      <c r="P290" s="35"/>
      <c r="Q290" s="35"/>
      <c r="R290" s="36"/>
      <c r="S290" s="35"/>
      <c r="T290" s="35"/>
      <c r="U290" s="35"/>
      <c r="V290" s="35">
        <v>4</v>
      </c>
      <c r="W290" s="35"/>
      <c r="X290" s="35">
        <v>5</v>
      </c>
      <c r="Y290" s="35">
        <v>48</v>
      </c>
      <c r="Z290" s="35">
        <v>3</v>
      </c>
      <c r="AA290" s="35">
        <v>0</v>
      </c>
      <c r="AB290" s="37">
        <f>100/(SUM(I290:Z290))</f>
        <v>1</v>
      </c>
      <c r="AC290" s="259">
        <f>SUM(I290:AA290)</f>
        <v>100</v>
      </c>
      <c r="AD290" s="35"/>
      <c r="AE290" s="35"/>
      <c r="AF290" s="35"/>
      <c r="AG290" s="33" t="s">
        <v>144</v>
      </c>
      <c r="AH290" s="223" t="s">
        <v>165</v>
      </c>
      <c r="AI290" s="196" t="s">
        <v>2061</v>
      </c>
      <c r="AJ290" s="190" t="s">
        <v>2098</v>
      </c>
      <c r="AK290" s="33"/>
      <c r="AL290" s="39">
        <f>(B290-DATE(1970,1,1))*86400</f>
        <v>1756339200</v>
      </c>
      <c r="AM290" s="39">
        <f>(C290-DATE(1970,1,1))*86400</f>
        <v>1756944000</v>
      </c>
      <c r="AN290" s="39">
        <f>AVERAGE(AL290:AM290)</f>
        <v>1756641600</v>
      </c>
    </row>
    <row r="291" spans="1:65" ht="15.75" customHeight="1" x14ac:dyDescent="0.2">
      <c r="A291" s="285" t="s">
        <v>123</v>
      </c>
      <c r="B291" s="34">
        <v>45897</v>
      </c>
      <c r="C291" s="34">
        <v>45904</v>
      </c>
      <c r="D291" s="33" t="s">
        <v>143</v>
      </c>
      <c r="E291" s="319" t="s">
        <v>125</v>
      </c>
      <c r="F291" s="33"/>
      <c r="G291" s="33" t="s">
        <v>126</v>
      </c>
      <c r="H291" s="353">
        <v>1000</v>
      </c>
      <c r="I291" s="35">
        <v>38</v>
      </c>
      <c r="J291" s="35"/>
      <c r="K291" s="35" t="s">
        <v>355</v>
      </c>
      <c r="L291" s="35"/>
      <c r="M291" s="35">
        <v>2</v>
      </c>
      <c r="N291" s="35"/>
      <c r="O291" s="35"/>
      <c r="P291" s="35"/>
      <c r="Q291" s="35"/>
      <c r="R291" s="36"/>
      <c r="S291" s="35"/>
      <c r="T291" s="35"/>
      <c r="U291" s="35"/>
      <c r="V291" s="35">
        <v>3</v>
      </c>
      <c r="W291" s="35"/>
      <c r="X291" s="35">
        <v>4</v>
      </c>
      <c r="Y291" s="35">
        <v>51</v>
      </c>
      <c r="Z291" s="35">
        <v>2</v>
      </c>
      <c r="AA291" s="35">
        <v>0</v>
      </c>
      <c r="AB291" s="37">
        <f>100/(SUM(I291:Z291))</f>
        <v>1</v>
      </c>
      <c r="AC291" s="259">
        <f>SUM(I291:AA291)</f>
        <v>100</v>
      </c>
      <c r="AD291" s="35"/>
      <c r="AE291" s="35"/>
      <c r="AF291" s="35"/>
      <c r="AG291" s="33" t="s">
        <v>144</v>
      </c>
      <c r="AH291" s="223" t="s">
        <v>165</v>
      </c>
      <c r="AI291" s="196" t="s">
        <v>2061</v>
      </c>
      <c r="AJ291" s="190" t="s">
        <v>2098</v>
      </c>
      <c r="AK291" s="33"/>
      <c r="AL291" s="39">
        <f>(B291-DATE(1970,1,1))*86400</f>
        <v>1756339200</v>
      </c>
      <c r="AM291" s="39">
        <f>(C291-DATE(1970,1,1))*86400</f>
        <v>1756944000</v>
      </c>
      <c r="AN291" s="39">
        <f>AVERAGE(AL291:AM291)</f>
        <v>1756641600</v>
      </c>
    </row>
    <row r="292" spans="1:65" ht="15.75" customHeight="1" x14ac:dyDescent="0.2">
      <c r="A292" s="286" t="s">
        <v>133</v>
      </c>
      <c r="B292" s="41">
        <v>45898</v>
      </c>
      <c r="C292" s="41">
        <v>45903</v>
      </c>
      <c r="D292" s="40" t="s">
        <v>148</v>
      </c>
      <c r="E292" s="325" t="s">
        <v>125</v>
      </c>
      <c r="F292" s="40"/>
      <c r="G292" s="40" t="s">
        <v>126</v>
      </c>
      <c r="H292" s="325">
        <v>1000</v>
      </c>
      <c r="I292" s="42">
        <v>28</v>
      </c>
      <c r="J292" s="42">
        <v>1</v>
      </c>
      <c r="K292" s="42"/>
      <c r="L292" s="42"/>
      <c r="M292" s="42">
        <v>4</v>
      </c>
      <c r="N292" s="42"/>
      <c r="O292" s="42"/>
      <c r="P292" s="42">
        <v>1</v>
      </c>
      <c r="Q292" s="42"/>
      <c r="R292" s="43"/>
      <c r="S292" s="42"/>
      <c r="T292" s="42"/>
      <c r="U292" s="42"/>
      <c r="V292" s="42">
        <v>4</v>
      </c>
      <c r="W292" s="42"/>
      <c r="X292" s="42">
        <v>5</v>
      </c>
      <c r="Y292" s="42">
        <v>33</v>
      </c>
      <c r="Z292" s="42">
        <v>2</v>
      </c>
      <c r="AA292" s="42">
        <v>22</v>
      </c>
      <c r="AB292" s="44">
        <f>100/(SUM(I292:Z292))</f>
        <v>1.2820512820512822</v>
      </c>
      <c r="AC292" s="259">
        <f>SUM(I292:AA292)</f>
        <v>100</v>
      </c>
      <c r="AD292" s="42"/>
      <c r="AE292" s="43"/>
      <c r="AF292" s="43"/>
      <c r="AG292" s="45" t="s">
        <v>136</v>
      </c>
      <c r="AH292" s="189" t="s">
        <v>2051</v>
      </c>
      <c r="AI292" s="46" t="s">
        <v>2052</v>
      </c>
      <c r="AJ292" s="46"/>
      <c r="AK292" s="40" t="s">
        <v>2066</v>
      </c>
      <c r="AL292" s="45">
        <f>(B292-DATE(1970,1,1))*86400</f>
        <v>1756425600</v>
      </c>
      <c r="AM292" s="45">
        <f>(C292-DATE(1970,1,1))*86400</f>
        <v>1756857600</v>
      </c>
      <c r="AN292" s="45">
        <f>AVERAGE(AL292:AM292)</f>
        <v>1756641600</v>
      </c>
    </row>
    <row r="293" spans="1:65" ht="15.75" customHeight="1" x14ac:dyDescent="0.2">
      <c r="A293" s="286" t="s">
        <v>123</v>
      </c>
      <c r="B293" s="41">
        <v>45898</v>
      </c>
      <c r="C293" s="41">
        <v>45903</v>
      </c>
      <c r="D293" s="40" t="s">
        <v>148</v>
      </c>
      <c r="E293" s="325" t="s">
        <v>125</v>
      </c>
      <c r="F293" s="40"/>
      <c r="G293" s="40" t="s">
        <v>126</v>
      </c>
      <c r="H293" s="325">
        <v>1000</v>
      </c>
      <c r="I293" s="42">
        <v>36</v>
      </c>
      <c r="J293" s="42">
        <v>1</v>
      </c>
      <c r="K293" s="42"/>
      <c r="L293" s="42"/>
      <c r="M293" s="42">
        <v>5</v>
      </c>
      <c r="N293" s="42"/>
      <c r="O293" s="42"/>
      <c r="P293" s="42">
        <v>1</v>
      </c>
      <c r="Q293" s="42"/>
      <c r="R293" s="43"/>
      <c r="S293" s="42"/>
      <c r="T293" s="42"/>
      <c r="U293" s="42"/>
      <c r="V293" s="42">
        <v>4</v>
      </c>
      <c r="W293" s="42"/>
      <c r="X293" s="42">
        <v>6</v>
      </c>
      <c r="Y293" s="42">
        <v>46</v>
      </c>
      <c r="Z293" s="42">
        <v>1</v>
      </c>
      <c r="AA293" s="42">
        <v>0</v>
      </c>
      <c r="AB293" s="44">
        <f>100/(SUM(I293:Z293))</f>
        <v>1</v>
      </c>
      <c r="AC293" s="259">
        <f>SUM(I293:AA293)</f>
        <v>100</v>
      </c>
      <c r="AD293" s="42"/>
      <c r="AE293" s="43"/>
      <c r="AF293" s="43"/>
      <c r="AG293" s="45" t="s">
        <v>136</v>
      </c>
      <c r="AH293" s="189" t="s">
        <v>2051</v>
      </c>
      <c r="AI293" s="46" t="s">
        <v>2052</v>
      </c>
      <c r="AJ293" s="46"/>
      <c r="AK293" s="40"/>
      <c r="AL293" s="45">
        <f>(B293-DATE(1970,1,1))*86400</f>
        <v>1756425600</v>
      </c>
      <c r="AM293" s="45">
        <f>(C293-DATE(1970,1,1))*86400</f>
        <v>1756857600</v>
      </c>
      <c r="AN293" s="45">
        <f>AVERAGE(AL293:AM293)</f>
        <v>1756641600</v>
      </c>
    </row>
    <row r="294" spans="1:65" ht="15.75" customHeight="1" x14ac:dyDescent="0.2">
      <c r="A294" s="287" t="s">
        <v>133</v>
      </c>
      <c r="B294" s="187">
        <v>45896</v>
      </c>
      <c r="C294" s="265">
        <v>45900</v>
      </c>
      <c r="D294" s="69" t="s">
        <v>183</v>
      </c>
      <c r="E294" s="333" t="s">
        <v>125</v>
      </c>
      <c r="F294" s="69"/>
      <c r="G294" s="188" t="s">
        <v>597</v>
      </c>
      <c r="H294" s="354">
        <v>1000</v>
      </c>
      <c r="I294" s="71">
        <v>26</v>
      </c>
      <c r="J294" s="71"/>
      <c r="K294" s="71"/>
      <c r="L294" s="71"/>
      <c r="M294" s="71">
        <v>2</v>
      </c>
      <c r="N294" s="71"/>
      <c r="O294" s="71"/>
      <c r="P294" s="71"/>
      <c r="Q294" s="71"/>
      <c r="R294" s="72"/>
      <c r="S294" s="71"/>
      <c r="T294" s="71"/>
      <c r="U294" s="71"/>
      <c r="V294" s="71">
        <v>2</v>
      </c>
      <c r="W294" s="71"/>
      <c r="X294" s="71">
        <v>5</v>
      </c>
      <c r="Y294" s="71">
        <v>34</v>
      </c>
      <c r="Z294" s="71">
        <v>1</v>
      </c>
      <c r="AA294" s="71">
        <v>32</v>
      </c>
      <c r="AB294" s="73">
        <f>100/(SUM(I294:Z294))</f>
        <v>1.4285714285714286</v>
      </c>
      <c r="AC294" s="259">
        <f>SUM(I294:AA294)</f>
        <v>102</v>
      </c>
      <c r="AD294" s="71"/>
      <c r="AE294" s="71"/>
      <c r="AF294" s="71"/>
      <c r="AG294" s="74" t="s">
        <v>1892</v>
      </c>
      <c r="AH294" s="199" t="s">
        <v>2046</v>
      </c>
      <c r="AI294" s="221" t="s">
        <v>2050</v>
      </c>
      <c r="AJ294" s="75"/>
      <c r="AK294" s="69" t="s">
        <v>2199</v>
      </c>
      <c r="AL294" s="74">
        <f>(B294-DATE(1970,1,1))*86400</f>
        <v>1756252800</v>
      </c>
      <c r="AM294" s="74">
        <f>(C294-DATE(1970,1,1))*86400</f>
        <v>1756598400</v>
      </c>
      <c r="AN294" s="74">
        <f>AVERAGE(AL294:AM294)</f>
        <v>1756425600</v>
      </c>
    </row>
    <row r="295" spans="1:65" ht="15.75" customHeight="1" x14ac:dyDescent="0.2">
      <c r="A295" s="287" t="s">
        <v>133</v>
      </c>
      <c r="B295" s="187">
        <v>45896</v>
      </c>
      <c r="C295" s="265">
        <v>45900</v>
      </c>
      <c r="D295" s="69" t="s">
        <v>183</v>
      </c>
      <c r="E295" s="333" t="s">
        <v>125</v>
      </c>
      <c r="F295" s="69"/>
      <c r="G295" s="188" t="s">
        <v>597</v>
      </c>
      <c r="H295" s="354">
        <v>1000</v>
      </c>
      <c r="I295" s="71">
        <v>38</v>
      </c>
      <c r="J295" s="71"/>
      <c r="K295" s="71"/>
      <c r="L295" s="71"/>
      <c r="M295" s="71">
        <v>2</v>
      </c>
      <c r="N295" s="71"/>
      <c r="O295" s="71"/>
      <c r="P295" s="71"/>
      <c r="Q295" s="71"/>
      <c r="R295" s="72"/>
      <c r="S295" s="71"/>
      <c r="T295" s="71"/>
      <c r="U295" s="71"/>
      <c r="V295" s="71">
        <v>3</v>
      </c>
      <c r="W295" s="71"/>
      <c r="X295" s="71">
        <v>7</v>
      </c>
      <c r="Y295" s="71">
        <v>48</v>
      </c>
      <c r="Z295" s="71">
        <f>PRODUCT(Z294,100/68)</f>
        <v>1.4705882352941178</v>
      </c>
      <c r="AA295" s="71">
        <v>0</v>
      </c>
      <c r="AB295" s="73">
        <f>100/(SUM(I295:Z295))</f>
        <v>1.0053222945002958</v>
      </c>
      <c r="AC295" s="259">
        <f>SUM(I295:AA295)</f>
        <v>99.470588235294116</v>
      </c>
      <c r="AD295" s="71"/>
      <c r="AE295" s="71"/>
      <c r="AF295" s="71"/>
      <c r="AG295" s="74" t="s">
        <v>1892</v>
      </c>
      <c r="AH295" s="199" t="s">
        <v>2046</v>
      </c>
      <c r="AI295" s="75" t="s">
        <v>2050</v>
      </c>
      <c r="AJ295" s="75"/>
      <c r="AK295" s="69" t="s">
        <v>2067</v>
      </c>
      <c r="AL295" s="74">
        <f>(B295-DATE(1970,1,1))*86400</f>
        <v>1756252800</v>
      </c>
      <c r="AM295" s="74">
        <f>(C295-DATE(1970,1,1))*86400</f>
        <v>1756598400</v>
      </c>
      <c r="AN295" s="74">
        <f>AVERAGE(AL295:AM295)</f>
        <v>1756425600</v>
      </c>
    </row>
    <row r="296" spans="1:65" x14ac:dyDescent="0.2">
      <c r="A296" s="287" t="s">
        <v>123</v>
      </c>
      <c r="B296" s="187">
        <v>45896</v>
      </c>
      <c r="C296" s="265">
        <v>45900</v>
      </c>
      <c r="D296" s="69" t="s">
        <v>183</v>
      </c>
      <c r="E296" s="333" t="s">
        <v>125</v>
      </c>
      <c r="F296" s="69"/>
      <c r="G296" s="188" t="s">
        <v>597</v>
      </c>
      <c r="H296" s="354">
        <v>1000</v>
      </c>
      <c r="I296" s="71">
        <v>36</v>
      </c>
      <c r="J296" s="71"/>
      <c r="K296" s="71"/>
      <c r="L296" s="71"/>
      <c r="M296" s="71">
        <v>2</v>
      </c>
      <c r="N296" s="71"/>
      <c r="O296" s="71"/>
      <c r="P296" s="71"/>
      <c r="Q296" s="71"/>
      <c r="R296" s="72"/>
      <c r="S296" s="71"/>
      <c r="T296" s="71"/>
      <c r="U296" s="71"/>
      <c r="V296" s="71">
        <v>4</v>
      </c>
      <c r="W296" s="71"/>
      <c r="X296" s="71">
        <v>5</v>
      </c>
      <c r="Y296" s="71">
        <v>52</v>
      </c>
      <c r="Z296" s="71">
        <v>1</v>
      </c>
      <c r="AA296" s="71">
        <v>0</v>
      </c>
      <c r="AB296" s="73">
        <f>100/(SUM(I296:Z296))</f>
        <v>1</v>
      </c>
      <c r="AC296" s="259">
        <f>SUM(I296:AA296)</f>
        <v>100</v>
      </c>
      <c r="AD296" s="71"/>
      <c r="AE296" s="71"/>
      <c r="AF296" s="71"/>
      <c r="AG296" s="74" t="s">
        <v>1892</v>
      </c>
      <c r="AH296" s="199" t="s">
        <v>2046</v>
      </c>
      <c r="AI296" s="75" t="s">
        <v>2050</v>
      </c>
      <c r="AJ296" s="75"/>
      <c r="AK296" s="69" t="s">
        <v>2048</v>
      </c>
      <c r="AL296" s="74">
        <f>(B296-DATE(1970,1,1))*86400</f>
        <v>1756252800</v>
      </c>
      <c r="AM296" s="74">
        <f>(C296-DATE(1970,1,1))*86400</f>
        <v>1756598400</v>
      </c>
      <c r="AN296" s="74">
        <f>AVERAGE(AL296:AM296)</f>
        <v>1756425600</v>
      </c>
    </row>
    <row r="297" spans="1:65" ht="15.75" customHeight="1" x14ac:dyDescent="0.2">
      <c r="A297" s="288" t="s">
        <v>133</v>
      </c>
      <c r="B297" s="60">
        <v>45890</v>
      </c>
      <c r="C297" s="60">
        <v>45896</v>
      </c>
      <c r="D297" s="61" t="s">
        <v>168</v>
      </c>
      <c r="E297" s="334" t="s">
        <v>125</v>
      </c>
      <c r="F297" s="218"/>
      <c r="G297" s="61" t="s">
        <v>126</v>
      </c>
      <c r="H297" s="334">
        <v>1000</v>
      </c>
      <c r="I297" s="63">
        <v>26</v>
      </c>
      <c r="J297" s="63">
        <v>1</v>
      </c>
      <c r="K297" s="63">
        <v>1</v>
      </c>
      <c r="L297" s="63">
        <v>0</v>
      </c>
      <c r="M297" s="63">
        <v>5</v>
      </c>
      <c r="N297" s="63"/>
      <c r="O297" s="63">
        <v>0</v>
      </c>
      <c r="P297" s="63">
        <v>1</v>
      </c>
      <c r="Q297" s="63"/>
      <c r="R297" s="64"/>
      <c r="S297" s="63"/>
      <c r="T297" s="63"/>
      <c r="U297" s="63"/>
      <c r="V297" s="63">
        <v>4</v>
      </c>
      <c r="W297" s="63"/>
      <c r="X297" s="63">
        <v>6</v>
      </c>
      <c r="Y297" s="63">
        <v>30</v>
      </c>
      <c r="Z297" s="63">
        <v>2</v>
      </c>
      <c r="AA297" s="63">
        <v>24</v>
      </c>
      <c r="AB297" s="65">
        <f>100/(SUM(I297:Z297))</f>
        <v>1.3157894736842106</v>
      </c>
      <c r="AC297" s="259">
        <f>SUM(I297:AA297)</f>
        <v>100</v>
      </c>
      <c r="AD297" s="63">
        <v>63</v>
      </c>
      <c r="AE297" s="64"/>
      <c r="AF297" s="64"/>
      <c r="AG297" s="66" t="s">
        <v>127</v>
      </c>
      <c r="AH297" s="67" t="s">
        <v>2041</v>
      </c>
      <c r="AI297" s="200" t="s">
        <v>2043</v>
      </c>
      <c r="AJ297" s="396" t="s">
        <v>2184</v>
      </c>
      <c r="AK297" s="61" t="s">
        <v>2185</v>
      </c>
      <c r="AL297" s="66">
        <f>(B297-DATE(1970,1,1))*86400</f>
        <v>1755734400</v>
      </c>
      <c r="AM297" s="66">
        <f>(C297-DATE(1970,1,1))*86400</f>
        <v>1756252800</v>
      </c>
      <c r="AN297" s="66">
        <f>AVERAGE(AL297:AM297)</f>
        <v>1755993600</v>
      </c>
    </row>
    <row r="298" spans="1:65" ht="15.75" customHeight="1" x14ac:dyDescent="0.2">
      <c r="A298" s="288" t="s">
        <v>133</v>
      </c>
      <c r="B298" s="60">
        <v>45890</v>
      </c>
      <c r="C298" s="60">
        <v>45896</v>
      </c>
      <c r="D298" s="61" t="s">
        <v>168</v>
      </c>
      <c r="E298" s="334" t="s">
        <v>125</v>
      </c>
      <c r="F298" s="218"/>
      <c r="G298" s="61" t="s">
        <v>126</v>
      </c>
      <c r="H298" s="334">
        <v>1000</v>
      </c>
      <c r="I298" s="63">
        <v>34</v>
      </c>
      <c r="J298" s="63">
        <v>1</v>
      </c>
      <c r="K298" s="63">
        <v>1</v>
      </c>
      <c r="L298" s="63">
        <v>0</v>
      </c>
      <c r="M298" s="63">
        <v>7</v>
      </c>
      <c r="N298" s="63"/>
      <c r="O298" s="63">
        <v>0</v>
      </c>
      <c r="P298" s="63">
        <v>1</v>
      </c>
      <c r="Q298" s="63"/>
      <c r="R298" s="64"/>
      <c r="S298" s="63"/>
      <c r="T298" s="63"/>
      <c r="U298" s="63"/>
      <c r="V298" s="63">
        <v>6</v>
      </c>
      <c r="W298" s="63"/>
      <c r="X298" s="63">
        <v>8</v>
      </c>
      <c r="Y298" s="63">
        <v>39</v>
      </c>
      <c r="Z298" s="63">
        <v>3</v>
      </c>
      <c r="AA298" s="63">
        <v>0</v>
      </c>
      <c r="AB298" s="65">
        <f>100/(SUM(I298:Z298))</f>
        <v>1</v>
      </c>
      <c r="AC298" s="259">
        <f>SUM(I298:AA298)</f>
        <v>100</v>
      </c>
      <c r="AD298" s="63"/>
      <c r="AE298" s="64"/>
      <c r="AF298" s="64"/>
      <c r="AG298" s="66" t="s">
        <v>127</v>
      </c>
      <c r="AH298" s="67" t="s">
        <v>2041</v>
      </c>
      <c r="AI298" s="200" t="s">
        <v>2043</v>
      </c>
      <c r="AJ298" s="67" t="s">
        <v>2042</v>
      </c>
      <c r="AK298" s="61" t="s">
        <v>2068</v>
      </c>
      <c r="AL298" s="66">
        <f>(B298-DATE(1970,1,1))*86400</f>
        <v>1755734400</v>
      </c>
      <c r="AM298" s="66">
        <f>(C298-DATE(1970,1,1))*86400</f>
        <v>1756252800</v>
      </c>
      <c r="AN298" s="66">
        <f>AVERAGE(AL298:AM298)</f>
        <v>1755993600</v>
      </c>
    </row>
    <row r="299" spans="1:65" x14ac:dyDescent="0.2">
      <c r="A299" s="288" t="s">
        <v>123</v>
      </c>
      <c r="B299" s="60">
        <v>45890</v>
      </c>
      <c r="C299" s="60">
        <v>45896</v>
      </c>
      <c r="D299" s="61" t="s">
        <v>168</v>
      </c>
      <c r="E299" s="334" t="s">
        <v>125</v>
      </c>
      <c r="F299" s="218"/>
      <c r="G299" s="61" t="s">
        <v>126</v>
      </c>
      <c r="H299" s="334">
        <v>1000</v>
      </c>
      <c r="I299" s="63">
        <v>35</v>
      </c>
      <c r="J299" s="63">
        <v>1</v>
      </c>
      <c r="K299" s="63">
        <v>1</v>
      </c>
      <c r="L299" s="63">
        <v>0</v>
      </c>
      <c r="M299" s="63">
        <v>7</v>
      </c>
      <c r="N299" s="63"/>
      <c r="O299" s="63">
        <v>0</v>
      </c>
      <c r="P299" s="63">
        <v>1</v>
      </c>
      <c r="Q299" s="63"/>
      <c r="R299" s="64"/>
      <c r="S299" s="63"/>
      <c r="T299" s="63"/>
      <c r="U299" s="63"/>
      <c r="V299" s="63">
        <v>5</v>
      </c>
      <c r="W299" s="63"/>
      <c r="X299" s="63">
        <v>8</v>
      </c>
      <c r="Y299" s="63">
        <v>41</v>
      </c>
      <c r="Z299" s="63">
        <v>2</v>
      </c>
      <c r="AA299" s="63">
        <v>0</v>
      </c>
      <c r="AB299" s="65">
        <f>100/(SUM(I299:Z299))</f>
        <v>0.99009900990099009</v>
      </c>
      <c r="AC299" s="259">
        <f>SUM(I299:AA299)</f>
        <v>101</v>
      </c>
      <c r="AD299" s="63"/>
      <c r="AE299" s="64"/>
      <c r="AF299" s="64"/>
      <c r="AG299" s="66" t="s">
        <v>127</v>
      </c>
      <c r="AH299" s="67" t="s">
        <v>2041</v>
      </c>
      <c r="AI299" s="200" t="s">
        <v>2043</v>
      </c>
      <c r="AJ299" s="67" t="s">
        <v>2042</v>
      </c>
      <c r="AK299" s="61"/>
      <c r="AL299" s="66">
        <f>(B299-DATE(1970,1,1))*86400</f>
        <v>1755734400</v>
      </c>
      <c r="AM299" s="66">
        <f>(C299-DATE(1970,1,1))*86400</f>
        <v>1756252800</v>
      </c>
      <c r="AN299" s="66">
        <f>AVERAGE(AL299:AM299)</f>
        <v>1755993600</v>
      </c>
    </row>
    <row r="300" spans="1:65" x14ac:dyDescent="0.2">
      <c r="A300" s="279" t="s">
        <v>133</v>
      </c>
      <c r="B300" s="14">
        <v>45887</v>
      </c>
      <c r="C300" s="14">
        <v>45888</v>
      </c>
      <c r="D300" s="13" t="s">
        <v>124</v>
      </c>
      <c r="E300" s="324" t="s">
        <v>125</v>
      </c>
      <c r="F300" s="13"/>
      <c r="G300" s="13" t="s">
        <v>126</v>
      </c>
      <c r="H300" s="349">
        <v>1000</v>
      </c>
      <c r="I300" s="15">
        <v>38</v>
      </c>
      <c r="J300" s="15"/>
      <c r="K300" s="15"/>
      <c r="L300" s="15"/>
      <c r="M300" s="15">
        <v>3</v>
      </c>
      <c r="N300" s="15"/>
      <c r="O300" s="15"/>
      <c r="P300" s="15" t="s">
        <v>355</v>
      </c>
      <c r="Q300" s="15"/>
      <c r="R300" s="15"/>
      <c r="S300" s="15"/>
      <c r="T300" s="15"/>
      <c r="U300" s="15"/>
      <c r="V300" s="15">
        <v>4</v>
      </c>
      <c r="W300" s="15"/>
      <c r="X300" s="15">
        <v>6</v>
      </c>
      <c r="Y300" s="15">
        <v>32</v>
      </c>
      <c r="Z300" s="98">
        <v>1</v>
      </c>
      <c r="AA300" s="98">
        <v>16</v>
      </c>
      <c r="AB300" s="16">
        <f>100/(SUM(I300:Z300))</f>
        <v>1.1904761904761905</v>
      </c>
      <c r="AC300" s="259">
        <f>SUM(I300:AA300)</f>
        <v>100</v>
      </c>
      <c r="AD300" s="15"/>
      <c r="AE300" s="15"/>
      <c r="AF300" s="15"/>
      <c r="AG300" s="17" t="s">
        <v>127</v>
      </c>
      <c r="AH300" s="201" t="s">
        <v>2035</v>
      </c>
      <c r="AI300" s="201" t="s">
        <v>2037</v>
      </c>
      <c r="AJ300" s="18" t="s">
        <v>2038</v>
      </c>
      <c r="AK300" s="13" t="s">
        <v>2200</v>
      </c>
      <c r="AL300" s="17">
        <f>(B300-DATE(1970,1,1))*86400</f>
        <v>1755475200</v>
      </c>
      <c r="AM300" s="17">
        <f>(C300-DATE(1970,1,1))*86400</f>
        <v>1755561600</v>
      </c>
      <c r="AN300" s="17">
        <f>AVERAGE(AL300:AM300)</f>
        <v>1755518400</v>
      </c>
    </row>
    <row r="301" spans="1:65" x14ac:dyDescent="0.2">
      <c r="A301" s="279" t="s">
        <v>123</v>
      </c>
      <c r="B301" s="14">
        <v>45887</v>
      </c>
      <c r="C301" s="14">
        <v>45888</v>
      </c>
      <c r="D301" s="13" t="s">
        <v>124</v>
      </c>
      <c r="E301" s="324" t="s">
        <v>125</v>
      </c>
      <c r="F301" s="13"/>
      <c r="G301" s="13" t="s">
        <v>126</v>
      </c>
      <c r="H301" s="349">
        <v>1000</v>
      </c>
      <c r="I301" s="15">
        <v>46</v>
      </c>
      <c r="J301" s="15"/>
      <c r="K301" s="15"/>
      <c r="L301" s="15"/>
      <c r="M301" s="15">
        <v>4</v>
      </c>
      <c r="N301" s="15"/>
      <c r="O301" s="15"/>
      <c r="P301" s="15"/>
      <c r="Q301" s="15"/>
      <c r="R301" s="15"/>
      <c r="S301" s="15"/>
      <c r="T301" s="15"/>
      <c r="U301" s="15"/>
      <c r="V301" s="15">
        <v>5</v>
      </c>
      <c r="W301" s="15"/>
      <c r="X301" s="15">
        <v>6</v>
      </c>
      <c r="Y301" s="15">
        <v>38</v>
      </c>
      <c r="Z301" s="15">
        <v>1</v>
      </c>
      <c r="AA301" s="15">
        <v>0</v>
      </c>
      <c r="AB301" s="16">
        <f>100/(SUM(I301:Z301))</f>
        <v>1</v>
      </c>
      <c r="AC301" s="259">
        <f>SUM(I301:AA301)</f>
        <v>100</v>
      </c>
      <c r="AD301" s="15"/>
      <c r="AE301" s="15"/>
      <c r="AF301" s="15"/>
      <c r="AG301" s="17" t="s">
        <v>127</v>
      </c>
      <c r="AH301" s="18" t="s">
        <v>2035</v>
      </c>
      <c r="AI301" s="201" t="s">
        <v>2037</v>
      </c>
      <c r="AJ301" s="201"/>
      <c r="AK301" s="13" t="s">
        <v>2036</v>
      </c>
      <c r="AL301" s="17">
        <f>(B301-DATE(1970,1,1))*86400</f>
        <v>1755475200</v>
      </c>
      <c r="AM301" s="17">
        <f>(C301-DATE(1970,1,1))*86400</f>
        <v>1755561600</v>
      </c>
      <c r="AN301" s="17">
        <f>AVERAGE(AL301:AM301)</f>
        <v>1755518400</v>
      </c>
    </row>
    <row r="302" spans="1:65" s="6" customFormat="1" x14ac:dyDescent="0.2">
      <c r="A302" s="287" t="s">
        <v>133</v>
      </c>
      <c r="B302" s="109">
        <v>45870</v>
      </c>
      <c r="C302" s="109">
        <v>45900</v>
      </c>
      <c r="D302" s="69" t="s">
        <v>183</v>
      </c>
      <c r="E302" s="333" t="s">
        <v>125</v>
      </c>
      <c r="F302" s="69" t="s">
        <v>2498</v>
      </c>
      <c r="G302" s="188"/>
      <c r="H302" s="354">
        <v>1000</v>
      </c>
      <c r="I302" s="71">
        <v>17</v>
      </c>
      <c r="J302" s="71"/>
      <c r="K302" s="71"/>
      <c r="L302" s="71"/>
      <c r="M302" s="71">
        <v>3</v>
      </c>
      <c r="N302" s="71"/>
      <c r="O302" s="71"/>
      <c r="P302" s="71"/>
      <c r="Q302" s="71"/>
      <c r="R302" s="72"/>
      <c r="S302" s="71"/>
      <c r="T302" s="71"/>
      <c r="U302" s="71"/>
      <c r="V302" s="71">
        <v>11</v>
      </c>
      <c r="W302" s="71"/>
      <c r="X302" s="71">
        <v>3</v>
      </c>
      <c r="Y302" s="71">
        <v>35</v>
      </c>
      <c r="Z302" s="71">
        <v>1</v>
      </c>
      <c r="AA302" s="71">
        <v>30</v>
      </c>
      <c r="AB302" s="73">
        <f>100/(SUM(I302:Z302))</f>
        <v>1.4285714285714286</v>
      </c>
      <c r="AC302" s="259">
        <f>SUM(I302:AA302)</f>
        <v>100</v>
      </c>
      <c r="AD302" s="71"/>
      <c r="AE302" s="71"/>
      <c r="AF302" s="71"/>
      <c r="AG302" s="74" t="s">
        <v>2245</v>
      </c>
      <c r="AH302" s="199" t="s">
        <v>2244</v>
      </c>
      <c r="AI302" s="221"/>
      <c r="AJ302" s="75"/>
      <c r="AK302" s="69" t="s">
        <v>2247</v>
      </c>
      <c r="AL302" s="74">
        <f>(B302-DATE(1970,1,1))*86400</f>
        <v>1754006400</v>
      </c>
      <c r="AM302" s="74">
        <f>(C302-DATE(1970,1,1))*86400</f>
        <v>1756598400</v>
      </c>
      <c r="AN302" s="74">
        <f>AVERAGE(AL302:AM302)</f>
        <v>1755302400</v>
      </c>
      <c r="AO302"/>
      <c r="AP302"/>
      <c r="AQ302"/>
      <c r="AR302"/>
      <c r="AS302"/>
      <c r="AT302"/>
      <c r="AU302"/>
      <c r="AV302"/>
      <c r="AW302"/>
      <c r="AX302"/>
      <c r="AY302"/>
      <c r="AZ302"/>
      <c r="BA302"/>
      <c r="BB302"/>
      <c r="BC302"/>
      <c r="BD302"/>
      <c r="BE302"/>
      <c r="BF302"/>
      <c r="BG302"/>
      <c r="BH302"/>
      <c r="BI302"/>
      <c r="BJ302"/>
      <c r="BK302"/>
      <c r="BL302"/>
      <c r="BM302"/>
    </row>
    <row r="303" spans="1:65" s="6" customFormat="1" x14ac:dyDescent="0.2">
      <c r="A303" s="278" t="s">
        <v>133</v>
      </c>
      <c r="B303" s="203">
        <v>45876</v>
      </c>
      <c r="C303" s="203">
        <v>45876</v>
      </c>
      <c r="D303" s="202" t="s">
        <v>1706</v>
      </c>
      <c r="E303" s="330" t="s">
        <v>184</v>
      </c>
      <c r="F303" s="202" t="s">
        <v>140</v>
      </c>
      <c r="G303" s="202" t="s">
        <v>135</v>
      </c>
      <c r="H303" s="330">
        <v>1250</v>
      </c>
      <c r="I303" s="202"/>
      <c r="J303" s="202"/>
      <c r="K303" s="202"/>
      <c r="L303" s="202"/>
      <c r="M303" s="202"/>
      <c r="N303" s="202"/>
      <c r="O303" s="202"/>
      <c r="P303" s="202"/>
      <c r="Q303" s="202"/>
      <c r="R303" s="202"/>
      <c r="S303" s="202"/>
      <c r="T303" s="202"/>
      <c r="U303" s="202"/>
      <c r="V303" s="202"/>
      <c r="W303" s="204"/>
      <c r="X303" s="202"/>
      <c r="Y303" s="202"/>
      <c r="Z303" s="202"/>
      <c r="AA303" s="202"/>
      <c r="AB303" s="205"/>
      <c r="AC303" s="259">
        <f>SUM(I303:AA303)</f>
        <v>0</v>
      </c>
      <c r="AD303" s="206"/>
      <c r="AE303" s="206"/>
      <c r="AF303" s="206"/>
      <c r="AG303" s="206" t="s">
        <v>1940</v>
      </c>
      <c r="AH303" s="207" t="s">
        <v>2058</v>
      </c>
      <c r="AI303" s="202"/>
      <c r="AJ303" s="202"/>
      <c r="AK303" s="202" t="s">
        <v>2057</v>
      </c>
      <c r="AL303" s="208">
        <f>(B303-DATE(1970,1,1))*86400</f>
        <v>1754524800</v>
      </c>
      <c r="AM303" s="208">
        <f>(C303-DATE(1970,1,1))*86400</f>
        <v>1754524800</v>
      </c>
      <c r="AN303" s="208">
        <f>AVERAGE(AL303:AM303)</f>
        <v>1754524800</v>
      </c>
      <c r="AO303"/>
      <c r="AP303"/>
      <c r="AQ303"/>
      <c r="AR303"/>
      <c r="AS303"/>
      <c r="AT303"/>
      <c r="AU303"/>
      <c r="AV303"/>
      <c r="AW303"/>
      <c r="AX303"/>
      <c r="AY303"/>
      <c r="AZ303"/>
      <c r="BA303"/>
      <c r="BB303"/>
      <c r="BC303"/>
      <c r="BD303"/>
      <c r="BE303"/>
      <c r="BF303"/>
      <c r="BG303"/>
      <c r="BH303"/>
      <c r="BI303"/>
      <c r="BJ303"/>
      <c r="BK303"/>
      <c r="BL303"/>
      <c r="BM303"/>
    </row>
    <row r="304" spans="1:65" s="6" customFormat="1" x14ac:dyDescent="0.2">
      <c r="A304" s="284" t="s">
        <v>133</v>
      </c>
      <c r="B304" s="20">
        <v>45869</v>
      </c>
      <c r="C304" s="20">
        <v>45876</v>
      </c>
      <c r="D304" s="19" t="s">
        <v>134</v>
      </c>
      <c r="E304" s="332" t="s">
        <v>125</v>
      </c>
      <c r="F304" s="19"/>
      <c r="G304" s="19" t="s">
        <v>135</v>
      </c>
      <c r="H304" s="332">
        <v>1500</v>
      </c>
      <c r="I304" s="21">
        <v>29</v>
      </c>
      <c r="J304" s="21">
        <v>0</v>
      </c>
      <c r="K304" s="21">
        <v>0</v>
      </c>
      <c r="L304" s="21">
        <v>0</v>
      </c>
      <c r="M304" s="21">
        <v>3</v>
      </c>
      <c r="N304" s="21"/>
      <c r="O304" s="21">
        <v>0</v>
      </c>
      <c r="P304" s="21">
        <v>0</v>
      </c>
      <c r="Q304" s="21"/>
      <c r="R304" s="22"/>
      <c r="S304" s="21">
        <v>0</v>
      </c>
      <c r="T304" s="21">
        <v>0</v>
      </c>
      <c r="U304" s="21"/>
      <c r="V304" s="21">
        <v>3</v>
      </c>
      <c r="W304" s="21">
        <v>1</v>
      </c>
      <c r="X304" s="21">
        <v>3</v>
      </c>
      <c r="Y304" s="21">
        <v>33</v>
      </c>
      <c r="Z304" s="21">
        <v>1</v>
      </c>
      <c r="AA304" s="21">
        <v>27</v>
      </c>
      <c r="AB304" s="23">
        <f>100/(SUM(I304:Z304))</f>
        <v>1.3698630136986301</v>
      </c>
      <c r="AC304" s="259">
        <f>SUM(I304:AA304)</f>
        <v>100</v>
      </c>
      <c r="AD304" s="21"/>
      <c r="AE304" s="24"/>
      <c r="AF304" s="24"/>
      <c r="AG304" s="25" t="s">
        <v>136</v>
      </c>
      <c r="AH304" s="26"/>
      <c r="AI304" s="26" t="s">
        <v>1968</v>
      </c>
      <c r="AJ304" s="26" t="s">
        <v>1969</v>
      </c>
      <c r="AK304" s="19" t="s">
        <v>1971</v>
      </c>
      <c r="AL304" s="25">
        <f>(B304-DATE(1970,1,1))*86400</f>
        <v>1753920000</v>
      </c>
      <c r="AM304" s="25">
        <f>(C304-DATE(1970,1,1))*86400</f>
        <v>1754524800</v>
      </c>
      <c r="AN304" s="25">
        <f>AVERAGE(AL304:AM304)</f>
        <v>1754222400</v>
      </c>
      <c r="AO304"/>
      <c r="AP304"/>
      <c r="AQ304"/>
      <c r="AR304"/>
      <c r="AS304"/>
      <c r="AT304"/>
      <c r="AU304"/>
      <c r="AV304"/>
      <c r="AW304"/>
      <c r="AX304"/>
      <c r="AY304"/>
      <c r="AZ304"/>
      <c r="BA304"/>
      <c r="BB304"/>
      <c r="BC304"/>
      <c r="BD304"/>
      <c r="BE304"/>
      <c r="BF304"/>
      <c r="BG304"/>
      <c r="BH304"/>
      <c r="BI304"/>
      <c r="BJ304"/>
      <c r="BK304"/>
      <c r="BL304"/>
      <c r="BM304"/>
    </row>
    <row r="305" spans="1:65" ht="15.75" customHeight="1" x14ac:dyDescent="0.2">
      <c r="A305" s="284" t="s">
        <v>123</v>
      </c>
      <c r="B305" s="20">
        <v>45869</v>
      </c>
      <c r="C305" s="20">
        <v>45876</v>
      </c>
      <c r="D305" s="19" t="s">
        <v>134</v>
      </c>
      <c r="E305" s="332" t="s">
        <v>125</v>
      </c>
      <c r="F305" s="19"/>
      <c r="G305" s="19" t="s">
        <v>135</v>
      </c>
      <c r="H305" s="332">
        <v>1500</v>
      </c>
      <c r="I305" s="21">
        <v>39</v>
      </c>
      <c r="J305" s="21">
        <v>0</v>
      </c>
      <c r="K305" s="21">
        <v>0</v>
      </c>
      <c r="L305" s="21">
        <v>0</v>
      </c>
      <c r="M305" s="21">
        <v>5</v>
      </c>
      <c r="N305" s="21"/>
      <c r="O305" s="21">
        <v>0</v>
      </c>
      <c r="P305" s="21">
        <v>1</v>
      </c>
      <c r="Q305" s="21"/>
      <c r="R305" s="22"/>
      <c r="S305" s="21">
        <v>0</v>
      </c>
      <c r="T305" s="21">
        <v>0</v>
      </c>
      <c r="U305" s="21"/>
      <c r="V305" s="21">
        <v>3</v>
      </c>
      <c r="W305" s="21">
        <v>1</v>
      </c>
      <c r="X305" s="21">
        <v>4</v>
      </c>
      <c r="Y305" s="21">
        <v>46</v>
      </c>
      <c r="Z305" s="21">
        <v>1</v>
      </c>
      <c r="AA305" s="21">
        <v>0</v>
      </c>
      <c r="AB305" s="23">
        <f>100/(SUM(I305:Z305))</f>
        <v>1</v>
      </c>
      <c r="AC305" s="259">
        <f>SUM(I305:AA305)</f>
        <v>100</v>
      </c>
      <c r="AD305" s="24"/>
      <c r="AE305" s="24"/>
      <c r="AF305" s="24"/>
      <c r="AG305" s="25" t="s">
        <v>136</v>
      </c>
      <c r="AH305" s="26"/>
      <c r="AI305" s="26" t="s">
        <v>1970</v>
      </c>
      <c r="AJ305" s="26" t="s">
        <v>1969</v>
      </c>
      <c r="AK305" s="19"/>
      <c r="AL305" s="25">
        <f>(B305-DATE(1970,1,1))*86400</f>
        <v>1753920000</v>
      </c>
      <c r="AM305" s="25">
        <f>(C305-DATE(1970,1,1))*86400</f>
        <v>1754524800</v>
      </c>
      <c r="AN305" s="25">
        <f>AVERAGE(AL305:AM305)</f>
        <v>1754222400</v>
      </c>
    </row>
    <row r="306" spans="1:65" ht="15.75" customHeight="1" x14ac:dyDescent="0.2">
      <c r="A306" s="281" t="s">
        <v>133</v>
      </c>
      <c r="B306" s="240">
        <v>45870</v>
      </c>
      <c r="C306" s="240">
        <v>45875</v>
      </c>
      <c r="D306" s="53" t="s">
        <v>154</v>
      </c>
      <c r="E306" s="323" t="s">
        <v>125</v>
      </c>
      <c r="F306" s="53"/>
      <c r="G306" s="53" t="s">
        <v>126</v>
      </c>
      <c r="H306" s="351">
        <v>1000</v>
      </c>
      <c r="I306" s="55">
        <v>24</v>
      </c>
      <c r="J306" s="55">
        <v>1</v>
      </c>
      <c r="K306" s="55">
        <v>0</v>
      </c>
      <c r="L306" s="55">
        <v>0</v>
      </c>
      <c r="M306" s="55">
        <v>5</v>
      </c>
      <c r="N306" s="55"/>
      <c r="O306" s="55">
        <v>0</v>
      </c>
      <c r="P306" s="55">
        <v>0</v>
      </c>
      <c r="Q306" s="55"/>
      <c r="R306" s="56"/>
      <c r="S306" s="55">
        <v>0</v>
      </c>
      <c r="T306" s="55"/>
      <c r="U306" s="55">
        <v>1</v>
      </c>
      <c r="V306" s="55">
        <v>2</v>
      </c>
      <c r="W306" s="55"/>
      <c r="X306" s="55">
        <v>4</v>
      </c>
      <c r="Y306" s="55">
        <v>32</v>
      </c>
      <c r="Z306" s="55"/>
      <c r="AA306" s="55">
        <v>31</v>
      </c>
      <c r="AB306" s="57">
        <f>100/(SUM(I306:Z306))</f>
        <v>1.4492753623188406</v>
      </c>
      <c r="AC306" s="259">
        <f>SUM(I306:AA306)</f>
        <v>100</v>
      </c>
      <c r="AD306" s="55">
        <v>86</v>
      </c>
      <c r="AE306" s="55"/>
      <c r="AF306" s="55"/>
      <c r="AG306" s="58" t="s">
        <v>155</v>
      </c>
      <c r="AH306" s="59" t="s">
        <v>1963</v>
      </c>
      <c r="AI306" s="59" t="s">
        <v>1964</v>
      </c>
      <c r="AJ306" s="186" t="s">
        <v>1965</v>
      </c>
      <c r="AK306" s="53" t="s">
        <v>1972</v>
      </c>
      <c r="AL306" s="58">
        <f>(B306-DATE(1970,1,1))*86400</f>
        <v>1754006400</v>
      </c>
      <c r="AM306" s="58">
        <f>(C306-DATE(1970,1,1))*86400</f>
        <v>1754438400</v>
      </c>
      <c r="AN306" s="58">
        <f>AVERAGE(AL306:AM306)</f>
        <v>1754222400</v>
      </c>
    </row>
    <row r="307" spans="1:65" ht="15.75" customHeight="1" x14ac:dyDescent="0.2">
      <c r="A307" s="281" t="s">
        <v>123</v>
      </c>
      <c r="B307" s="240">
        <v>45870</v>
      </c>
      <c r="C307" s="240">
        <v>45875</v>
      </c>
      <c r="D307" s="53" t="s">
        <v>154</v>
      </c>
      <c r="E307" s="323" t="s">
        <v>125</v>
      </c>
      <c r="F307" s="53"/>
      <c r="G307" s="53" t="s">
        <v>126</v>
      </c>
      <c r="H307" s="351">
        <v>1000</v>
      </c>
      <c r="I307" s="55">
        <v>30</v>
      </c>
      <c r="J307" s="55">
        <v>0</v>
      </c>
      <c r="K307" s="55">
        <v>0</v>
      </c>
      <c r="L307" s="55">
        <v>0</v>
      </c>
      <c r="M307" s="55">
        <v>6</v>
      </c>
      <c r="N307" s="55"/>
      <c r="O307" s="55">
        <v>0</v>
      </c>
      <c r="P307" s="55">
        <v>0</v>
      </c>
      <c r="Q307" s="55"/>
      <c r="R307" s="56"/>
      <c r="S307" s="55">
        <v>0</v>
      </c>
      <c r="T307" s="55"/>
      <c r="U307" s="55">
        <v>1</v>
      </c>
      <c r="V307" s="55">
        <v>2</v>
      </c>
      <c r="W307" s="55"/>
      <c r="X307" s="55">
        <v>5</v>
      </c>
      <c r="Y307" s="55">
        <v>36</v>
      </c>
      <c r="Z307" s="55"/>
      <c r="AA307" s="241">
        <v>19</v>
      </c>
      <c r="AB307" s="57">
        <f>100/(SUM(I307:Z307))</f>
        <v>1.25</v>
      </c>
      <c r="AC307" s="259">
        <f>SUM(I307:AA307)</f>
        <v>99</v>
      </c>
      <c r="AD307" s="55"/>
      <c r="AE307" s="55"/>
      <c r="AF307" s="55"/>
      <c r="AG307" s="58" t="s">
        <v>155</v>
      </c>
      <c r="AH307" s="59" t="s">
        <v>1966</v>
      </c>
      <c r="AI307" s="59"/>
      <c r="AJ307" s="186"/>
      <c r="AK307" s="53" t="s">
        <v>1973</v>
      </c>
      <c r="AL307" s="58">
        <f>(B307-DATE(1970,1,1))*86400</f>
        <v>1754006400</v>
      </c>
      <c r="AM307" s="58">
        <f>(C307-DATE(1970,1,1))*86400</f>
        <v>1754438400</v>
      </c>
      <c r="AN307" s="58">
        <f>AVERAGE(AL307:AM307)</f>
        <v>1754222400</v>
      </c>
    </row>
    <row r="308" spans="1:65" ht="15.75" customHeight="1" x14ac:dyDescent="0.2">
      <c r="A308" s="281" t="s">
        <v>123</v>
      </c>
      <c r="B308" s="240">
        <v>45870</v>
      </c>
      <c r="C308" s="240">
        <v>45875</v>
      </c>
      <c r="D308" s="53" t="s">
        <v>154</v>
      </c>
      <c r="E308" s="323" t="s">
        <v>125</v>
      </c>
      <c r="F308" s="53"/>
      <c r="G308" s="53" t="s">
        <v>126</v>
      </c>
      <c r="H308" s="351">
        <v>1000</v>
      </c>
      <c r="I308" s="55">
        <v>36</v>
      </c>
      <c r="J308" s="55">
        <v>1</v>
      </c>
      <c r="K308" s="55">
        <v>0</v>
      </c>
      <c r="L308" s="55">
        <v>0</v>
      </c>
      <c r="M308" s="55">
        <v>8</v>
      </c>
      <c r="N308" s="55"/>
      <c r="O308" s="55">
        <v>0</v>
      </c>
      <c r="P308" s="55">
        <v>0</v>
      </c>
      <c r="Q308" s="55"/>
      <c r="R308" s="56"/>
      <c r="S308" s="55">
        <v>0</v>
      </c>
      <c r="T308" s="55"/>
      <c r="U308" s="55">
        <v>1</v>
      </c>
      <c r="V308" s="55">
        <v>3</v>
      </c>
      <c r="W308" s="55"/>
      <c r="X308" s="55">
        <v>6</v>
      </c>
      <c r="Y308" s="55">
        <v>46</v>
      </c>
      <c r="Z308" s="55"/>
      <c r="AA308" s="55">
        <v>0</v>
      </c>
      <c r="AB308" s="57">
        <f>100/(SUM(I308:Z308))</f>
        <v>0.99009900990099009</v>
      </c>
      <c r="AC308" s="259">
        <f>SUM(I308:AA308)</f>
        <v>101</v>
      </c>
      <c r="AD308" s="55"/>
      <c r="AE308" s="55"/>
      <c r="AF308" s="55"/>
      <c r="AG308" s="58" t="s">
        <v>155</v>
      </c>
      <c r="AH308" s="59" t="s">
        <v>1963</v>
      </c>
      <c r="AI308" s="59"/>
      <c r="AJ308" s="186"/>
      <c r="AK308" s="53" t="s">
        <v>1967</v>
      </c>
      <c r="AL308" s="58">
        <f>(B308-DATE(1970,1,1))*86400</f>
        <v>1754006400</v>
      </c>
      <c r="AM308" s="58">
        <f>(C308-DATE(1970,1,1))*86400</f>
        <v>1754438400</v>
      </c>
      <c r="AN308" s="58">
        <f>AVERAGE(AL308:AM308)</f>
        <v>1754222400</v>
      </c>
    </row>
    <row r="309" spans="1:65" ht="15.75" customHeight="1" x14ac:dyDescent="0.2">
      <c r="A309" s="288" t="s">
        <v>133</v>
      </c>
      <c r="B309" s="60">
        <v>45861</v>
      </c>
      <c r="C309" s="60">
        <v>45867</v>
      </c>
      <c r="D309" s="61" t="s">
        <v>168</v>
      </c>
      <c r="E309" s="334" t="s">
        <v>125</v>
      </c>
      <c r="F309" s="218"/>
      <c r="G309" s="61" t="s">
        <v>126</v>
      </c>
      <c r="H309" s="334">
        <v>1000</v>
      </c>
      <c r="I309" s="63">
        <v>25</v>
      </c>
      <c r="J309" s="63">
        <v>1</v>
      </c>
      <c r="K309" s="63">
        <v>0</v>
      </c>
      <c r="L309" s="63">
        <v>0</v>
      </c>
      <c r="M309" s="63">
        <v>5</v>
      </c>
      <c r="N309" s="63"/>
      <c r="O309" s="63">
        <v>0</v>
      </c>
      <c r="P309" s="63">
        <v>1</v>
      </c>
      <c r="Q309" s="63"/>
      <c r="R309" s="64"/>
      <c r="S309" s="63"/>
      <c r="T309" s="63"/>
      <c r="U309" s="63"/>
      <c r="V309" s="63">
        <v>4</v>
      </c>
      <c r="W309" s="63"/>
      <c r="X309" s="63">
        <v>4</v>
      </c>
      <c r="Y309" s="63">
        <v>30</v>
      </c>
      <c r="Z309" s="63">
        <v>2</v>
      </c>
      <c r="AA309" s="63">
        <v>27</v>
      </c>
      <c r="AB309" s="65">
        <f>100/(SUM(I309:Z309))</f>
        <v>1.3888888888888888</v>
      </c>
      <c r="AC309" s="259">
        <f>SUM(I309:AA309)</f>
        <v>99</v>
      </c>
      <c r="AD309" s="63">
        <v>66</v>
      </c>
      <c r="AE309" s="64"/>
      <c r="AF309" s="64"/>
      <c r="AG309" s="66" t="s">
        <v>127</v>
      </c>
      <c r="AH309" s="67" t="s">
        <v>1943</v>
      </c>
      <c r="AI309" s="200" t="s">
        <v>1945</v>
      </c>
      <c r="AJ309" s="67" t="s">
        <v>1946</v>
      </c>
      <c r="AK309" s="61" t="s">
        <v>1944</v>
      </c>
      <c r="AL309" s="66">
        <f>(B309-DATE(1970,1,1))*86400</f>
        <v>1753228800</v>
      </c>
      <c r="AM309" s="66">
        <f>(C309-DATE(1970,1,1))*86400</f>
        <v>1753747200</v>
      </c>
      <c r="AN309" s="66">
        <f>AVERAGE(AL309:AM309)</f>
        <v>1753488000</v>
      </c>
    </row>
    <row r="310" spans="1:65" ht="15.75" customHeight="1" x14ac:dyDescent="0.2">
      <c r="A310" s="288" t="s">
        <v>133</v>
      </c>
      <c r="B310" s="60">
        <v>45861</v>
      </c>
      <c r="C310" s="60">
        <v>45867</v>
      </c>
      <c r="D310" s="61" t="s">
        <v>168</v>
      </c>
      <c r="E310" s="334" t="s">
        <v>125</v>
      </c>
      <c r="F310" s="218"/>
      <c r="G310" s="61" t="s">
        <v>126</v>
      </c>
      <c r="H310" s="334">
        <v>1000</v>
      </c>
      <c r="I310" s="63">
        <v>34</v>
      </c>
      <c r="J310" s="63">
        <v>2</v>
      </c>
      <c r="K310" s="63">
        <v>1</v>
      </c>
      <c r="L310" s="63">
        <v>1</v>
      </c>
      <c r="M310" s="63">
        <v>7</v>
      </c>
      <c r="N310" s="63"/>
      <c r="O310" s="63">
        <v>1</v>
      </c>
      <c r="P310" s="63">
        <v>2</v>
      </c>
      <c r="Q310" s="63"/>
      <c r="R310" s="64"/>
      <c r="S310" s="63"/>
      <c r="T310" s="63"/>
      <c r="U310" s="63"/>
      <c r="V310" s="63">
        <v>6</v>
      </c>
      <c r="W310" s="63"/>
      <c r="X310" s="63">
        <v>6</v>
      </c>
      <c r="Y310" s="63">
        <v>40</v>
      </c>
      <c r="Z310" s="63">
        <v>3</v>
      </c>
      <c r="AA310" s="63">
        <v>0</v>
      </c>
      <c r="AB310" s="65">
        <f>100/(SUM(I310:Z310))</f>
        <v>0.970873786407767</v>
      </c>
      <c r="AC310" s="259">
        <f>SUM(I310:AA310)</f>
        <v>103</v>
      </c>
      <c r="AD310" s="63"/>
      <c r="AE310" s="64"/>
      <c r="AF310" s="64"/>
      <c r="AG310" s="66" t="s">
        <v>127</v>
      </c>
      <c r="AH310" s="67" t="s">
        <v>1943</v>
      </c>
      <c r="AI310" s="200" t="s">
        <v>1945</v>
      </c>
      <c r="AJ310" s="67" t="s">
        <v>1946</v>
      </c>
      <c r="AK310" s="61" t="s">
        <v>1974</v>
      </c>
      <c r="AL310" s="66">
        <f>(B310-DATE(1970,1,1))*86400</f>
        <v>1753228800</v>
      </c>
      <c r="AM310" s="66">
        <f>(C310-DATE(1970,1,1))*86400</f>
        <v>1753747200</v>
      </c>
      <c r="AN310" s="66">
        <f>AVERAGE(AL310:AM310)</f>
        <v>1753488000</v>
      </c>
    </row>
    <row r="311" spans="1:65" ht="15.75" customHeight="1" x14ac:dyDescent="0.2">
      <c r="A311" s="288" t="s">
        <v>123</v>
      </c>
      <c r="B311" s="60">
        <v>45861</v>
      </c>
      <c r="C311" s="60">
        <v>45867</v>
      </c>
      <c r="D311" s="61" t="s">
        <v>168</v>
      </c>
      <c r="E311" s="334" t="s">
        <v>125</v>
      </c>
      <c r="F311" s="218"/>
      <c r="G311" s="61" t="s">
        <v>126</v>
      </c>
      <c r="H311" s="334">
        <v>1000</v>
      </c>
      <c r="I311" s="63">
        <v>34</v>
      </c>
      <c r="J311" s="63">
        <v>1</v>
      </c>
      <c r="K311" s="63">
        <v>0</v>
      </c>
      <c r="L311" s="63">
        <v>1</v>
      </c>
      <c r="M311" s="63">
        <v>6</v>
      </c>
      <c r="N311" s="63"/>
      <c r="O311" s="63">
        <v>0</v>
      </c>
      <c r="P311" s="63">
        <v>1</v>
      </c>
      <c r="Q311" s="63"/>
      <c r="R311" s="64"/>
      <c r="S311" s="63"/>
      <c r="T311" s="63"/>
      <c r="U311" s="63"/>
      <c r="V311" s="63">
        <v>5</v>
      </c>
      <c r="W311" s="63"/>
      <c r="X311" s="63">
        <v>6</v>
      </c>
      <c r="Y311" s="63">
        <v>43</v>
      </c>
      <c r="Z311" s="63">
        <v>2</v>
      </c>
      <c r="AA311" s="63">
        <v>0</v>
      </c>
      <c r="AB311" s="65">
        <f>100/(SUM(I311:Z311))</f>
        <v>1.0101010101010102</v>
      </c>
      <c r="AC311" s="259">
        <f>SUM(I311:AA311)</f>
        <v>99</v>
      </c>
      <c r="AD311" s="63"/>
      <c r="AE311" s="64"/>
      <c r="AF311" s="64"/>
      <c r="AG311" s="66" t="s">
        <v>127</v>
      </c>
      <c r="AH311" s="67" t="s">
        <v>1943</v>
      </c>
      <c r="AI311" s="200" t="s">
        <v>1945</v>
      </c>
      <c r="AJ311" s="67" t="s">
        <v>1946</v>
      </c>
      <c r="AK311" s="61"/>
      <c r="AL311" s="66">
        <f>(B311-DATE(1970,1,1))*86400</f>
        <v>1753228800</v>
      </c>
      <c r="AM311" s="66">
        <f>(C311-DATE(1970,1,1))*86400</f>
        <v>1753747200</v>
      </c>
      <c r="AN311" s="66">
        <f>AVERAGE(AL311:AM311)</f>
        <v>1753488000</v>
      </c>
    </row>
    <row r="312" spans="1:65" x14ac:dyDescent="0.2">
      <c r="A312" s="278" t="s">
        <v>133</v>
      </c>
      <c r="B312" s="203">
        <v>45862</v>
      </c>
      <c r="C312" s="203">
        <v>45862</v>
      </c>
      <c r="D312" s="202" t="s">
        <v>1706</v>
      </c>
      <c r="E312" s="330" t="s">
        <v>184</v>
      </c>
      <c r="F312" s="202" t="s">
        <v>140</v>
      </c>
      <c r="G312" s="202" t="s">
        <v>135</v>
      </c>
      <c r="H312" s="330">
        <v>1000</v>
      </c>
      <c r="I312" s="202"/>
      <c r="J312" s="202"/>
      <c r="K312" s="202"/>
      <c r="L312" s="202"/>
      <c r="M312" s="202"/>
      <c r="N312" s="202"/>
      <c r="O312" s="202"/>
      <c r="P312" s="202"/>
      <c r="Q312" s="202"/>
      <c r="R312" s="202"/>
      <c r="S312" s="202"/>
      <c r="T312" s="202"/>
      <c r="U312" s="202"/>
      <c r="V312" s="202"/>
      <c r="W312" s="204"/>
      <c r="X312" s="202"/>
      <c r="Y312" s="202"/>
      <c r="Z312" s="202"/>
      <c r="AA312" s="202"/>
      <c r="AB312" s="205"/>
      <c r="AC312" s="259">
        <f>SUM(I312:AA312)</f>
        <v>0</v>
      </c>
      <c r="AD312" s="206"/>
      <c r="AE312" s="206"/>
      <c r="AF312" s="206"/>
      <c r="AG312" s="206" t="s">
        <v>1940</v>
      </c>
      <c r="AH312" s="207" t="s">
        <v>1941</v>
      </c>
      <c r="AI312" s="202"/>
      <c r="AJ312" s="202"/>
      <c r="AK312" s="202" t="s">
        <v>1713</v>
      </c>
      <c r="AL312" s="208">
        <f>(B312-DATE(1970,1,1))*86400</f>
        <v>1753315200</v>
      </c>
      <c r="AM312" s="208">
        <f>(C312-DATE(1970,1,1))*86400</f>
        <v>1753315200</v>
      </c>
      <c r="AN312" s="208">
        <f>AVERAGE(AL312:AM312)</f>
        <v>1753315200</v>
      </c>
    </row>
    <row r="313" spans="1:65" x14ac:dyDescent="0.2">
      <c r="A313" s="287" t="s">
        <v>133</v>
      </c>
      <c r="B313" s="187">
        <v>45855</v>
      </c>
      <c r="C313" s="187">
        <v>45859</v>
      </c>
      <c r="D313" s="69" t="s">
        <v>183</v>
      </c>
      <c r="E313" s="333" t="s">
        <v>125</v>
      </c>
      <c r="F313" s="69" t="s">
        <v>2497</v>
      </c>
      <c r="G313" s="188" t="s">
        <v>126</v>
      </c>
      <c r="H313" s="354">
        <v>800</v>
      </c>
      <c r="I313" s="71">
        <v>25</v>
      </c>
      <c r="J313" s="71"/>
      <c r="K313" s="71"/>
      <c r="L313" s="71"/>
      <c r="M313" s="71">
        <v>4</v>
      </c>
      <c r="N313" s="71"/>
      <c r="O313" s="71"/>
      <c r="P313" s="71"/>
      <c r="Q313" s="71"/>
      <c r="R313" s="72"/>
      <c r="S313" s="71"/>
      <c r="T313" s="71"/>
      <c r="U313" s="71"/>
      <c r="V313" s="71">
        <v>10</v>
      </c>
      <c r="W313" s="71"/>
      <c r="X313" s="71">
        <v>4</v>
      </c>
      <c r="Y313" s="71">
        <v>57</v>
      </c>
      <c r="Z313" s="71">
        <v>1</v>
      </c>
      <c r="AA313" s="71">
        <v>0</v>
      </c>
      <c r="AB313" s="73">
        <f>100/(SUM(I313:Z313))</f>
        <v>0.99009900990099009</v>
      </c>
      <c r="AC313" s="259">
        <f>SUM(I313:AA313)</f>
        <v>101</v>
      </c>
      <c r="AD313" s="71"/>
      <c r="AE313" s="71"/>
      <c r="AF313" s="71"/>
      <c r="AG313" s="74" t="s">
        <v>1928</v>
      </c>
      <c r="AH313" s="199" t="s">
        <v>1935</v>
      </c>
      <c r="AI313" s="75"/>
      <c r="AJ313" s="75"/>
      <c r="AK313" s="69" t="s">
        <v>1938</v>
      </c>
      <c r="AL313" s="74">
        <f>(B313-DATE(1970,1,1))*86400</f>
        <v>1752710400</v>
      </c>
      <c r="AM313" s="74">
        <f>(C313-DATE(1970,1,1))*86400</f>
        <v>1753056000</v>
      </c>
      <c r="AN313" s="74">
        <f>AVERAGE(AL313:AM313)</f>
        <v>1752883200</v>
      </c>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row>
    <row r="314" spans="1:65" x14ac:dyDescent="0.2">
      <c r="A314" s="277" t="s">
        <v>133</v>
      </c>
      <c r="B314" s="244">
        <v>45853</v>
      </c>
      <c r="C314" s="244">
        <v>45860</v>
      </c>
      <c r="D314" s="243" t="s">
        <v>1975</v>
      </c>
      <c r="E314" s="329" t="s">
        <v>184</v>
      </c>
      <c r="F314" s="243"/>
      <c r="G314" s="245" t="s">
        <v>1025</v>
      </c>
      <c r="H314" s="348">
        <v>1000</v>
      </c>
      <c r="I314" s="246">
        <v>22.9</v>
      </c>
      <c r="J314" s="246"/>
      <c r="K314" s="246"/>
      <c r="L314" s="246"/>
      <c r="M314" s="246"/>
      <c r="N314" s="246"/>
      <c r="O314" s="246"/>
      <c r="P314" s="246"/>
      <c r="Q314" s="246"/>
      <c r="R314" s="247"/>
      <c r="S314" s="246"/>
      <c r="T314" s="246"/>
      <c r="U314" s="246"/>
      <c r="V314" s="246"/>
      <c r="W314" s="246"/>
      <c r="X314" s="246"/>
      <c r="Y314" s="246">
        <v>35.5</v>
      </c>
      <c r="Z314" s="246">
        <v>9.1999999999999993</v>
      </c>
      <c r="AA314" s="246">
        <v>32.299999999999997</v>
      </c>
      <c r="AB314" s="248">
        <f>100/(SUM(I314:Z314))</f>
        <v>1.4792899408284026</v>
      </c>
      <c r="AC314" s="259">
        <f>SUM(I314:AA314)</f>
        <v>99.899999999999991</v>
      </c>
      <c r="AD314" s="246">
        <v>75</v>
      </c>
      <c r="AE314" s="246"/>
      <c r="AF314" s="246"/>
      <c r="AG314" s="249" t="s">
        <v>1976</v>
      </c>
      <c r="AH314" s="250" t="s">
        <v>1977</v>
      </c>
      <c r="AI314" s="251"/>
      <c r="AJ314" s="251"/>
      <c r="AK314" s="243" t="s">
        <v>1978</v>
      </c>
      <c r="AL314" s="249">
        <f>(B314-DATE(1970,1,1))*86400</f>
        <v>1752537600</v>
      </c>
      <c r="AM314" s="249">
        <f>(C314-DATE(1970,1,1))*86400</f>
        <v>1753142400</v>
      </c>
      <c r="AN314" s="249">
        <f>AVERAGE(AL314:AM314)</f>
        <v>1752840000</v>
      </c>
    </row>
    <row r="315" spans="1:65" ht="15.75" customHeight="1" x14ac:dyDescent="0.2">
      <c r="A315" s="289" t="s">
        <v>133</v>
      </c>
      <c r="B315" s="268">
        <v>45839</v>
      </c>
      <c r="C315" s="268">
        <v>45869</v>
      </c>
      <c r="D315" s="267" t="s">
        <v>371</v>
      </c>
      <c r="E315" s="335" t="s">
        <v>371</v>
      </c>
      <c r="F315" s="267" t="s">
        <v>2499</v>
      </c>
      <c r="G315" s="267" t="s">
        <v>126</v>
      </c>
      <c r="H315" s="355">
        <v>500</v>
      </c>
      <c r="I315" s="269">
        <v>38</v>
      </c>
      <c r="J315" s="269">
        <v>2.1</v>
      </c>
      <c r="K315" s="269">
        <v>1.8</v>
      </c>
      <c r="L315" s="269">
        <v>0.5</v>
      </c>
      <c r="M315" s="269">
        <v>1.9</v>
      </c>
      <c r="N315" s="269"/>
      <c r="O315" s="269">
        <v>0</v>
      </c>
      <c r="P315" s="269">
        <v>1</v>
      </c>
      <c r="Q315" s="269"/>
      <c r="R315" s="269"/>
      <c r="S315" s="269"/>
      <c r="T315" s="269"/>
      <c r="U315" s="269"/>
      <c r="V315" s="269">
        <v>0.6</v>
      </c>
      <c r="W315" s="269"/>
      <c r="X315" s="269">
        <v>3.2</v>
      </c>
      <c r="Y315" s="269">
        <v>27</v>
      </c>
      <c r="Z315" s="269">
        <v>0.4</v>
      </c>
      <c r="AA315" s="269">
        <v>23.5</v>
      </c>
      <c r="AB315" s="270">
        <f>100/(SUM(I315:Z315))</f>
        <v>1.3071895424836601</v>
      </c>
      <c r="AC315" s="259">
        <f>SUM(I315:AA315)</f>
        <v>100</v>
      </c>
      <c r="AD315" s="269"/>
      <c r="AE315" s="269"/>
      <c r="AF315" s="269"/>
      <c r="AG315" s="271" t="s">
        <v>64</v>
      </c>
      <c r="AH315" s="272" t="s">
        <v>1957</v>
      </c>
      <c r="AI315" s="272"/>
      <c r="AJ315" s="273"/>
      <c r="AK315" s="267" t="s">
        <v>1954</v>
      </c>
      <c r="AL315" s="271">
        <f>(B315-DATE(1970,1,1))*86400</f>
        <v>1751328000</v>
      </c>
      <c r="AM315" s="271">
        <f>(C315-DATE(1970,1,1))*86400</f>
        <v>1753920000</v>
      </c>
      <c r="AN315" s="271">
        <f>AVERAGE(AL315:AM315)</f>
        <v>1752624000</v>
      </c>
    </row>
    <row r="316" spans="1:65" ht="15.75" customHeight="1" x14ac:dyDescent="0.2">
      <c r="A316" s="289" t="s">
        <v>133</v>
      </c>
      <c r="B316" s="268">
        <v>45839</v>
      </c>
      <c r="C316" s="268">
        <v>45869</v>
      </c>
      <c r="D316" s="267" t="s">
        <v>371</v>
      </c>
      <c r="E316" s="335" t="s">
        <v>371</v>
      </c>
      <c r="F316" s="267" t="s">
        <v>2500</v>
      </c>
      <c r="G316" s="267" t="s">
        <v>126</v>
      </c>
      <c r="H316" s="355">
        <v>500</v>
      </c>
      <c r="I316" s="269">
        <v>39.700000000000003</v>
      </c>
      <c r="J316" s="269">
        <v>0.8</v>
      </c>
      <c r="K316" s="269">
        <v>1.7</v>
      </c>
      <c r="L316" s="269">
        <v>0.1</v>
      </c>
      <c r="M316" s="269">
        <v>2.9</v>
      </c>
      <c r="N316" s="269"/>
      <c r="O316" s="269">
        <v>0.1</v>
      </c>
      <c r="P316" s="269">
        <v>0.5</v>
      </c>
      <c r="Q316" s="269"/>
      <c r="R316" s="269"/>
      <c r="S316" s="269"/>
      <c r="T316" s="269"/>
      <c r="U316" s="269"/>
      <c r="V316" s="269">
        <v>0.6</v>
      </c>
      <c r="W316" s="269"/>
      <c r="X316" s="269">
        <v>4.4000000000000004</v>
      </c>
      <c r="Y316" s="269">
        <v>32</v>
      </c>
      <c r="Z316" s="269">
        <v>0.4</v>
      </c>
      <c r="AA316" s="269">
        <v>16.899999999999999</v>
      </c>
      <c r="AB316" s="270">
        <f>100/(SUM(I316:Z316))</f>
        <v>1.2019230769230766</v>
      </c>
      <c r="AC316" s="259">
        <f>SUM(I316:AA316)</f>
        <v>100.10000000000002</v>
      </c>
      <c r="AD316" s="269"/>
      <c r="AE316" s="269"/>
      <c r="AF316" s="269"/>
      <c r="AG316" s="271" t="s">
        <v>64</v>
      </c>
      <c r="AH316" s="272" t="s">
        <v>1960</v>
      </c>
      <c r="AI316" s="272"/>
      <c r="AJ316" s="273"/>
      <c r="AK316" s="267" t="s">
        <v>1961</v>
      </c>
      <c r="AL316" s="271">
        <f>(B316-DATE(1970,1,1))*86400</f>
        <v>1751328000</v>
      </c>
      <c r="AM316" s="271">
        <f>(C316-DATE(1970,1,1))*86400</f>
        <v>1753920000</v>
      </c>
      <c r="AN316" s="271">
        <f>AVERAGE(AL316:AM316)</f>
        <v>1752624000</v>
      </c>
    </row>
    <row r="317" spans="1:65" x14ac:dyDescent="0.2">
      <c r="A317" s="289" t="s">
        <v>133</v>
      </c>
      <c r="B317" s="268">
        <v>45839</v>
      </c>
      <c r="C317" s="268">
        <v>45869</v>
      </c>
      <c r="D317" s="267" t="s">
        <v>371</v>
      </c>
      <c r="E317" s="335" t="s">
        <v>371</v>
      </c>
      <c r="F317" s="267" t="s">
        <v>2501</v>
      </c>
      <c r="G317" s="267" t="s">
        <v>126</v>
      </c>
      <c r="H317" s="355">
        <v>500</v>
      </c>
      <c r="I317" s="269">
        <v>42.6</v>
      </c>
      <c r="J317" s="269">
        <v>0.4</v>
      </c>
      <c r="K317" s="269">
        <v>1.4</v>
      </c>
      <c r="L317" s="269">
        <v>0.3</v>
      </c>
      <c r="M317" s="269">
        <v>2.8</v>
      </c>
      <c r="N317" s="269"/>
      <c r="O317" s="269"/>
      <c r="P317" s="269">
        <v>0.9</v>
      </c>
      <c r="Q317" s="269"/>
      <c r="R317" s="269"/>
      <c r="S317" s="269"/>
      <c r="T317" s="269"/>
      <c r="U317" s="269"/>
      <c r="V317" s="269">
        <v>2.2999999999999998</v>
      </c>
      <c r="W317" s="269"/>
      <c r="X317" s="269">
        <v>6.5</v>
      </c>
      <c r="Y317" s="269">
        <v>26.1</v>
      </c>
      <c r="Z317" s="269">
        <v>1.4</v>
      </c>
      <c r="AA317" s="269">
        <v>15.1</v>
      </c>
      <c r="AB317" s="270">
        <f>100/(SUM(I317:Z317))</f>
        <v>1.1806375442739081</v>
      </c>
      <c r="AC317" s="259">
        <f>SUM(I317:AA317)</f>
        <v>99.799999999999983</v>
      </c>
      <c r="AD317" s="269"/>
      <c r="AE317" s="269"/>
      <c r="AF317" s="269"/>
      <c r="AG317" s="271" t="s">
        <v>64</v>
      </c>
      <c r="AH317" s="272" t="s">
        <v>1955</v>
      </c>
      <c r="AI317" s="272"/>
      <c r="AJ317" s="273"/>
      <c r="AK317" s="267" t="s">
        <v>1958</v>
      </c>
      <c r="AL317" s="271">
        <f>(B317-DATE(1970,1,1))*86400</f>
        <v>1751328000</v>
      </c>
      <c r="AM317" s="271">
        <f>(C317-DATE(1970,1,1))*86400</f>
        <v>1753920000</v>
      </c>
      <c r="AN317" s="271">
        <f>AVERAGE(AL317:AM317)</f>
        <v>1752624000</v>
      </c>
    </row>
    <row r="318" spans="1:65" ht="15.75" customHeight="1" x14ac:dyDescent="0.2">
      <c r="A318" s="289" t="s">
        <v>133</v>
      </c>
      <c r="B318" s="268">
        <v>45839</v>
      </c>
      <c r="C318" s="268">
        <v>45869</v>
      </c>
      <c r="D318" s="267" t="s">
        <v>371</v>
      </c>
      <c r="E318" s="335" t="s">
        <v>371</v>
      </c>
      <c r="F318" s="267" t="s">
        <v>2502</v>
      </c>
      <c r="G318" s="267" t="s">
        <v>126</v>
      </c>
      <c r="H318" s="355">
        <v>500</v>
      </c>
      <c r="I318" s="269">
        <v>41.6</v>
      </c>
      <c r="J318" s="269">
        <v>0.5</v>
      </c>
      <c r="K318" s="269">
        <v>1.9</v>
      </c>
      <c r="L318" s="269"/>
      <c r="M318" s="269">
        <v>2.2999999999999998</v>
      </c>
      <c r="N318" s="269"/>
      <c r="O318" s="269">
        <v>0.3</v>
      </c>
      <c r="P318" s="269"/>
      <c r="Q318" s="269"/>
      <c r="R318" s="269"/>
      <c r="S318" s="269"/>
      <c r="T318" s="269"/>
      <c r="U318" s="269"/>
      <c r="V318" s="269">
        <v>1.2</v>
      </c>
      <c r="W318" s="269"/>
      <c r="X318" s="269">
        <v>7.2</v>
      </c>
      <c r="Y318" s="269">
        <v>31.7</v>
      </c>
      <c r="Z318" s="269">
        <v>0.5</v>
      </c>
      <c r="AA318" s="269">
        <v>12.7</v>
      </c>
      <c r="AB318" s="270">
        <f>100/(SUM(I318:Z318))</f>
        <v>1.1467889908256881</v>
      </c>
      <c r="AC318" s="259">
        <f>SUM(I318:AA318)</f>
        <v>99.9</v>
      </c>
      <c r="AD318" s="269"/>
      <c r="AE318" s="269"/>
      <c r="AF318" s="269"/>
      <c r="AG318" s="271" t="s">
        <v>64</v>
      </c>
      <c r="AH318" s="272" t="s">
        <v>1956</v>
      </c>
      <c r="AI318" s="272"/>
      <c r="AJ318" s="273"/>
      <c r="AK318" s="267" t="s">
        <v>1959</v>
      </c>
      <c r="AL318" s="271">
        <f>(B318-DATE(1970,1,1))*86400</f>
        <v>1751328000</v>
      </c>
      <c r="AM318" s="271">
        <f>(C318-DATE(1970,1,1))*86400</f>
        <v>1753920000</v>
      </c>
      <c r="AN318" s="271">
        <f>AVERAGE(AL318:AM318)</f>
        <v>1752624000</v>
      </c>
    </row>
    <row r="319" spans="1:65" ht="15.75" customHeight="1" x14ac:dyDescent="0.2">
      <c r="A319" s="289" t="s">
        <v>133</v>
      </c>
      <c r="B319" s="268">
        <v>45839</v>
      </c>
      <c r="C319" s="268">
        <v>45869</v>
      </c>
      <c r="D319" s="267" t="s">
        <v>371</v>
      </c>
      <c r="E319" s="335" t="s">
        <v>371</v>
      </c>
      <c r="F319" s="267" t="s">
        <v>2503</v>
      </c>
      <c r="G319" s="267" t="s">
        <v>126</v>
      </c>
      <c r="H319" s="355">
        <v>500</v>
      </c>
      <c r="I319" s="269">
        <v>40.4</v>
      </c>
      <c r="J319" s="269">
        <v>1</v>
      </c>
      <c r="K319" s="269">
        <v>2.7</v>
      </c>
      <c r="L319" s="269">
        <v>1.5</v>
      </c>
      <c r="M319" s="269">
        <v>4.7</v>
      </c>
      <c r="N319" s="269"/>
      <c r="O319" s="269">
        <v>1.3</v>
      </c>
      <c r="P319" s="269">
        <v>1.3</v>
      </c>
      <c r="Q319" s="269"/>
      <c r="R319" s="269"/>
      <c r="S319" s="269"/>
      <c r="T319" s="269"/>
      <c r="U319" s="269"/>
      <c r="V319" s="269">
        <v>2.4</v>
      </c>
      <c r="W319" s="269"/>
      <c r="X319" s="269">
        <v>5.8</v>
      </c>
      <c r="Y319" s="269">
        <v>25.8</v>
      </c>
      <c r="Z319" s="269">
        <v>1.2</v>
      </c>
      <c r="AA319" s="269">
        <v>11.9</v>
      </c>
      <c r="AB319" s="270">
        <f>100/(SUM(I319:Z319))</f>
        <v>1.1350737797956867</v>
      </c>
      <c r="AC319" s="259">
        <f>SUM(I319:AA319)</f>
        <v>100</v>
      </c>
      <c r="AD319" s="269"/>
      <c r="AE319" s="269"/>
      <c r="AF319" s="269"/>
      <c r="AG319" s="271" t="s">
        <v>64</v>
      </c>
      <c r="AH319" s="272" t="s">
        <v>1952</v>
      </c>
      <c r="AI319" s="272"/>
      <c r="AJ319" s="273"/>
      <c r="AK319" s="267" t="s">
        <v>1953</v>
      </c>
      <c r="AL319" s="271">
        <f>(B319-DATE(1970,1,1))*86400</f>
        <v>1751328000</v>
      </c>
      <c r="AM319" s="271">
        <f>(C319-DATE(1970,1,1))*86400</f>
        <v>1753920000</v>
      </c>
      <c r="AN319" s="271">
        <f>AVERAGE(AL319:AM319)</f>
        <v>1752624000</v>
      </c>
    </row>
    <row r="320" spans="1:65" ht="15.75" customHeight="1" x14ac:dyDescent="0.2">
      <c r="A320" s="289" t="s">
        <v>133</v>
      </c>
      <c r="B320" s="268">
        <v>45839</v>
      </c>
      <c r="C320" s="268">
        <v>45869</v>
      </c>
      <c r="D320" s="267" t="s">
        <v>371</v>
      </c>
      <c r="E320" s="335" t="s">
        <v>371</v>
      </c>
      <c r="F320" s="267" t="s">
        <v>2497</v>
      </c>
      <c r="G320" s="267" t="s">
        <v>126</v>
      </c>
      <c r="H320" s="355">
        <v>500</v>
      </c>
      <c r="I320" s="269">
        <v>26.6</v>
      </c>
      <c r="J320" s="269">
        <v>3.8</v>
      </c>
      <c r="K320" s="269">
        <v>2.5</v>
      </c>
      <c r="L320" s="269">
        <v>1.6</v>
      </c>
      <c r="M320" s="269">
        <v>7.2</v>
      </c>
      <c r="N320" s="269"/>
      <c r="O320" s="269">
        <v>2</v>
      </c>
      <c r="P320" s="269">
        <v>4.3</v>
      </c>
      <c r="Q320" s="269"/>
      <c r="R320" s="269"/>
      <c r="S320" s="269"/>
      <c r="T320" s="269"/>
      <c r="U320" s="269"/>
      <c r="V320" s="269">
        <v>5.9</v>
      </c>
      <c r="W320" s="269"/>
      <c r="X320" s="269">
        <v>2.8</v>
      </c>
      <c r="Y320" s="269">
        <v>34.9</v>
      </c>
      <c r="Z320" s="269">
        <v>0.4</v>
      </c>
      <c r="AA320" s="269">
        <v>8</v>
      </c>
      <c r="AB320" s="270">
        <f>100/(SUM(I320:Z320))</f>
        <v>1.0869565217391304</v>
      </c>
      <c r="AC320" s="259">
        <f>SUM(I320:AA320)</f>
        <v>100</v>
      </c>
      <c r="AD320" s="269"/>
      <c r="AE320" s="269"/>
      <c r="AF320" s="269"/>
      <c r="AG320" s="271" t="s">
        <v>64</v>
      </c>
      <c r="AH320" s="272" t="s">
        <v>1960</v>
      </c>
      <c r="AI320" s="272"/>
      <c r="AJ320" s="273"/>
      <c r="AK320" s="267" t="s">
        <v>1962</v>
      </c>
      <c r="AL320" s="271">
        <f>(B320-DATE(1970,1,1))*86400</f>
        <v>1751328000</v>
      </c>
      <c r="AM320" s="271">
        <f>(C320-DATE(1970,1,1))*86400</f>
        <v>1753920000</v>
      </c>
      <c r="AN320" s="271">
        <f>AVERAGE(AL320:AM320)</f>
        <v>1752624000</v>
      </c>
    </row>
    <row r="321" spans="1:65" x14ac:dyDescent="0.2">
      <c r="A321" s="289" t="s">
        <v>133</v>
      </c>
      <c r="B321" s="268">
        <v>45839</v>
      </c>
      <c r="C321" s="268">
        <v>45869</v>
      </c>
      <c r="D321" s="267" t="s">
        <v>371</v>
      </c>
      <c r="E321" s="335" t="s">
        <v>371</v>
      </c>
      <c r="F321" s="267" t="s">
        <v>140</v>
      </c>
      <c r="G321" s="267" t="s">
        <v>126</v>
      </c>
      <c r="H321" s="355">
        <v>53000</v>
      </c>
      <c r="I321" s="269">
        <v>37</v>
      </c>
      <c r="J321" s="269"/>
      <c r="K321" s="269"/>
      <c r="L321" s="269"/>
      <c r="M321" s="269"/>
      <c r="N321" s="269"/>
      <c r="O321" s="269"/>
      <c r="P321" s="269"/>
      <c r="Q321" s="269"/>
      <c r="R321" s="269"/>
      <c r="S321" s="269"/>
      <c r="T321" s="269"/>
      <c r="U321" s="269"/>
      <c r="V321" s="269"/>
      <c r="W321" s="269"/>
      <c r="X321" s="269"/>
      <c r="Y321" s="269">
        <v>37</v>
      </c>
      <c r="Z321" s="269"/>
      <c r="AA321" s="269"/>
      <c r="AB321" s="270">
        <f>100/(SUM(I321:Z321))</f>
        <v>1.3513513513513513</v>
      </c>
      <c r="AC321" s="259">
        <f>SUM(I321:AA321)</f>
        <v>74</v>
      </c>
      <c r="AD321" s="269"/>
      <c r="AE321" s="269"/>
      <c r="AF321" s="269"/>
      <c r="AG321" s="271" t="s">
        <v>64</v>
      </c>
      <c r="AH321" s="272" t="s">
        <v>2079</v>
      </c>
      <c r="AI321" s="272"/>
      <c r="AJ321" s="273"/>
      <c r="AK321" s="267" t="s">
        <v>2083</v>
      </c>
      <c r="AL321" s="271">
        <f>(B321-DATE(1970,1,1))*86400</f>
        <v>1751328000</v>
      </c>
      <c r="AM321" s="271">
        <f>(C321-DATE(1970,1,1))*86400</f>
        <v>1753920000</v>
      </c>
      <c r="AN321" s="271">
        <f>AVERAGE(AL321:AM321)</f>
        <v>1752624000</v>
      </c>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row>
    <row r="322" spans="1:65" ht="15.75" customHeight="1" x14ac:dyDescent="0.2">
      <c r="A322" s="290" t="s">
        <v>133</v>
      </c>
      <c r="B322" s="226">
        <v>45852</v>
      </c>
      <c r="C322" s="226">
        <v>45854</v>
      </c>
      <c r="D322" s="225" t="s">
        <v>371</v>
      </c>
      <c r="E322" s="336" t="s">
        <v>371</v>
      </c>
      <c r="F322" s="225" t="s">
        <v>2504</v>
      </c>
      <c r="G322" s="225" t="s">
        <v>371</v>
      </c>
      <c r="H322" s="336" t="s">
        <v>371</v>
      </c>
      <c r="I322" s="227">
        <v>36</v>
      </c>
      <c r="J322" s="227"/>
      <c r="K322" s="227"/>
      <c r="L322" s="227"/>
      <c r="M322" s="227">
        <v>3</v>
      </c>
      <c r="N322" s="227"/>
      <c r="O322" s="227"/>
      <c r="P322" s="227"/>
      <c r="Q322" s="227"/>
      <c r="R322" s="228"/>
      <c r="S322" s="227"/>
      <c r="T322" s="227"/>
      <c r="U322" s="227"/>
      <c r="V322" s="227">
        <v>0</v>
      </c>
      <c r="W322" s="227"/>
      <c r="X322" s="227">
        <v>9</v>
      </c>
      <c r="Y322" s="227">
        <v>35</v>
      </c>
      <c r="Z322" s="227">
        <v>1</v>
      </c>
      <c r="AA322" s="227">
        <v>16</v>
      </c>
      <c r="AB322" s="229">
        <f>100/(SUM(I322:Z322))</f>
        <v>1.1904761904761905</v>
      </c>
      <c r="AC322" s="259">
        <f>SUM(I322:AA322)</f>
        <v>100</v>
      </c>
      <c r="AD322" s="227"/>
      <c r="AE322" s="228"/>
      <c r="AF322" s="228"/>
      <c r="AG322" s="230" t="s">
        <v>1928</v>
      </c>
      <c r="AH322" s="634" t="s">
        <v>2040</v>
      </c>
      <c r="AI322" s="231"/>
      <c r="AJ322" s="231"/>
      <c r="AK322" s="225" t="s">
        <v>1931</v>
      </c>
      <c r="AL322" s="230">
        <f>(B322-DATE(1970,1,1))*86400</f>
        <v>1752451200</v>
      </c>
      <c r="AM322" s="230">
        <f>(C322-DATE(1970,1,1))*86400</f>
        <v>1752624000</v>
      </c>
      <c r="AN322" s="230">
        <f>AVERAGE(AL322:AM322)</f>
        <v>1752537600</v>
      </c>
    </row>
    <row r="323" spans="1:65" ht="15.75" customHeight="1" x14ac:dyDescent="0.2">
      <c r="A323" s="290" t="s">
        <v>133</v>
      </c>
      <c r="B323" s="226">
        <v>45852</v>
      </c>
      <c r="C323" s="226">
        <v>45854</v>
      </c>
      <c r="D323" s="225" t="s">
        <v>371</v>
      </c>
      <c r="E323" s="336" t="s">
        <v>371</v>
      </c>
      <c r="F323" s="225" t="s">
        <v>2504</v>
      </c>
      <c r="G323" s="225" t="s">
        <v>371</v>
      </c>
      <c r="H323" s="336" t="s">
        <v>371</v>
      </c>
      <c r="I323" s="227">
        <v>42</v>
      </c>
      <c r="J323" s="227"/>
      <c r="K323" s="227"/>
      <c r="L323" s="227"/>
      <c r="M323" s="227">
        <v>4</v>
      </c>
      <c r="N323" s="227"/>
      <c r="O323" s="227"/>
      <c r="P323" s="227"/>
      <c r="Q323" s="227"/>
      <c r="R323" s="228"/>
      <c r="S323" s="227"/>
      <c r="T323" s="227"/>
      <c r="U323" s="227"/>
      <c r="V323" s="227">
        <v>1</v>
      </c>
      <c r="W323" s="227"/>
      <c r="X323" s="227">
        <v>10</v>
      </c>
      <c r="Y323" s="227">
        <v>42</v>
      </c>
      <c r="Z323" s="227">
        <v>1</v>
      </c>
      <c r="AA323" s="227">
        <v>0</v>
      </c>
      <c r="AB323" s="229">
        <f>100/(SUM(I323:Z323))</f>
        <v>1</v>
      </c>
      <c r="AC323" s="259">
        <f>SUM(I323:AA323)</f>
        <v>100</v>
      </c>
      <c r="AD323" s="227"/>
      <c r="AE323" s="228"/>
      <c r="AF323" s="228"/>
      <c r="AG323" s="230" t="s">
        <v>1928</v>
      </c>
      <c r="AH323" s="634" t="s">
        <v>2040</v>
      </c>
      <c r="AI323" s="231"/>
      <c r="AJ323" s="231"/>
      <c r="AK323" s="225"/>
      <c r="AL323" s="230">
        <f>(B323-DATE(1970,1,1))*86400</f>
        <v>1752451200</v>
      </c>
      <c r="AM323" s="230">
        <f>(C323-DATE(1970,1,1))*86400</f>
        <v>1752624000</v>
      </c>
      <c r="AN323" s="230">
        <f>AVERAGE(AL323:AM323)</f>
        <v>1752537600</v>
      </c>
    </row>
    <row r="324" spans="1:65" ht="15.75" customHeight="1" x14ac:dyDescent="0.2">
      <c r="A324" s="290" t="s">
        <v>123</v>
      </c>
      <c r="B324" s="226">
        <v>45852</v>
      </c>
      <c r="C324" s="226">
        <v>45854</v>
      </c>
      <c r="D324" s="225" t="s">
        <v>371</v>
      </c>
      <c r="E324" s="336" t="s">
        <v>371</v>
      </c>
      <c r="F324" s="225" t="s">
        <v>2504</v>
      </c>
      <c r="G324" s="225" t="s">
        <v>371</v>
      </c>
      <c r="H324" s="336" t="s">
        <v>371</v>
      </c>
      <c r="I324" s="227">
        <v>43</v>
      </c>
      <c r="J324" s="227"/>
      <c r="K324" s="227"/>
      <c r="L324" s="227"/>
      <c r="M324" s="227">
        <v>4</v>
      </c>
      <c r="N324" s="227"/>
      <c r="O324" s="227"/>
      <c r="P324" s="227"/>
      <c r="Q324" s="227"/>
      <c r="R324" s="228"/>
      <c r="S324" s="227"/>
      <c r="T324" s="227"/>
      <c r="U324" s="227"/>
      <c r="V324" s="227">
        <v>1</v>
      </c>
      <c r="W324" s="227"/>
      <c r="X324" s="227">
        <v>8</v>
      </c>
      <c r="Y324" s="227">
        <v>43</v>
      </c>
      <c r="Z324" s="227">
        <v>1</v>
      </c>
      <c r="AA324" s="227">
        <v>0</v>
      </c>
      <c r="AB324" s="229">
        <f>100/(SUM(I324:Z324))</f>
        <v>1</v>
      </c>
      <c r="AC324" s="259">
        <f>SUM(I324:AA324)</f>
        <v>100</v>
      </c>
      <c r="AD324" s="227"/>
      <c r="AE324" s="228"/>
      <c r="AF324" s="228"/>
      <c r="AG324" s="230" t="s">
        <v>1928</v>
      </c>
      <c r="AH324" s="634" t="s">
        <v>2040</v>
      </c>
      <c r="AI324" s="231"/>
      <c r="AJ324" s="231"/>
      <c r="AK324" s="225"/>
      <c r="AL324" s="230">
        <f>(B324-DATE(1970,1,1))*86400</f>
        <v>1752451200</v>
      </c>
      <c r="AM324" s="230">
        <f>(C324-DATE(1970,1,1))*86400</f>
        <v>1752624000</v>
      </c>
      <c r="AN324" s="230">
        <f>AVERAGE(AL324:AM324)</f>
        <v>1752537600</v>
      </c>
    </row>
    <row r="325" spans="1:65" ht="15.75" customHeight="1" x14ac:dyDescent="0.2">
      <c r="A325" s="283" t="s">
        <v>123</v>
      </c>
      <c r="B325" s="28">
        <v>45852</v>
      </c>
      <c r="C325" s="28">
        <v>45853</v>
      </c>
      <c r="D325" s="27" t="s">
        <v>139</v>
      </c>
      <c r="E325" s="331" t="s">
        <v>125</v>
      </c>
      <c r="F325" s="27" t="s">
        <v>140</v>
      </c>
      <c r="G325" s="27" t="s">
        <v>126</v>
      </c>
      <c r="H325" s="352">
        <v>1000</v>
      </c>
      <c r="I325" s="29"/>
      <c r="J325" s="29"/>
      <c r="K325" s="29"/>
      <c r="L325" s="29"/>
      <c r="M325" s="29"/>
      <c r="N325" s="29"/>
      <c r="O325" s="29"/>
      <c r="P325" s="29"/>
      <c r="Q325" s="29"/>
      <c r="R325" s="29"/>
      <c r="S325" s="29"/>
      <c r="T325" s="29"/>
      <c r="U325" s="29"/>
      <c r="V325" s="29"/>
      <c r="W325" s="29"/>
      <c r="X325" s="29"/>
      <c r="Y325" s="29"/>
      <c r="Z325" s="29"/>
      <c r="AA325" s="29"/>
      <c r="AB325" s="30" t="e">
        <f>100/(SUM(I325:Z325))</f>
        <v>#DIV/0!</v>
      </c>
      <c r="AC325" s="259">
        <f>SUM(I325:AA325)</f>
        <v>0</v>
      </c>
      <c r="AD325" s="29"/>
      <c r="AE325" s="29"/>
      <c r="AF325" s="29"/>
      <c r="AG325" s="31" t="s">
        <v>127</v>
      </c>
      <c r="AH325" s="198" t="s">
        <v>1933</v>
      </c>
      <c r="AI325" s="198" t="s">
        <v>1934</v>
      </c>
      <c r="AJ325" s="32"/>
      <c r="AK325" s="27"/>
      <c r="AL325" s="31">
        <f>(B325-DATE(1970,1,1))*86400</f>
        <v>1752451200</v>
      </c>
      <c r="AM325" s="31">
        <f>(C325-DATE(1970,1,1))*86400</f>
        <v>1752537600</v>
      </c>
      <c r="AN325" s="31">
        <f>AVERAGE(AL325:AM325)</f>
        <v>1752494400</v>
      </c>
    </row>
    <row r="326" spans="1:65" s="6" customFormat="1" x14ac:dyDescent="0.2">
      <c r="A326" s="287" t="s">
        <v>133</v>
      </c>
      <c r="B326" s="187">
        <v>45848</v>
      </c>
      <c r="C326" s="187">
        <v>45855</v>
      </c>
      <c r="D326" s="69" t="s">
        <v>183</v>
      </c>
      <c r="E326" s="333" t="s">
        <v>125</v>
      </c>
      <c r="F326" s="69" t="s">
        <v>140</v>
      </c>
      <c r="G326" s="188" t="s">
        <v>126</v>
      </c>
      <c r="H326" s="354">
        <v>1000</v>
      </c>
      <c r="I326" s="71"/>
      <c r="J326" s="71"/>
      <c r="K326" s="71"/>
      <c r="L326" s="71"/>
      <c r="M326" s="71"/>
      <c r="N326" s="71"/>
      <c r="O326" s="71"/>
      <c r="P326" s="71"/>
      <c r="Q326" s="71"/>
      <c r="R326" s="72"/>
      <c r="S326" s="71"/>
      <c r="T326" s="71"/>
      <c r="U326" s="71"/>
      <c r="V326" s="71"/>
      <c r="W326" s="71"/>
      <c r="X326" s="71"/>
      <c r="Y326" s="71"/>
      <c r="Z326" s="71"/>
      <c r="AA326" s="71"/>
      <c r="AB326" s="73"/>
      <c r="AC326" s="259">
        <f>SUM(I326:AA326)</f>
        <v>0</v>
      </c>
      <c r="AD326" s="71"/>
      <c r="AE326" s="71"/>
      <c r="AF326" s="71"/>
      <c r="AG326" s="74" t="s">
        <v>2283</v>
      </c>
      <c r="AH326" s="199" t="s">
        <v>2284</v>
      </c>
      <c r="AI326" s="75"/>
      <c r="AJ326" s="75"/>
      <c r="AK326" s="69"/>
      <c r="AL326" s="74">
        <f>(B326-DATE(1970,1,1))*86400</f>
        <v>1752105600</v>
      </c>
      <c r="AM326" s="74">
        <f>(C326-DATE(1970,1,1))*86400</f>
        <v>1752710400</v>
      </c>
      <c r="AN326" s="74">
        <f>AVERAGE(AL326:AM326)</f>
        <v>1752408000</v>
      </c>
      <c r="AO326"/>
      <c r="AP326"/>
      <c r="AQ326"/>
      <c r="AR326"/>
      <c r="AS326"/>
      <c r="AT326"/>
      <c r="AU326"/>
      <c r="AV326"/>
      <c r="AW326"/>
      <c r="AX326"/>
      <c r="AY326"/>
      <c r="AZ326"/>
      <c r="BA326"/>
      <c r="BB326"/>
      <c r="BC326"/>
      <c r="BD326"/>
      <c r="BE326"/>
      <c r="BF326"/>
      <c r="BG326"/>
      <c r="BH326"/>
      <c r="BI326"/>
      <c r="BJ326"/>
      <c r="BK326"/>
      <c r="BL326"/>
      <c r="BM326"/>
    </row>
    <row r="327" spans="1:65" ht="15.75" customHeight="1" x14ac:dyDescent="0.2">
      <c r="A327" s="288" t="s">
        <v>133</v>
      </c>
      <c r="B327" s="60">
        <v>45839</v>
      </c>
      <c r="C327" s="60">
        <v>45846</v>
      </c>
      <c r="D327" s="61" t="s">
        <v>168</v>
      </c>
      <c r="E327" s="334" t="s">
        <v>125</v>
      </c>
      <c r="F327" s="218"/>
      <c r="G327" s="61" t="s">
        <v>126</v>
      </c>
      <c r="H327" s="334">
        <v>1000</v>
      </c>
      <c r="I327" s="63">
        <v>25</v>
      </c>
      <c r="J327" s="63">
        <v>1</v>
      </c>
      <c r="K327" s="63">
        <v>1</v>
      </c>
      <c r="L327" s="63">
        <v>0</v>
      </c>
      <c r="M327" s="63">
        <v>4</v>
      </c>
      <c r="N327" s="63"/>
      <c r="O327" s="63">
        <v>0</v>
      </c>
      <c r="P327" s="63">
        <v>1</v>
      </c>
      <c r="Q327" s="63"/>
      <c r="R327" s="64"/>
      <c r="S327" s="63"/>
      <c r="T327" s="63"/>
      <c r="U327" s="63"/>
      <c r="V327" s="63">
        <v>4</v>
      </c>
      <c r="W327" s="63"/>
      <c r="X327" s="63">
        <v>5</v>
      </c>
      <c r="Y327" s="63">
        <v>31</v>
      </c>
      <c r="Z327" s="63">
        <v>1</v>
      </c>
      <c r="AA327" s="63">
        <v>24</v>
      </c>
      <c r="AB327" s="65">
        <f>100/(SUM(I327:Z327))</f>
        <v>1.3698630136986301</v>
      </c>
      <c r="AC327" s="259">
        <f>SUM(I327:AA327)</f>
        <v>97</v>
      </c>
      <c r="AD327" s="63">
        <v>59</v>
      </c>
      <c r="AE327" s="64"/>
      <c r="AF327" s="64"/>
      <c r="AG327" s="66" t="s">
        <v>127</v>
      </c>
      <c r="AH327" s="67" t="s">
        <v>1909</v>
      </c>
      <c r="AI327" s="200" t="s">
        <v>1908</v>
      </c>
      <c r="AJ327" s="67" t="s">
        <v>1942</v>
      </c>
      <c r="AK327" s="61" t="s">
        <v>1907</v>
      </c>
      <c r="AL327" s="66">
        <f>(B327-DATE(1970,1,1))*86400</f>
        <v>1751328000</v>
      </c>
      <c r="AM327" s="66">
        <f>(C327-DATE(1970,1,1))*86400</f>
        <v>1751932800</v>
      </c>
      <c r="AN327" s="66">
        <f>AVERAGE(AL327:AM327)</f>
        <v>1751630400</v>
      </c>
    </row>
    <row r="328" spans="1:65" ht="15.75" customHeight="1" x14ac:dyDescent="0.2">
      <c r="A328" s="288" t="s">
        <v>133</v>
      </c>
      <c r="B328" s="60">
        <v>45839</v>
      </c>
      <c r="C328" s="60">
        <v>45846</v>
      </c>
      <c r="D328" s="61" t="s">
        <v>168</v>
      </c>
      <c r="E328" s="334" t="s">
        <v>125</v>
      </c>
      <c r="F328" s="218"/>
      <c r="G328" s="61" t="s">
        <v>126</v>
      </c>
      <c r="H328" s="334">
        <v>1000</v>
      </c>
      <c r="I328" s="63">
        <v>33</v>
      </c>
      <c r="J328" s="63">
        <v>1</v>
      </c>
      <c r="K328" s="63">
        <v>1</v>
      </c>
      <c r="L328" s="63">
        <v>0</v>
      </c>
      <c r="M328" s="63">
        <v>6</v>
      </c>
      <c r="N328" s="63"/>
      <c r="O328" s="63">
        <v>1</v>
      </c>
      <c r="P328" s="63">
        <v>2</v>
      </c>
      <c r="Q328" s="63"/>
      <c r="R328" s="64"/>
      <c r="S328" s="63"/>
      <c r="T328" s="63"/>
      <c r="U328" s="63"/>
      <c r="V328" s="63">
        <v>6</v>
      </c>
      <c r="W328" s="63"/>
      <c r="X328" s="63">
        <v>7</v>
      </c>
      <c r="Y328" s="63">
        <v>41</v>
      </c>
      <c r="Z328" s="63">
        <v>2</v>
      </c>
      <c r="AA328" s="63">
        <v>0</v>
      </c>
      <c r="AB328" s="65">
        <f>100/(SUM(I328:Z328))</f>
        <v>1</v>
      </c>
      <c r="AC328" s="259">
        <f>SUM(I328:AA328)</f>
        <v>100</v>
      </c>
      <c r="AD328" s="63"/>
      <c r="AE328" s="64"/>
      <c r="AF328" s="64"/>
      <c r="AG328" s="66" t="s">
        <v>127</v>
      </c>
      <c r="AH328" s="67" t="s">
        <v>1909</v>
      </c>
      <c r="AI328" s="200" t="s">
        <v>1908</v>
      </c>
      <c r="AJ328" s="67"/>
      <c r="AK328" s="61" t="s">
        <v>1911</v>
      </c>
      <c r="AL328" s="66">
        <f>(B328-DATE(1970,1,1))*86400</f>
        <v>1751328000</v>
      </c>
      <c r="AM328" s="66">
        <f>(C328-DATE(1970,1,1))*86400</f>
        <v>1751932800</v>
      </c>
      <c r="AN328" s="66">
        <f>AVERAGE(AL328:AM328)</f>
        <v>1751630400</v>
      </c>
    </row>
    <row r="329" spans="1:65" ht="15.75" customHeight="1" x14ac:dyDescent="0.2">
      <c r="A329" s="288" t="s">
        <v>123</v>
      </c>
      <c r="B329" s="60">
        <v>45839</v>
      </c>
      <c r="C329" s="60">
        <v>45846</v>
      </c>
      <c r="D329" s="61" t="s">
        <v>168</v>
      </c>
      <c r="E329" s="334" t="s">
        <v>125</v>
      </c>
      <c r="F329" s="218"/>
      <c r="G329" s="61" t="s">
        <v>126</v>
      </c>
      <c r="H329" s="334">
        <v>1000</v>
      </c>
      <c r="I329" s="63">
        <v>33</v>
      </c>
      <c r="J329" s="63">
        <v>1</v>
      </c>
      <c r="K329" s="63">
        <v>1</v>
      </c>
      <c r="L329" s="63">
        <v>0</v>
      </c>
      <c r="M329" s="63">
        <v>6</v>
      </c>
      <c r="N329" s="63"/>
      <c r="O329" s="63">
        <v>1</v>
      </c>
      <c r="P329" s="63">
        <v>2</v>
      </c>
      <c r="Q329" s="63"/>
      <c r="R329" s="64"/>
      <c r="S329" s="63"/>
      <c r="T329" s="63"/>
      <c r="U329" s="63"/>
      <c r="V329" s="63">
        <v>4</v>
      </c>
      <c r="W329" s="63"/>
      <c r="X329" s="63">
        <v>8</v>
      </c>
      <c r="Y329" s="63">
        <v>43</v>
      </c>
      <c r="Z329" s="63">
        <v>1</v>
      </c>
      <c r="AA329" s="63">
        <v>0</v>
      </c>
      <c r="AB329" s="65">
        <f>100/(SUM(I329:Z329))</f>
        <v>1</v>
      </c>
      <c r="AC329" s="259">
        <f>SUM(I329:AA329)</f>
        <v>100</v>
      </c>
      <c r="AD329" s="63"/>
      <c r="AE329" s="64"/>
      <c r="AF329" s="64"/>
      <c r="AG329" s="66" t="s">
        <v>127</v>
      </c>
      <c r="AH329" s="67" t="s">
        <v>1909</v>
      </c>
      <c r="AI329" s="200" t="s">
        <v>1908</v>
      </c>
      <c r="AJ329" s="67"/>
      <c r="AK329" s="61"/>
      <c r="AL329" s="66">
        <f>(B329-DATE(1970,1,1))*86400</f>
        <v>1751328000</v>
      </c>
      <c r="AM329" s="66">
        <f>(C329-DATE(1970,1,1))*86400</f>
        <v>1751932800</v>
      </c>
      <c r="AN329" s="66">
        <f>AVERAGE(AL329:AM329)</f>
        <v>1751630400</v>
      </c>
    </row>
    <row r="330" spans="1:65" x14ac:dyDescent="0.2">
      <c r="A330" s="280" t="s">
        <v>133</v>
      </c>
      <c r="B330" s="108">
        <v>45839</v>
      </c>
      <c r="C330" s="108">
        <v>45845</v>
      </c>
      <c r="D330" s="76" t="s">
        <v>200</v>
      </c>
      <c r="E330" s="320" t="s">
        <v>125</v>
      </c>
      <c r="F330" s="76" t="s">
        <v>140</v>
      </c>
      <c r="G330" s="76" t="s">
        <v>126</v>
      </c>
      <c r="H330" s="350">
        <v>1000</v>
      </c>
      <c r="I330" s="78"/>
      <c r="J330" s="78"/>
      <c r="K330" s="78"/>
      <c r="L330" s="78"/>
      <c r="M330" s="78"/>
      <c r="N330" s="78"/>
      <c r="O330" s="78"/>
      <c r="P330" s="78"/>
      <c r="Q330" s="78"/>
      <c r="R330" s="78"/>
      <c r="S330" s="78"/>
      <c r="T330" s="78"/>
      <c r="U330" s="78"/>
      <c r="V330" s="78"/>
      <c r="W330" s="78"/>
      <c r="X330" s="78"/>
      <c r="Y330" s="78"/>
      <c r="Z330" s="78"/>
      <c r="AA330" s="78"/>
      <c r="AB330" s="79" t="e">
        <f>100/(SUM(I330:Z330))</f>
        <v>#DIV/0!</v>
      </c>
      <c r="AC330" s="259">
        <f>SUM(I330:AA330)</f>
        <v>0</v>
      </c>
      <c r="AD330" s="78"/>
      <c r="AE330" s="78"/>
      <c r="AF330" s="78"/>
      <c r="AG330" s="80" t="s">
        <v>127</v>
      </c>
      <c r="AH330" s="81" t="s">
        <v>1913</v>
      </c>
      <c r="AI330" s="81"/>
      <c r="AJ330" s="81"/>
      <c r="AK330" s="76" t="s">
        <v>2082</v>
      </c>
      <c r="AL330" s="80">
        <f>(B330-DATE(1970,1,1))*86400</f>
        <v>1751328000</v>
      </c>
      <c r="AM330" s="80">
        <f>(C330-DATE(1970,1,1))*86400</f>
        <v>1751846400</v>
      </c>
      <c r="AN330" s="80">
        <f>AVERAGE(AL330:AM330)</f>
        <v>1751587200</v>
      </c>
    </row>
    <row r="331" spans="1:65" x14ac:dyDescent="0.2">
      <c r="A331" s="291" t="s">
        <v>123</v>
      </c>
      <c r="B331" s="191">
        <v>45838</v>
      </c>
      <c r="C331" s="191">
        <v>45840</v>
      </c>
      <c r="D331" s="47" t="s">
        <v>152</v>
      </c>
      <c r="E331" s="337" t="s">
        <v>125</v>
      </c>
      <c r="F331" s="47"/>
      <c r="G331" s="47" t="s">
        <v>126</v>
      </c>
      <c r="H331" s="356">
        <v>1000</v>
      </c>
      <c r="I331" s="49">
        <v>49</v>
      </c>
      <c r="J331" s="49"/>
      <c r="K331" s="49"/>
      <c r="L331" s="49"/>
      <c r="M331" s="49">
        <v>3</v>
      </c>
      <c r="N331" s="49"/>
      <c r="O331" s="49"/>
      <c r="P331" s="49" t="s">
        <v>355</v>
      </c>
      <c r="Q331" s="49"/>
      <c r="R331" s="49"/>
      <c r="S331" s="49"/>
      <c r="T331" s="49"/>
      <c r="U331" s="49"/>
      <c r="V331" s="49" t="s">
        <v>355</v>
      </c>
      <c r="W331" s="49"/>
      <c r="X331" s="49">
        <v>3</v>
      </c>
      <c r="Y331" s="49">
        <v>41</v>
      </c>
      <c r="Z331" s="49">
        <v>4</v>
      </c>
      <c r="AA331" s="49">
        <v>0</v>
      </c>
      <c r="AB331" s="50">
        <f>100/(SUM(I331:Z331))</f>
        <v>1</v>
      </c>
      <c r="AC331" s="259">
        <f>SUM(I331:AA331)</f>
        <v>100</v>
      </c>
      <c r="AD331" s="49"/>
      <c r="AE331" s="49"/>
      <c r="AF331" s="49"/>
      <c r="AG331" s="51" t="s">
        <v>127</v>
      </c>
      <c r="AH331" s="193" t="s">
        <v>1899</v>
      </c>
      <c r="AI331" s="52"/>
      <c r="AJ331" s="192"/>
      <c r="AK331" s="47" t="s">
        <v>1900</v>
      </c>
      <c r="AL331" s="51">
        <f>(B331-DATE(1970,1,1))*86400</f>
        <v>1751241600</v>
      </c>
      <c r="AM331" s="51">
        <f>(C331-DATE(1970,1,1))*86400</f>
        <v>1751414400</v>
      </c>
      <c r="AN331" s="51">
        <f>AVERAGE(AL331:AM331)</f>
        <v>1751328000</v>
      </c>
    </row>
    <row r="332" spans="1:65" ht="15.75" customHeight="1" x14ac:dyDescent="0.2">
      <c r="A332" s="283" t="s">
        <v>123</v>
      </c>
      <c r="B332" s="28">
        <v>45838</v>
      </c>
      <c r="C332" s="28">
        <v>45839</v>
      </c>
      <c r="D332" s="27" t="s">
        <v>139</v>
      </c>
      <c r="E332" s="331" t="s">
        <v>125</v>
      </c>
      <c r="F332" s="27"/>
      <c r="G332" s="27" t="s">
        <v>126</v>
      </c>
      <c r="H332" s="352">
        <v>1000</v>
      </c>
      <c r="I332" s="29">
        <v>47</v>
      </c>
      <c r="J332" s="29"/>
      <c r="K332" s="29"/>
      <c r="L332" s="29"/>
      <c r="M332" s="29">
        <v>4</v>
      </c>
      <c r="N332" s="29"/>
      <c r="O332" s="29"/>
      <c r="P332" s="29"/>
      <c r="Q332" s="29"/>
      <c r="R332" s="29"/>
      <c r="S332" s="29"/>
      <c r="T332" s="29"/>
      <c r="U332" s="29"/>
      <c r="V332" s="29">
        <v>3</v>
      </c>
      <c r="W332" s="29"/>
      <c r="X332" s="29">
        <v>3</v>
      </c>
      <c r="Y332" s="29">
        <v>42</v>
      </c>
      <c r="Z332" s="29">
        <v>1</v>
      </c>
      <c r="AA332" s="29">
        <v>0</v>
      </c>
      <c r="AB332" s="30">
        <f>100/(SUM(I332:Z332))</f>
        <v>1</v>
      </c>
      <c r="AC332" s="259">
        <f>SUM(I332:AA332)</f>
        <v>100</v>
      </c>
      <c r="AD332" s="29"/>
      <c r="AE332" s="29"/>
      <c r="AF332" s="29"/>
      <c r="AG332" s="31" t="s">
        <v>127</v>
      </c>
      <c r="AH332" s="198" t="s">
        <v>1902</v>
      </c>
      <c r="AI332" s="198" t="s">
        <v>1903</v>
      </c>
      <c r="AJ332" s="32"/>
      <c r="AK332" s="27" t="s">
        <v>1906</v>
      </c>
      <c r="AL332" s="31">
        <f>(B332-DATE(1970,1,1))*86400</f>
        <v>1751241600</v>
      </c>
      <c r="AM332" s="31">
        <f>(C332-DATE(1970,1,1))*86400</f>
        <v>1751328000</v>
      </c>
      <c r="AN332" s="31">
        <f>AVERAGE(AL332:AM332)</f>
        <v>1751284800</v>
      </c>
    </row>
    <row r="333" spans="1:65" x14ac:dyDescent="0.2">
      <c r="A333" s="287" t="s">
        <v>133</v>
      </c>
      <c r="B333" s="187">
        <v>45832</v>
      </c>
      <c r="C333" s="187">
        <v>45835</v>
      </c>
      <c r="D333" s="69" t="s">
        <v>183</v>
      </c>
      <c r="E333" s="333" t="s">
        <v>125</v>
      </c>
      <c r="F333" s="69"/>
      <c r="G333" s="188" t="s">
        <v>597</v>
      </c>
      <c r="H333" s="354">
        <v>1000</v>
      </c>
      <c r="I333" s="71">
        <v>25</v>
      </c>
      <c r="J333" s="71"/>
      <c r="K333" s="71"/>
      <c r="L333" s="71"/>
      <c r="M333" s="71">
        <v>3</v>
      </c>
      <c r="N333" s="71"/>
      <c r="O333" s="71"/>
      <c r="P333" s="71"/>
      <c r="Q333" s="71" t="s">
        <v>355</v>
      </c>
      <c r="R333" s="72"/>
      <c r="S333" s="71"/>
      <c r="T333" s="71"/>
      <c r="U333" s="71"/>
      <c r="V333" s="71">
        <v>2</v>
      </c>
      <c r="W333" s="71"/>
      <c r="X333" s="71">
        <v>5</v>
      </c>
      <c r="Y333" s="71">
        <v>32</v>
      </c>
      <c r="Z333" s="71">
        <v>1</v>
      </c>
      <c r="AA333" s="71">
        <v>32</v>
      </c>
      <c r="AB333" s="73">
        <f>100/(SUM(I333:Z333))</f>
        <v>1.4705882352941178</v>
      </c>
      <c r="AC333" s="259">
        <f>SUM(I333:AA333)</f>
        <v>100</v>
      </c>
      <c r="AD333" s="71"/>
      <c r="AE333" s="71"/>
      <c r="AF333" s="71"/>
      <c r="AG333" s="74" t="s">
        <v>1892</v>
      </c>
      <c r="AH333" s="199" t="s">
        <v>1888</v>
      </c>
      <c r="AI333" s="221" t="s">
        <v>1904</v>
      </c>
      <c r="AJ333" s="75" t="s">
        <v>1905</v>
      </c>
      <c r="AK333" s="69"/>
      <c r="AL333" s="74">
        <f>(B333-DATE(1970,1,1))*86400</f>
        <v>1750723200</v>
      </c>
      <c r="AM333" s="74">
        <f>(C333-DATE(1970,1,1))*86400</f>
        <v>1750982400</v>
      </c>
      <c r="AN333" s="74">
        <f>AVERAGE(AL333:AM333)</f>
        <v>1750852800</v>
      </c>
    </row>
    <row r="334" spans="1:65" x14ac:dyDescent="0.2">
      <c r="A334" s="287" t="s">
        <v>133</v>
      </c>
      <c r="B334" s="187">
        <v>45832</v>
      </c>
      <c r="C334" s="187">
        <v>45835</v>
      </c>
      <c r="D334" s="69" t="s">
        <v>183</v>
      </c>
      <c r="E334" s="333" t="s">
        <v>125</v>
      </c>
      <c r="F334" s="69"/>
      <c r="G334" s="188" t="s">
        <v>597</v>
      </c>
      <c r="H334" s="354">
        <v>1000</v>
      </c>
      <c r="I334" s="71">
        <v>37</v>
      </c>
      <c r="J334" s="71"/>
      <c r="K334" s="71"/>
      <c r="L334" s="71"/>
      <c r="M334" s="71">
        <v>4</v>
      </c>
      <c r="N334" s="71"/>
      <c r="O334" s="71"/>
      <c r="P334" s="71"/>
      <c r="Q334" s="71"/>
      <c r="R334" s="72"/>
      <c r="S334" s="71"/>
      <c r="T334" s="71"/>
      <c r="U334" s="71"/>
      <c r="V334" s="71">
        <v>3</v>
      </c>
      <c r="W334" s="71"/>
      <c r="X334" s="71">
        <v>7</v>
      </c>
      <c r="Y334" s="71">
        <v>48</v>
      </c>
      <c r="Z334" s="71">
        <v>1</v>
      </c>
      <c r="AA334" s="71">
        <v>0</v>
      </c>
      <c r="AB334" s="73">
        <f>100/(SUM(I334:Z334))</f>
        <v>1</v>
      </c>
      <c r="AC334" s="259">
        <f>SUM(I334:AA334)</f>
        <v>100</v>
      </c>
      <c r="AD334" s="71"/>
      <c r="AE334" s="71">
        <v>8.3000000000000007</v>
      </c>
      <c r="AF334" s="71">
        <v>6.7</v>
      </c>
      <c r="AG334" s="74" t="s">
        <v>1892</v>
      </c>
      <c r="AH334" s="199" t="s">
        <v>1888</v>
      </c>
      <c r="AI334" s="75"/>
      <c r="AJ334" s="75"/>
      <c r="AK334" s="69"/>
      <c r="AL334" s="74">
        <f>(B334-DATE(1970,1,1))*86400</f>
        <v>1750723200</v>
      </c>
      <c r="AM334" s="74">
        <f>(C334-DATE(1970,1,1))*86400</f>
        <v>1750982400</v>
      </c>
      <c r="AN334" s="74">
        <f>AVERAGE(AL334:AM334)</f>
        <v>1750852800</v>
      </c>
    </row>
    <row r="335" spans="1:65" x14ac:dyDescent="0.2">
      <c r="A335" s="287" t="s">
        <v>123</v>
      </c>
      <c r="B335" s="187">
        <v>45832</v>
      </c>
      <c r="C335" s="187">
        <v>45835</v>
      </c>
      <c r="D335" s="69" t="s">
        <v>183</v>
      </c>
      <c r="E335" s="333" t="s">
        <v>125</v>
      </c>
      <c r="F335" s="69"/>
      <c r="G335" s="188" t="s">
        <v>597</v>
      </c>
      <c r="H335" s="354">
        <v>1000</v>
      </c>
      <c r="I335" s="71">
        <v>34</v>
      </c>
      <c r="J335" s="71"/>
      <c r="K335" s="71"/>
      <c r="L335" s="71"/>
      <c r="M335" s="71">
        <v>5</v>
      </c>
      <c r="N335" s="71"/>
      <c r="O335" s="71"/>
      <c r="P335" s="71"/>
      <c r="Q335" s="71"/>
      <c r="R335" s="72"/>
      <c r="S335" s="71"/>
      <c r="T335" s="71"/>
      <c r="U335" s="71"/>
      <c r="V335" s="71">
        <v>2</v>
      </c>
      <c r="W335" s="71"/>
      <c r="X335" s="71">
        <v>6</v>
      </c>
      <c r="Y335" s="71">
        <v>52</v>
      </c>
      <c r="Z335" s="71">
        <v>1</v>
      </c>
      <c r="AA335" s="71">
        <v>0</v>
      </c>
      <c r="AB335" s="73">
        <f>100/(SUM(I335:Z335))</f>
        <v>1</v>
      </c>
      <c r="AC335" s="259">
        <f>SUM(I335:AA335)</f>
        <v>100</v>
      </c>
      <c r="AD335" s="71"/>
      <c r="AE335" s="71"/>
      <c r="AF335" s="71"/>
      <c r="AG335" s="74" t="s">
        <v>1892</v>
      </c>
      <c r="AH335" s="199" t="s">
        <v>1888</v>
      </c>
      <c r="AI335" s="75"/>
      <c r="AJ335" s="75"/>
      <c r="AK335" s="69" t="s">
        <v>1897</v>
      </c>
      <c r="AL335" s="74">
        <f>(B335-DATE(1970,1,1))*86400</f>
        <v>1750723200</v>
      </c>
      <c r="AM335" s="74">
        <f>(C335-DATE(1970,1,1))*86400</f>
        <v>1750982400</v>
      </c>
      <c r="AN335" s="74">
        <f>AVERAGE(AL335:AM335)</f>
        <v>1750852800</v>
      </c>
    </row>
    <row r="336" spans="1:65" x14ac:dyDescent="0.2">
      <c r="A336" s="281" t="s">
        <v>133</v>
      </c>
      <c r="B336" s="54">
        <v>45831</v>
      </c>
      <c r="C336" s="54">
        <v>45833</v>
      </c>
      <c r="D336" s="53" t="s">
        <v>154</v>
      </c>
      <c r="E336" s="323" t="s">
        <v>125</v>
      </c>
      <c r="F336" s="53"/>
      <c r="G336" s="53" t="s">
        <v>126</v>
      </c>
      <c r="H336" s="357">
        <v>1001</v>
      </c>
      <c r="I336" s="55">
        <v>25</v>
      </c>
      <c r="J336" s="55">
        <v>1</v>
      </c>
      <c r="K336" s="55">
        <v>0</v>
      </c>
      <c r="L336" s="55">
        <v>0</v>
      </c>
      <c r="M336" s="55">
        <v>6</v>
      </c>
      <c r="N336" s="55"/>
      <c r="O336" s="55">
        <v>0</v>
      </c>
      <c r="P336" s="55">
        <v>1</v>
      </c>
      <c r="Q336" s="55"/>
      <c r="R336" s="56"/>
      <c r="S336" s="55">
        <v>0</v>
      </c>
      <c r="T336" s="55"/>
      <c r="U336" s="55">
        <v>1</v>
      </c>
      <c r="V336" s="55">
        <v>1</v>
      </c>
      <c r="W336" s="55"/>
      <c r="X336" s="55">
        <v>3</v>
      </c>
      <c r="Y336" s="55">
        <v>31</v>
      </c>
      <c r="Z336" s="55">
        <v>1</v>
      </c>
      <c r="AA336" s="55">
        <v>30</v>
      </c>
      <c r="AB336" s="57">
        <f>100/(SUM(I336:Z336))</f>
        <v>1.4285714285714286</v>
      </c>
      <c r="AC336" s="259">
        <f>SUM(I336:AA336)</f>
        <v>100</v>
      </c>
      <c r="AD336" s="55"/>
      <c r="AE336" s="55"/>
      <c r="AF336" s="55"/>
      <c r="AG336" s="58" t="s">
        <v>155</v>
      </c>
      <c r="AH336" s="59" t="s">
        <v>1894</v>
      </c>
      <c r="AI336" s="59" t="s">
        <v>1895</v>
      </c>
      <c r="AJ336" s="186" t="s">
        <v>1884</v>
      </c>
      <c r="AK336" s="53" t="s">
        <v>1885</v>
      </c>
      <c r="AL336" s="58">
        <f>(B336-DATE(1970,1,1))*86400</f>
        <v>1750636800</v>
      </c>
      <c r="AM336" s="58">
        <f>(C336-DATE(1970,1,1))*86400</f>
        <v>1750809600</v>
      </c>
      <c r="AN336" s="58">
        <f>AVERAGE(AL336:AM336)</f>
        <v>1750723200</v>
      </c>
    </row>
    <row r="337" spans="1:40" x14ac:dyDescent="0.2">
      <c r="A337" s="281" t="s">
        <v>123</v>
      </c>
      <c r="B337" s="54">
        <v>45831</v>
      </c>
      <c r="C337" s="54">
        <v>45833</v>
      </c>
      <c r="D337" s="53" t="s">
        <v>154</v>
      </c>
      <c r="E337" s="323" t="s">
        <v>125</v>
      </c>
      <c r="F337" s="53"/>
      <c r="G337" s="53" t="s">
        <v>126</v>
      </c>
      <c r="H337" s="357">
        <v>1001</v>
      </c>
      <c r="I337" s="55">
        <v>30</v>
      </c>
      <c r="J337" s="55">
        <v>1</v>
      </c>
      <c r="K337" s="55">
        <v>0</v>
      </c>
      <c r="L337" s="55">
        <v>0</v>
      </c>
      <c r="M337" s="55">
        <v>7</v>
      </c>
      <c r="N337" s="55"/>
      <c r="O337" s="55">
        <v>0</v>
      </c>
      <c r="P337" s="55">
        <v>1</v>
      </c>
      <c r="Q337" s="55"/>
      <c r="R337" s="56"/>
      <c r="S337" s="55">
        <v>0</v>
      </c>
      <c r="T337" s="55"/>
      <c r="U337" s="55">
        <v>1</v>
      </c>
      <c r="V337" s="55">
        <v>1</v>
      </c>
      <c r="W337" s="55"/>
      <c r="X337" s="55">
        <v>4</v>
      </c>
      <c r="Y337" s="55">
        <v>35</v>
      </c>
      <c r="Z337" s="55">
        <v>0</v>
      </c>
      <c r="AA337" s="55">
        <v>20</v>
      </c>
      <c r="AB337" s="57">
        <f>100/(SUM(I337:Z337))</f>
        <v>1.25</v>
      </c>
      <c r="AC337" s="259">
        <f>SUM(I337:AA337)</f>
        <v>100</v>
      </c>
      <c r="AD337" s="55"/>
      <c r="AE337" s="55"/>
      <c r="AF337" s="55"/>
      <c r="AG337" s="58" t="s">
        <v>155</v>
      </c>
      <c r="AH337" s="59" t="s">
        <v>1894</v>
      </c>
      <c r="AI337" s="59" t="s">
        <v>1895</v>
      </c>
      <c r="AJ337" s="186" t="s">
        <v>1910</v>
      </c>
      <c r="AK337" s="53" t="s">
        <v>1912</v>
      </c>
      <c r="AL337" s="58">
        <f>(B337-DATE(1970,1,1))*86400</f>
        <v>1750636800</v>
      </c>
      <c r="AM337" s="58">
        <f>(C337-DATE(1970,1,1))*86400</f>
        <v>1750809600</v>
      </c>
      <c r="AN337" s="58">
        <f>AVERAGE(AL337:AM337)</f>
        <v>1750723200</v>
      </c>
    </row>
    <row r="338" spans="1:40" x14ac:dyDescent="0.2">
      <c r="A338" s="281" t="s">
        <v>123</v>
      </c>
      <c r="B338" s="54">
        <v>45831</v>
      </c>
      <c r="C338" s="54">
        <v>45833</v>
      </c>
      <c r="D338" s="53" t="s">
        <v>154</v>
      </c>
      <c r="E338" s="323" t="s">
        <v>125</v>
      </c>
      <c r="F338" s="53"/>
      <c r="G338" s="53" t="s">
        <v>126</v>
      </c>
      <c r="H338" s="357">
        <v>1001</v>
      </c>
      <c r="I338" s="55">
        <v>37</v>
      </c>
      <c r="J338" s="55">
        <v>1</v>
      </c>
      <c r="K338" s="55">
        <v>0</v>
      </c>
      <c r="L338" s="55">
        <v>0</v>
      </c>
      <c r="M338" s="55">
        <v>9</v>
      </c>
      <c r="N338" s="55"/>
      <c r="O338" s="55">
        <v>0</v>
      </c>
      <c r="P338" s="55">
        <v>1</v>
      </c>
      <c r="Q338" s="55"/>
      <c r="R338" s="56"/>
      <c r="S338" s="55">
        <v>0</v>
      </c>
      <c r="T338" s="55"/>
      <c r="U338" s="55">
        <v>1</v>
      </c>
      <c r="V338" s="55">
        <v>1</v>
      </c>
      <c r="W338" s="55"/>
      <c r="X338" s="55">
        <v>5</v>
      </c>
      <c r="Y338" s="55">
        <v>44</v>
      </c>
      <c r="Z338" s="55">
        <v>1</v>
      </c>
      <c r="AA338" s="55">
        <v>0</v>
      </c>
      <c r="AB338" s="57">
        <f>100/(SUM(I338:Z338))</f>
        <v>1</v>
      </c>
      <c r="AC338" s="259">
        <f>SUM(I338:AA338)</f>
        <v>100</v>
      </c>
      <c r="AD338" s="55"/>
      <c r="AE338" s="55"/>
      <c r="AF338" s="55"/>
      <c r="AG338" s="58" t="s">
        <v>155</v>
      </c>
      <c r="AH338" s="59" t="s">
        <v>1894</v>
      </c>
      <c r="AI338" s="59" t="s">
        <v>1895</v>
      </c>
      <c r="AJ338" s="186" t="s">
        <v>1932</v>
      </c>
      <c r="AK338" s="53"/>
      <c r="AL338" s="58">
        <f>(B338-DATE(1970,1,1))*86400</f>
        <v>1750636800</v>
      </c>
      <c r="AM338" s="58">
        <f>(C338-DATE(1970,1,1))*86400</f>
        <v>1750809600</v>
      </c>
      <c r="AN338" s="58">
        <f>AVERAGE(AL338:AM338)</f>
        <v>1750723200</v>
      </c>
    </row>
    <row r="339" spans="1:40" ht="15.75" customHeight="1" x14ac:dyDescent="0.2">
      <c r="A339" s="286" t="s">
        <v>133</v>
      </c>
      <c r="B339" s="41">
        <v>45824</v>
      </c>
      <c r="C339" s="41">
        <v>45833</v>
      </c>
      <c r="D339" s="40" t="s">
        <v>148</v>
      </c>
      <c r="E339" s="325" t="s">
        <v>125</v>
      </c>
      <c r="F339" s="40"/>
      <c r="G339" s="40" t="s">
        <v>126</v>
      </c>
      <c r="H339" s="325">
        <v>1500</v>
      </c>
      <c r="I339" s="42">
        <v>26</v>
      </c>
      <c r="J339" s="42">
        <v>1</v>
      </c>
      <c r="K339" s="42"/>
      <c r="L339" s="42"/>
      <c r="M339" s="42">
        <v>4</v>
      </c>
      <c r="N339" s="42"/>
      <c r="O339" s="42"/>
      <c r="P339" s="42">
        <v>1</v>
      </c>
      <c r="Q339" s="42"/>
      <c r="R339" s="43"/>
      <c r="S339" s="42"/>
      <c r="T339" s="42"/>
      <c r="U339" s="42"/>
      <c r="V339" s="42">
        <v>3</v>
      </c>
      <c r="W339" s="42"/>
      <c r="X339" s="42">
        <v>6</v>
      </c>
      <c r="Y339" s="42">
        <v>32</v>
      </c>
      <c r="Z339" s="42">
        <v>3</v>
      </c>
      <c r="AA339" s="42">
        <v>24</v>
      </c>
      <c r="AB339" s="44">
        <f>100/(SUM(I339:Z339))</f>
        <v>1.3157894736842106</v>
      </c>
      <c r="AC339" s="259">
        <f>SUM(I339:AA339)</f>
        <v>100</v>
      </c>
      <c r="AD339" s="42"/>
      <c r="AE339" s="43"/>
      <c r="AF339" s="43"/>
      <c r="AG339" s="45" t="s">
        <v>136</v>
      </c>
      <c r="AH339" s="189" t="s">
        <v>1893</v>
      </c>
      <c r="AI339" s="46"/>
      <c r="AJ339" s="46" t="s">
        <v>1882</v>
      </c>
      <c r="AK339" s="40" t="s">
        <v>1896</v>
      </c>
      <c r="AL339" s="45">
        <f>(B339-DATE(1970,1,1))*86400</f>
        <v>1750032000</v>
      </c>
      <c r="AM339" s="45">
        <f>(C339-DATE(1970,1,1))*86400</f>
        <v>1750809600</v>
      </c>
      <c r="AN339" s="45">
        <f>AVERAGE(AL339:AM339)</f>
        <v>1750420800</v>
      </c>
    </row>
    <row r="340" spans="1:40" x14ac:dyDescent="0.2">
      <c r="A340" s="286" t="s">
        <v>123</v>
      </c>
      <c r="B340" s="41">
        <v>45824</v>
      </c>
      <c r="C340" s="41">
        <v>45833</v>
      </c>
      <c r="D340" s="40" t="s">
        <v>148</v>
      </c>
      <c r="E340" s="325" t="s">
        <v>125</v>
      </c>
      <c r="F340" s="40"/>
      <c r="G340" s="40" t="s">
        <v>126</v>
      </c>
      <c r="H340" s="325">
        <v>1500</v>
      </c>
      <c r="I340" s="42">
        <v>35</v>
      </c>
      <c r="J340" s="42">
        <v>1</v>
      </c>
      <c r="K340" s="42"/>
      <c r="L340" s="42"/>
      <c r="M340" s="42">
        <v>5</v>
      </c>
      <c r="N340" s="42"/>
      <c r="O340" s="42"/>
      <c r="P340" s="42">
        <v>1</v>
      </c>
      <c r="Q340" s="42"/>
      <c r="R340" s="43"/>
      <c r="S340" s="42"/>
      <c r="T340" s="42"/>
      <c r="U340" s="42"/>
      <c r="V340" s="42">
        <v>4</v>
      </c>
      <c r="W340" s="42"/>
      <c r="X340" s="42">
        <v>7</v>
      </c>
      <c r="Y340" s="42">
        <v>46</v>
      </c>
      <c r="Z340" s="42">
        <v>1</v>
      </c>
      <c r="AA340" s="42">
        <v>0</v>
      </c>
      <c r="AB340" s="44">
        <f>100/(SUM(I340:Z340))</f>
        <v>1</v>
      </c>
      <c r="AC340" s="259">
        <f>SUM(I340:AA340)</f>
        <v>100</v>
      </c>
      <c r="AD340" s="42"/>
      <c r="AE340" s="43"/>
      <c r="AF340" s="43"/>
      <c r="AG340" s="45" t="s">
        <v>136</v>
      </c>
      <c r="AH340" s="189" t="s">
        <v>1893</v>
      </c>
      <c r="AI340" s="46"/>
      <c r="AJ340" s="46" t="s">
        <v>1882</v>
      </c>
      <c r="AK340" s="40" t="s">
        <v>1886</v>
      </c>
      <c r="AL340" s="45">
        <f>(B340-DATE(1970,1,1))*86400</f>
        <v>1750032000</v>
      </c>
      <c r="AM340" s="45">
        <f>(C340-DATE(1970,1,1))*86400</f>
        <v>1750809600</v>
      </c>
      <c r="AN340" s="45">
        <f>AVERAGE(AL340:AM340)</f>
        <v>1750420800</v>
      </c>
    </row>
    <row r="341" spans="1:40" x14ac:dyDescent="0.2">
      <c r="A341" s="281" t="s">
        <v>133</v>
      </c>
      <c r="B341" s="54">
        <v>45825</v>
      </c>
      <c r="C341" s="54">
        <v>45831</v>
      </c>
      <c r="D341" s="53" t="s">
        <v>154</v>
      </c>
      <c r="E341" s="323" t="s">
        <v>125</v>
      </c>
      <c r="F341" s="53" t="s">
        <v>2506</v>
      </c>
      <c r="G341" s="53" t="s">
        <v>126</v>
      </c>
      <c r="H341" s="357">
        <v>1001</v>
      </c>
      <c r="I341" s="55"/>
      <c r="J341" s="55"/>
      <c r="K341" s="55"/>
      <c r="L341" s="55"/>
      <c r="M341" s="55"/>
      <c r="N341" s="55"/>
      <c r="O341" s="55"/>
      <c r="P341" s="55"/>
      <c r="Q341" s="55"/>
      <c r="R341" s="56"/>
      <c r="S341" s="55"/>
      <c r="T341" s="55"/>
      <c r="U341" s="55"/>
      <c r="V341" s="55"/>
      <c r="W341" s="55"/>
      <c r="X341" s="55"/>
      <c r="Y341" s="55"/>
      <c r="Z341" s="55"/>
      <c r="AA341" s="55"/>
      <c r="AB341" s="57" t="e">
        <f>100/(SUM(I341:Z341))</f>
        <v>#DIV/0!</v>
      </c>
      <c r="AC341" s="259">
        <f>SUM(I341:AA341)</f>
        <v>0</v>
      </c>
      <c r="AD341" s="55"/>
      <c r="AE341" s="55"/>
      <c r="AF341" s="55"/>
      <c r="AG341" s="58" t="s">
        <v>127</v>
      </c>
      <c r="AH341" s="59" t="s">
        <v>1930</v>
      </c>
      <c r="AI341" s="59"/>
      <c r="AJ341" s="186"/>
      <c r="AK341" s="53" t="s">
        <v>1939</v>
      </c>
      <c r="AL341" s="58">
        <f>(B341-DATE(1970,1,1))*86400</f>
        <v>1750118400</v>
      </c>
      <c r="AM341" s="58">
        <f>(C341-DATE(1970,1,1))*86400</f>
        <v>1750636800</v>
      </c>
      <c r="AN341" s="58">
        <f>AVERAGE(AL341:AM341)</f>
        <v>1750377600</v>
      </c>
    </row>
    <row r="342" spans="1:40" ht="15.75" customHeight="1" x14ac:dyDescent="0.2">
      <c r="A342" s="279" t="s">
        <v>133</v>
      </c>
      <c r="B342" s="14">
        <v>45824</v>
      </c>
      <c r="C342" s="14">
        <v>45825</v>
      </c>
      <c r="D342" s="13" t="s">
        <v>124</v>
      </c>
      <c r="E342" s="324" t="s">
        <v>125</v>
      </c>
      <c r="F342" s="13" t="s">
        <v>1880</v>
      </c>
      <c r="G342" s="13" t="s">
        <v>126</v>
      </c>
      <c r="H342" s="349">
        <v>1000</v>
      </c>
      <c r="I342" s="15">
        <v>37</v>
      </c>
      <c r="J342" s="15"/>
      <c r="K342" s="15"/>
      <c r="L342" s="15"/>
      <c r="M342" s="15">
        <v>3</v>
      </c>
      <c r="N342" s="15"/>
      <c r="O342" s="15"/>
      <c r="P342" s="15" t="s">
        <v>355</v>
      </c>
      <c r="Q342" s="15"/>
      <c r="R342" s="15"/>
      <c r="S342" s="15"/>
      <c r="T342" s="15"/>
      <c r="U342" s="15"/>
      <c r="V342" s="15" t="s">
        <v>355</v>
      </c>
      <c r="W342" s="15"/>
      <c r="X342" s="15">
        <v>6</v>
      </c>
      <c r="Y342" s="15">
        <v>31</v>
      </c>
      <c r="Z342" s="98"/>
      <c r="AA342" s="98"/>
      <c r="AB342" s="16">
        <f>100/(SUM(I342:Z342))</f>
        <v>1.2987012987012987</v>
      </c>
      <c r="AC342" s="259">
        <f>SUM(I342:AA342)</f>
        <v>77</v>
      </c>
      <c r="AD342" s="15"/>
      <c r="AE342" s="15"/>
      <c r="AF342" s="15"/>
      <c r="AG342" s="17" t="s">
        <v>127</v>
      </c>
      <c r="AH342" s="201" t="s">
        <v>1879</v>
      </c>
      <c r="AI342" s="201" t="s">
        <v>1883</v>
      </c>
      <c r="AJ342" s="18"/>
      <c r="AK342" s="13" t="s">
        <v>1885</v>
      </c>
      <c r="AL342" s="17">
        <f>(B342-DATE(1970,1,1))*86400</f>
        <v>1750032000</v>
      </c>
      <c r="AM342" s="17">
        <f>(C342-DATE(1970,1,1))*86400</f>
        <v>1750118400</v>
      </c>
      <c r="AN342" s="17">
        <f>AVERAGE(AL342:AM342)</f>
        <v>1750075200</v>
      </c>
    </row>
    <row r="343" spans="1:40" x14ac:dyDescent="0.2">
      <c r="A343" s="279" t="s">
        <v>123</v>
      </c>
      <c r="B343" s="14">
        <v>45824</v>
      </c>
      <c r="C343" s="14">
        <v>45825</v>
      </c>
      <c r="D343" s="13" t="s">
        <v>124</v>
      </c>
      <c r="E343" s="324" t="s">
        <v>125</v>
      </c>
      <c r="F343" s="13"/>
      <c r="G343" s="13" t="s">
        <v>126</v>
      </c>
      <c r="H343" s="349">
        <v>1000</v>
      </c>
      <c r="I343" s="15">
        <v>44</v>
      </c>
      <c r="J343" s="15"/>
      <c r="K343" s="15"/>
      <c r="L343" s="15"/>
      <c r="M343" s="15">
        <v>3</v>
      </c>
      <c r="N343" s="15"/>
      <c r="O343" s="15"/>
      <c r="P343" s="15"/>
      <c r="Q343" s="15"/>
      <c r="R343" s="15"/>
      <c r="S343" s="15"/>
      <c r="T343" s="15"/>
      <c r="U343" s="15"/>
      <c r="V343" s="15">
        <v>4</v>
      </c>
      <c r="W343" s="15"/>
      <c r="X343" s="15">
        <v>7</v>
      </c>
      <c r="Y343" s="15">
        <v>39</v>
      </c>
      <c r="Z343" s="15">
        <v>3</v>
      </c>
      <c r="AA343" s="15">
        <v>0</v>
      </c>
      <c r="AB343" s="16">
        <f>100/(SUM(I343:Z343))</f>
        <v>1</v>
      </c>
      <c r="AC343" s="259">
        <f>SUM(I343:AA343)</f>
        <v>100</v>
      </c>
      <c r="AD343" s="15"/>
      <c r="AE343" s="15">
        <v>13</v>
      </c>
      <c r="AF343" s="15">
        <v>4</v>
      </c>
      <c r="AG343" s="17" t="s">
        <v>127</v>
      </c>
      <c r="AH343" s="18" t="s">
        <v>1879</v>
      </c>
      <c r="AI343" s="201" t="s">
        <v>1883</v>
      </c>
      <c r="AJ343" s="201" t="s">
        <v>1898</v>
      </c>
      <c r="AK343" s="13" t="s">
        <v>1887</v>
      </c>
      <c r="AL343" s="17">
        <f>(B343-DATE(1970,1,1))*86400</f>
        <v>1750032000</v>
      </c>
      <c r="AM343" s="17">
        <f>(C343-DATE(1970,1,1))*86400</f>
        <v>1750118400</v>
      </c>
      <c r="AN343" s="17">
        <f>AVERAGE(AL343:AM343)</f>
        <v>1750075200</v>
      </c>
    </row>
    <row r="344" spans="1:40" x14ac:dyDescent="0.2">
      <c r="A344" s="293" t="s">
        <v>133</v>
      </c>
      <c r="B344" s="233">
        <v>45817</v>
      </c>
      <c r="C344" s="233">
        <v>45823</v>
      </c>
      <c r="D344" s="232" t="s">
        <v>1936</v>
      </c>
      <c r="E344" s="338" t="s">
        <v>184</v>
      </c>
      <c r="F344" s="232"/>
      <c r="G344" s="232" t="s">
        <v>135</v>
      </c>
      <c r="H344" s="359">
        <v>1000</v>
      </c>
      <c r="I344" s="234">
        <v>22</v>
      </c>
      <c r="J344" s="234">
        <v>3</v>
      </c>
      <c r="K344" s="234">
        <v>1</v>
      </c>
      <c r="L344" s="234"/>
      <c r="M344" s="234">
        <v>9</v>
      </c>
      <c r="N344" s="234"/>
      <c r="O344" s="234"/>
      <c r="P344" s="234"/>
      <c r="Q344" s="234"/>
      <c r="R344" s="235"/>
      <c r="S344" s="234"/>
      <c r="T344" s="234"/>
      <c r="U344" s="234"/>
      <c r="V344" s="234">
        <v>4</v>
      </c>
      <c r="W344" s="234"/>
      <c r="X344" s="234">
        <v>6</v>
      </c>
      <c r="Y344" s="234">
        <v>28</v>
      </c>
      <c r="Z344" s="234">
        <v>0</v>
      </c>
      <c r="AA344" s="234">
        <v>27</v>
      </c>
      <c r="AB344" s="236">
        <f>100/(SUM(I344:Z344))</f>
        <v>1.3698630136986301</v>
      </c>
      <c r="AC344" s="259">
        <f>SUM(I344:AA344)</f>
        <v>100</v>
      </c>
      <c r="AD344" s="234"/>
      <c r="AE344" s="234"/>
      <c r="AF344" s="234"/>
      <c r="AG344" s="237" t="s">
        <v>391</v>
      </c>
      <c r="AH344" s="238" t="s">
        <v>1937</v>
      </c>
      <c r="AI344" s="239"/>
      <c r="AJ344" s="238"/>
      <c r="AK344" s="232" t="s">
        <v>2047</v>
      </c>
      <c r="AL344" s="237">
        <f>(B344-DATE(1970,1,1))*86400</f>
        <v>1749427200</v>
      </c>
      <c r="AM344" s="237">
        <f>(C344-DATE(1970,1,1))*86400</f>
        <v>1749945600</v>
      </c>
      <c r="AN344" s="237">
        <f>AVERAGE(AL344:AM344)</f>
        <v>1749686400</v>
      </c>
    </row>
    <row r="345" spans="1:40" x14ac:dyDescent="0.2">
      <c r="A345" s="285" t="s">
        <v>133</v>
      </c>
      <c r="B345" s="34">
        <v>45811</v>
      </c>
      <c r="C345" s="34">
        <v>45815</v>
      </c>
      <c r="D345" s="33" t="s">
        <v>143</v>
      </c>
      <c r="E345" s="319" t="s">
        <v>125</v>
      </c>
      <c r="F345" s="33"/>
      <c r="G345" s="33" t="s">
        <v>126</v>
      </c>
      <c r="H345" s="353">
        <v>1000</v>
      </c>
      <c r="I345" s="35">
        <v>28</v>
      </c>
      <c r="J345" s="35"/>
      <c r="K345" s="35">
        <v>2</v>
      </c>
      <c r="L345" s="35"/>
      <c r="M345" s="35">
        <v>2</v>
      </c>
      <c r="N345" s="35"/>
      <c r="O345" s="35"/>
      <c r="P345" s="35"/>
      <c r="Q345" s="35"/>
      <c r="R345" s="36"/>
      <c r="S345" s="35"/>
      <c r="T345" s="35"/>
      <c r="U345" s="35"/>
      <c r="V345" s="35">
        <v>3</v>
      </c>
      <c r="W345" s="35"/>
      <c r="X345" s="35">
        <v>4</v>
      </c>
      <c r="Y345" s="35">
        <v>38</v>
      </c>
      <c r="Z345" s="35">
        <v>1</v>
      </c>
      <c r="AA345" s="35">
        <v>22</v>
      </c>
      <c r="AB345" s="37">
        <f>100/(SUM(I345:Z345))</f>
        <v>1.2820512820512822</v>
      </c>
      <c r="AC345" s="259">
        <f>SUM(I345:AA345)</f>
        <v>100</v>
      </c>
      <c r="AD345" s="35"/>
      <c r="AE345" s="35"/>
      <c r="AF345" s="35"/>
      <c r="AG345" s="33" t="s">
        <v>144</v>
      </c>
      <c r="AH345" s="223" t="s">
        <v>165</v>
      </c>
      <c r="AI345" s="196" t="s">
        <v>1857</v>
      </c>
      <c r="AJ345" s="190" t="s">
        <v>1858</v>
      </c>
      <c r="AK345" s="33" t="s">
        <v>1901</v>
      </c>
      <c r="AL345" s="39">
        <f>(B345-DATE(1970,1,1))*86400</f>
        <v>1748908800</v>
      </c>
      <c r="AM345" s="39">
        <f>(C345-DATE(1970,1,1))*86400</f>
        <v>1749254400</v>
      </c>
      <c r="AN345" s="39">
        <f>AVERAGE(AL345:AM345)</f>
        <v>1749081600</v>
      </c>
    </row>
    <row r="346" spans="1:40" x14ac:dyDescent="0.2">
      <c r="A346" s="285" t="s">
        <v>133</v>
      </c>
      <c r="B346" s="34">
        <v>45811</v>
      </c>
      <c r="C346" s="34">
        <v>45815</v>
      </c>
      <c r="D346" s="33" t="s">
        <v>143</v>
      </c>
      <c r="E346" s="319" t="s">
        <v>125</v>
      </c>
      <c r="F346" s="33"/>
      <c r="G346" s="33" t="s">
        <v>126</v>
      </c>
      <c r="H346" s="353">
        <v>1000</v>
      </c>
      <c r="I346" s="35">
        <v>36</v>
      </c>
      <c r="J346" s="35"/>
      <c r="K346" s="35">
        <v>2</v>
      </c>
      <c r="L346" s="35"/>
      <c r="M346" s="35">
        <v>3</v>
      </c>
      <c r="N346" s="35"/>
      <c r="O346" s="35"/>
      <c r="P346" s="35"/>
      <c r="Q346" s="35"/>
      <c r="R346" s="36"/>
      <c r="S346" s="35"/>
      <c r="T346" s="35"/>
      <c r="U346" s="35"/>
      <c r="V346" s="35">
        <v>3</v>
      </c>
      <c r="W346" s="35"/>
      <c r="X346" s="35">
        <v>5</v>
      </c>
      <c r="Y346" s="35">
        <v>49</v>
      </c>
      <c r="Z346" s="35">
        <v>2</v>
      </c>
      <c r="AA346" s="35">
        <v>0</v>
      </c>
      <c r="AB346" s="37">
        <f>100/(SUM(I346:Z346))</f>
        <v>1</v>
      </c>
      <c r="AC346" s="259">
        <f>SUM(I346:AA346)</f>
        <v>100</v>
      </c>
      <c r="AD346" s="35"/>
      <c r="AE346" s="35">
        <v>7</v>
      </c>
      <c r="AF346" s="35">
        <v>11</v>
      </c>
      <c r="AG346" s="33" t="s">
        <v>144</v>
      </c>
      <c r="AH346" s="223" t="s">
        <v>165</v>
      </c>
      <c r="AI346" s="196" t="s">
        <v>1857</v>
      </c>
      <c r="AJ346" s="190" t="s">
        <v>1858</v>
      </c>
      <c r="AK346" s="33" t="s">
        <v>1881</v>
      </c>
      <c r="AL346" s="39">
        <f>(B346-DATE(1970,1,1))*86400</f>
        <v>1748908800</v>
      </c>
      <c r="AM346" s="39">
        <f>(C346-DATE(1970,1,1))*86400</f>
        <v>1749254400</v>
      </c>
      <c r="AN346" s="39">
        <f>AVERAGE(AL346:AM346)</f>
        <v>1749081600</v>
      </c>
    </row>
    <row r="347" spans="1:40" ht="15.75" customHeight="1" x14ac:dyDescent="0.2">
      <c r="A347" s="285" t="s">
        <v>123</v>
      </c>
      <c r="B347" s="34">
        <v>45811</v>
      </c>
      <c r="C347" s="34">
        <v>45815</v>
      </c>
      <c r="D347" s="33" t="s">
        <v>143</v>
      </c>
      <c r="E347" s="319" t="s">
        <v>125</v>
      </c>
      <c r="F347" s="33"/>
      <c r="G347" s="33" t="s">
        <v>126</v>
      </c>
      <c r="H347" s="353">
        <v>1000</v>
      </c>
      <c r="I347" s="35">
        <v>36</v>
      </c>
      <c r="J347" s="35"/>
      <c r="K347" s="35">
        <v>1</v>
      </c>
      <c r="L347" s="35"/>
      <c r="M347" s="35">
        <v>3</v>
      </c>
      <c r="N347" s="35"/>
      <c r="O347" s="35"/>
      <c r="P347" s="35"/>
      <c r="Q347" s="35"/>
      <c r="R347" s="36"/>
      <c r="S347" s="35"/>
      <c r="T347" s="35"/>
      <c r="U347" s="35"/>
      <c r="V347" s="35">
        <v>3</v>
      </c>
      <c r="W347" s="35"/>
      <c r="X347" s="35">
        <v>5</v>
      </c>
      <c r="Y347" s="35">
        <v>51</v>
      </c>
      <c r="Z347" s="35">
        <v>1</v>
      </c>
      <c r="AA347" s="35">
        <v>0</v>
      </c>
      <c r="AB347" s="37">
        <f>100/(SUM(I347:Z347))</f>
        <v>1</v>
      </c>
      <c r="AC347" s="259">
        <f>SUM(I347:AA347)</f>
        <v>100</v>
      </c>
      <c r="AD347" s="35"/>
      <c r="AE347" s="35"/>
      <c r="AF347" s="35"/>
      <c r="AG347" s="33" t="s">
        <v>144</v>
      </c>
      <c r="AH347" s="223" t="s">
        <v>165</v>
      </c>
      <c r="AI347" s="196" t="s">
        <v>1857</v>
      </c>
      <c r="AJ347" s="190" t="s">
        <v>1858</v>
      </c>
      <c r="AK347" s="33" t="s">
        <v>1876</v>
      </c>
      <c r="AL347" s="39">
        <f>(B347-DATE(1970,1,1))*86400</f>
        <v>1748908800</v>
      </c>
      <c r="AM347" s="39">
        <f>(C347-DATE(1970,1,1))*86400</f>
        <v>1749254400</v>
      </c>
      <c r="AN347" s="39">
        <f>AVERAGE(AL347:AM347)</f>
        <v>1749081600</v>
      </c>
    </row>
    <row r="348" spans="1:40" ht="15.75" customHeight="1" x14ac:dyDescent="0.2">
      <c r="A348" s="284" t="s">
        <v>133</v>
      </c>
      <c r="B348" s="20">
        <v>45808</v>
      </c>
      <c r="C348" s="20">
        <v>45814</v>
      </c>
      <c r="D348" s="19" t="s">
        <v>134</v>
      </c>
      <c r="E348" s="332" t="s">
        <v>125</v>
      </c>
      <c r="F348" s="19" t="s">
        <v>140</v>
      </c>
      <c r="G348" s="19" t="s">
        <v>135</v>
      </c>
      <c r="H348" s="332">
        <v>1500</v>
      </c>
      <c r="I348" s="21"/>
      <c r="J348" s="21"/>
      <c r="K348" s="21"/>
      <c r="L348" s="21"/>
      <c r="M348" s="21"/>
      <c r="N348" s="21"/>
      <c r="O348" s="21"/>
      <c r="P348" s="21"/>
      <c r="Q348" s="21"/>
      <c r="R348" s="22"/>
      <c r="S348" s="21"/>
      <c r="T348" s="21"/>
      <c r="U348" s="21"/>
      <c r="V348" s="21"/>
      <c r="W348" s="21"/>
      <c r="X348" s="21"/>
      <c r="Y348" s="21"/>
      <c r="Z348" s="21"/>
      <c r="AA348" s="21"/>
      <c r="AB348" s="23" t="e">
        <f>100/(SUM(I348:Z348))</f>
        <v>#DIV/0!</v>
      </c>
      <c r="AC348" s="259">
        <f>SUM(I348:AA348)</f>
        <v>0</v>
      </c>
      <c r="AD348" s="21"/>
      <c r="AE348" s="24"/>
      <c r="AF348" s="24"/>
      <c r="AG348" s="25" t="s">
        <v>136</v>
      </c>
      <c r="AH348" s="26"/>
      <c r="AI348" s="219" t="s">
        <v>2088</v>
      </c>
      <c r="AJ348" s="26" t="s">
        <v>2089</v>
      </c>
      <c r="AK348" s="19"/>
      <c r="AL348" s="25">
        <f>(B348-DATE(1970,1,1))*86400</f>
        <v>1748649600</v>
      </c>
      <c r="AM348" s="25">
        <f>(C348-DATE(1970,1,1))*86400</f>
        <v>1749168000</v>
      </c>
      <c r="AN348" s="25">
        <f>AVERAGE(AL348:AM348)</f>
        <v>1748908800</v>
      </c>
    </row>
    <row r="349" spans="1:40" ht="15.75" customHeight="1" x14ac:dyDescent="0.2">
      <c r="A349" s="285" t="s">
        <v>133</v>
      </c>
      <c r="B349" s="34">
        <v>45805</v>
      </c>
      <c r="C349" s="34">
        <v>45811</v>
      </c>
      <c r="D349" s="33" t="s">
        <v>143</v>
      </c>
      <c r="E349" s="319" t="s">
        <v>125</v>
      </c>
      <c r="F349" s="33" t="s">
        <v>2507</v>
      </c>
      <c r="G349" s="33" t="s">
        <v>126</v>
      </c>
      <c r="H349" s="353">
        <v>1000</v>
      </c>
      <c r="I349" s="35">
        <v>23</v>
      </c>
      <c r="J349" s="35"/>
      <c r="K349" s="35">
        <v>1</v>
      </c>
      <c r="L349" s="35"/>
      <c r="M349" s="35">
        <v>4</v>
      </c>
      <c r="N349" s="35"/>
      <c r="O349" s="35"/>
      <c r="P349" s="35"/>
      <c r="Q349" s="35"/>
      <c r="R349" s="36"/>
      <c r="S349" s="35"/>
      <c r="T349" s="35"/>
      <c r="U349" s="35"/>
      <c r="V349" s="35">
        <v>5</v>
      </c>
      <c r="W349" s="35"/>
      <c r="X349" s="35">
        <v>5</v>
      </c>
      <c r="Y349" s="35">
        <v>41</v>
      </c>
      <c r="Z349" s="35">
        <v>3</v>
      </c>
      <c r="AA349" s="35">
        <v>18</v>
      </c>
      <c r="AB349" s="37">
        <f>100/(SUM(I349:Z349))</f>
        <v>1.2195121951219512</v>
      </c>
      <c r="AC349" s="259">
        <f>SUM(I349:AA349)</f>
        <v>100</v>
      </c>
      <c r="AD349" s="35"/>
      <c r="AE349" s="35"/>
      <c r="AF349" s="35"/>
      <c r="AG349" s="33" t="s">
        <v>2187</v>
      </c>
      <c r="AH349" s="190" t="s">
        <v>2188</v>
      </c>
      <c r="AI349" s="190" t="s">
        <v>2189</v>
      </c>
      <c r="AJ349" s="223" t="s">
        <v>2060</v>
      </c>
      <c r="AK349" s="33" t="s">
        <v>2196</v>
      </c>
      <c r="AL349" s="39">
        <f>(B349-DATE(1970,1,1))*86400</f>
        <v>1748390400</v>
      </c>
      <c r="AM349" s="39">
        <f>(C349-DATE(1970,1,1))*86400</f>
        <v>1748908800</v>
      </c>
      <c r="AN349" s="39">
        <f>AVERAGE(AL349:AM349)</f>
        <v>1748649600</v>
      </c>
    </row>
    <row r="350" spans="1:40" ht="15.75" customHeight="1" x14ac:dyDescent="0.2">
      <c r="A350" s="285" t="s">
        <v>133</v>
      </c>
      <c r="B350" s="34">
        <v>45805</v>
      </c>
      <c r="C350" s="34">
        <v>45811</v>
      </c>
      <c r="D350" s="33" t="s">
        <v>143</v>
      </c>
      <c r="E350" s="319" t="s">
        <v>125</v>
      </c>
      <c r="F350" s="33" t="s">
        <v>2507</v>
      </c>
      <c r="G350" s="33" t="s">
        <v>126</v>
      </c>
      <c r="H350" s="353">
        <v>1000</v>
      </c>
      <c r="I350" s="35">
        <v>28</v>
      </c>
      <c r="J350" s="35"/>
      <c r="K350" s="35">
        <v>2</v>
      </c>
      <c r="L350" s="35"/>
      <c r="M350" s="35">
        <v>5</v>
      </c>
      <c r="N350" s="35"/>
      <c r="O350" s="35"/>
      <c r="P350" s="35"/>
      <c r="Q350" s="35"/>
      <c r="R350" s="36"/>
      <c r="S350" s="35"/>
      <c r="T350" s="35"/>
      <c r="U350" s="35"/>
      <c r="V350" s="35">
        <v>6</v>
      </c>
      <c r="W350" s="35"/>
      <c r="X350" s="35">
        <v>7</v>
      </c>
      <c r="Y350" s="35">
        <v>50</v>
      </c>
      <c r="Z350" s="35">
        <v>2</v>
      </c>
      <c r="AA350" s="35">
        <v>0</v>
      </c>
      <c r="AB350" s="37">
        <f>100/(SUM(I350:Z350))</f>
        <v>1</v>
      </c>
      <c r="AC350" s="259">
        <f>SUM(I350:AA350)</f>
        <v>100</v>
      </c>
      <c r="AD350" s="35"/>
      <c r="AE350" s="35"/>
      <c r="AF350" s="35"/>
      <c r="AG350" s="33" t="s">
        <v>2187</v>
      </c>
      <c r="AH350" s="190" t="s">
        <v>2188</v>
      </c>
      <c r="AI350" s="190" t="s">
        <v>2189</v>
      </c>
      <c r="AJ350" s="190" t="s">
        <v>2191</v>
      </c>
      <c r="AK350" s="33"/>
      <c r="AL350" s="39">
        <f>(B350-DATE(1970,1,1))*86400</f>
        <v>1748390400</v>
      </c>
      <c r="AM350" s="39">
        <f>(C350-DATE(1970,1,1))*86400</f>
        <v>1748908800</v>
      </c>
      <c r="AN350" s="39">
        <f>AVERAGE(AL350:AM350)</f>
        <v>1748649600</v>
      </c>
    </row>
    <row r="351" spans="1:40" x14ac:dyDescent="0.2">
      <c r="A351" s="285" t="s">
        <v>123</v>
      </c>
      <c r="B351" s="34">
        <v>45805</v>
      </c>
      <c r="C351" s="34">
        <v>45811</v>
      </c>
      <c r="D351" s="33" t="s">
        <v>143</v>
      </c>
      <c r="E351" s="319" t="s">
        <v>125</v>
      </c>
      <c r="F351" s="33" t="s">
        <v>2507</v>
      </c>
      <c r="G351" s="33" t="s">
        <v>126</v>
      </c>
      <c r="H351" s="353">
        <v>1000</v>
      </c>
      <c r="I351" s="35">
        <v>28</v>
      </c>
      <c r="J351" s="35"/>
      <c r="K351" s="35">
        <v>1</v>
      </c>
      <c r="L351" s="35"/>
      <c r="M351" s="35">
        <v>5</v>
      </c>
      <c r="N351" s="35"/>
      <c r="O351" s="35"/>
      <c r="P351" s="35"/>
      <c r="Q351" s="35"/>
      <c r="R351" s="36"/>
      <c r="S351" s="35"/>
      <c r="T351" s="35"/>
      <c r="U351" s="35"/>
      <c r="V351" s="35">
        <v>5</v>
      </c>
      <c r="W351" s="35"/>
      <c r="X351" s="35">
        <v>5</v>
      </c>
      <c r="Y351" s="35">
        <v>54</v>
      </c>
      <c r="Z351" s="35">
        <v>2</v>
      </c>
      <c r="AA351" s="35">
        <v>0</v>
      </c>
      <c r="AB351" s="37">
        <f>100/(SUM(I351:Z351))</f>
        <v>1</v>
      </c>
      <c r="AC351" s="259">
        <f>SUM(I351:AA351)</f>
        <v>100</v>
      </c>
      <c r="AD351" s="35"/>
      <c r="AE351" s="35"/>
      <c r="AF351" s="35"/>
      <c r="AG351" s="33" t="s">
        <v>2187</v>
      </c>
      <c r="AH351" s="190" t="s">
        <v>2188</v>
      </c>
      <c r="AI351" s="190" t="s">
        <v>2189</v>
      </c>
      <c r="AJ351" s="190" t="s">
        <v>2190</v>
      </c>
      <c r="AK351" s="33"/>
      <c r="AL351" s="39">
        <f>(B351-DATE(1970,1,1))*86400</f>
        <v>1748390400</v>
      </c>
      <c r="AM351" s="39">
        <f>(C351-DATE(1970,1,1))*86400</f>
        <v>1748908800</v>
      </c>
      <c r="AN351" s="39">
        <f>AVERAGE(AL351:AM351)</f>
        <v>1748649600</v>
      </c>
    </row>
    <row r="352" spans="1:40" x14ac:dyDescent="0.2">
      <c r="A352" s="288" t="s">
        <v>133</v>
      </c>
      <c r="B352" s="60">
        <v>45805</v>
      </c>
      <c r="C352" s="60">
        <v>45811</v>
      </c>
      <c r="D352" s="61" t="s">
        <v>168</v>
      </c>
      <c r="E352" s="334" t="s">
        <v>125</v>
      </c>
      <c r="F352" s="218"/>
      <c r="G352" s="61" t="s">
        <v>126</v>
      </c>
      <c r="H352" s="334">
        <v>1000</v>
      </c>
      <c r="I352" s="63">
        <v>27</v>
      </c>
      <c r="J352" s="63">
        <v>1</v>
      </c>
      <c r="K352" s="63">
        <v>1</v>
      </c>
      <c r="L352" s="63">
        <v>1</v>
      </c>
      <c r="M352" s="63">
        <v>5</v>
      </c>
      <c r="N352" s="63"/>
      <c r="O352" s="63">
        <v>0</v>
      </c>
      <c r="P352" s="63">
        <v>1</v>
      </c>
      <c r="Q352" s="63"/>
      <c r="R352" s="64"/>
      <c r="S352" s="63"/>
      <c r="T352" s="63"/>
      <c r="U352" s="63"/>
      <c r="V352" s="63">
        <v>5</v>
      </c>
      <c r="W352" s="63"/>
      <c r="X352" s="63">
        <v>6</v>
      </c>
      <c r="Y352" s="63">
        <v>32</v>
      </c>
      <c r="Z352" s="63">
        <v>1</v>
      </c>
      <c r="AA352" s="63">
        <v>21</v>
      </c>
      <c r="AB352" s="65">
        <f>100/(SUM(I352:Z352))</f>
        <v>1.25</v>
      </c>
      <c r="AC352" s="259">
        <f>SUM(I352:AA352)</f>
        <v>101</v>
      </c>
      <c r="AD352" s="63">
        <v>64</v>
      </c>
      <c r="AE352" s="64"/>
      <c r="AF352" s="64"/>
      <c r="AG352" s="66" t="s">
        <v>127</v>
      </c>
      <c r="AH352" s="67" t="s">
        <v>1849</v>
      </c>
      <c r="AI352" s="200" t="s">
        <v>1851</v>
      </c>
      <c r="AJ352" s="67" t="s">
        <v>1852</v>
      </c>
      <c r="AK352" s="61" t="s">
        <v>1850</v>
      </c>
      <c r="AL352" s="66">
        <f>(B352-DATE(1970,1,1))*86400</f>
        <v>1748390400</v>
      </c>
      <c r="AM352" s="66">
        <f>(C352-DATE(1970,1,1))*86400</f>
        <v>1748908800</v>
      </c>
      <c r="AN352" s="66">
        <f>AVERAGE(AL352:AM352)</f>
        <v>1748649600</v>
      </c>
    </row>
    <row r="353" spans="1:65" ht="15.75" customHeight="1" x14ac:dyDescent="0.2">
      <c r="A353" s="288" t="s">
        <v>133</v>
      </c>
      <c r="B353" s="60">
        <v>45805</v>
      </c>
      <c r="C353" s="60">
        <v>45811</v>
      </c>
      <c r="D353" s="61" t="s">
        <v>168</v>
      </c>
      <c r="E353" s="334" t="s">
        <v>125</v>
      </c>
      <c r="F353" s="218"/>
      <c r="G353" s="61" t="s">
        <v>126</v>
      </c>
      <c r="H353" s="334">
        <v>1000</v>
      </c>
      <c r="I353" s="63">
        <v>34</v>
      </c>
      <c r="J353" s="63">
        <v>1</v>
      </c>
      <c r="K353" s="63">
        <v>1</v>
      </c>
      <c r="L353" s="63">
        <v>1</v>
      </c>
      <c r="M353" s="63">
        <v>6</v>
      </c>
      <c r="N353" s="63"/>
      <c r="O353" s="63">
        <v>0</v>
      </c>
      <c r="P353" s="63">
        <v>1</v>
      </c>
      <c r="Q353" s="63"/>
      <c r="R353" s="64"/>
      <c r="S353" s="63"/>
      <c r="T353" s="63"/>
      <c r="U353" s="63"/>
      <c r="V353" s="63">
        <v>7</v>
      </c>
      <c r="W353" s="63"/>
      <c r="X353" s="63">
        <v>8</v>
      </c>
      <c r="Y353" s="63">
        <v>41</v>
      </c>
      <c r="Z353" s="63">
        <v>1</v>
      </c>
      <c r="AA353" s="63">
        <v>0</v>
      </c>
      <c r="AB353" s="65">
        <f>100/(SUM(I353:Z353))</f>
        <v>0.99009900990099009</v>
      </c>
      <c r="AC353" s="259">
        <f>SUM(I353:AA353)</f>
        <v>101</v>
      </c>
      <c r="AD353" s="63"/>
      <c r="AE353" s="64"/>
      <c r="AF353" s="64"/>
      <c r="AG353" s="66" t="s">
        <v>127</v>
      </c>
      <c r="AH353" s="67" t="s">
        <v>1849</v>
      </c>
      <c r="AI353" s="200" t="s">
        <v>1851</v>
      </c>
      <c r="AJ353" s="67" t="s">
        <v>1852</v>
      </c>
      <c r="AK353" s="61" t="s">
        <v>1877</v>
      </c>
      <c r="AL353" s="66">
        <f>(B353-DATE(1970,1,1))*86400</f>
        <v>1748390400</v>
      </c>
      <c r="AM353" s="66">
        <f>(C353-DATE(1970,1,1))*86400</f>
        <v>1748908800</v>
      </c>
      <c r="AN353" s="66">
        <f>AVERAGE(AL353:AM353)</f>
        <v>1748649600</v>
      </c>
    </row>
    <row r="354" spans="1:65" ht="15.75" customHeight="1" x14ac:dyDescent="0.2">
      <c r="A354" s="288" t="s">
        <v>123</v>
      </c>
      <c r="B354" s="60">
        <v>45805</v>
      </c>
      <c r="C354" s="60">
        <v>45811</v>
      </c>
      <c r="D354" s="61" t="s">
        <v>168</v>
      </c>
      <c r="E354" s="334" t="s">
        <v>125</v>
      </c>
      <c r="F354" s="218"/>
      <c r="G354" s="61" t="s">
        <v>126</v>
      </c>
      <c r="H354" s="334">
        <v>1000</v>
      </c>
      <c r="I354" s="63">
        <v>34</v>
      </c>
      <c r="J354" s="63">
        <v>1</v>
      </c>
      <c r="K354" s="63">
        <v>1</v>
      </c>
      <c r="L354" s="63">
        <v>1</v>
      </c>
      <c r="M354" s="63">
        <v>6</v>
      </c>
      <c r="N354" s="63"/>
      <c r="O354" s="63">
        <v>0</v>
      </c>
      <c r="P354" s="63">
        <v>1</v>
      </c>
      <c r="Q354" s="63"/>
      <c r="R354" s="64"/>
      <c r="S354" s="63"/>
      <c r="T354" s="63"/>
      <c r="U354" s="63"/>
      <c r="V354" s="63">
        <v>6</v>
      </c>
      <c r="W354" s="63"/>
      <c r="X354" s="63">
        <v>7</v>
      </c>
      <c r="Y354" s="63">
        <v>43</v>
      </c>
      <c r="Z354" s="63">
        <v>1</v>
      </c>
      <c r="AA354" s="63">
        <v>0</v>
      </c>
      <c r="AB354" s="65">
        <f>100/(SUM(I354:Z354))</f>
        <v>0.99009900990099009</v>
      </c>
      <c r="AC354" s="259">
        <f>SUM(I354:AA354)</f>
        <v>101</v>
      </c>
      <c r="AD354" s="63"/>
      <c r="AE354" s="64"/>
      <c r="AF354" s="64"/>
      <c r="AG354" s="66" t="s">
        <v>127</v>
      </c>
      <c r="AH354" s="67" t="s">
        <v>1849</v>
      </c>
      <c r="AI354" s="200" t="s">
        <v>1851</v>
      </c>
      <c r="AJ354" s="67" t="s">
        <v>1852</v>
      </c>
      <c r="AK354" s="61" t="s">
        <v>138</v>
      </c>
      <c r="AL354" s="66">
        <f>(B354-DATE(1970,1,1))*86400</f>
        <v>1748390400</v>
      </c>
      <c r="AM354" s="66">
        <f>(C354-DATE(1970,1,1))*86400</f>
        <v>1748908800</v>
      </c>
      <c r="AN354" s="66">
        <f>AVERAGE(AL354:AM354)</f>
        <v>1748649600</v>
      </c>
    </row>
    <row r="355" spans="1:65" s="6" customFormat="1" x14ac:dyDescent="0.2">
      <c r="A355" s="287" t="s">
        <v>133</v>
      </c>
      <c r="B355" s="187">
        <v>45799</v>
      </c>
      <c r="C355" s="187">
        <v>45804</v>
      </c>
      <c r="D355" s="69" t="s">
        <v>183</v>
      </c>
      <c r="E355" s="333" t="s">
        <v>125</v>
      </c>
      <c r="F355" s="69" t="s">
        <v>140</v>
      </c>
      <c r="G355" s="188" t="s">
        <v>126</v>
      </c>
      <c r="H355" s="354">
        <v>1000</v>
      </c>
      <c r="I355" s="71">
        <v>31.1</v>
      </c>
      <c r="J355" s="71"/>
      <c r="K355" s="71"/>
      <c r="L355" s="71"/>
      <c r="M355" s="71"/>
      <c r="N355" s="71"/>
      <c r="O355" s="71"/>
      <c r="P355" s="71"/>
      <c r="Q355" s="71"/>
      <c r="R355" s="72"/>
      <c r="S355" s="71"/>
      <c r="T355" s="71"/>
      <c r="U355" s="71"/>
      <c r="V355" s="71"/>
      <c r="W355" s="71"/>
      <c r="X355" s="71"/>
      <c r="Y355" s="71">
        <v>37.700000000000003</v>
      </c>
      <c r="Z355" s="71">
        <v>14.8</v>
      </c>
      <c r="AA355" s="71">
        <v>16.399999999999999</v>
      </c>
      <c r="AB355" s="73">
        <f>100/(SUM(I355:Z355))</f>
        <v>1.1961722488038276</v>
      </c>
      <c r="AC355" s="259">
        <f>SUM(I355:AA355)</f>
        <v>100</v>
      </c>
      <c r="AD355" s="71"/>
      <c r="AE355" s="71"/>
      <c r="AF355" s="71"/>
      <c r="AG355" s="74" t="s">
        <v>1625</v>
      </c>
      <c r="AH355" s="75"/>
      <c r="AI355" s="221" t="s">
        <v>1839</v>
      </c>
      <c r="AJ355" s="75" t="s">
        <v>1834</v>
      </c>
      <c r="AK355" s="69" t="s">
        <v>1837</v>
      </c>
      <c r="AL355" s="74">
        <f>(B355-DATE(1970,1,1))*86400</f>
        <v>1747872000</v>
      </c>
      <c r="AM355" s="74">
        <f>(C355-DATE(1970,1,1))*86400</f>
        <v>1748304000</v>
      </c>
      <c r="AN355" s="74">
        <f>AVERAGE(AL355:AM355)</f>
        <v>1748088000</v>
      </c>
      <c r="AO355"/>
      <c r="AP355"/>
      <c r="AQ355"/>
      <c r="AR355"/>
      <c r="AS355"/>
      <c r="AT355"/>
      <c r="AU355"/>
      <c r="AV355"/>
      <c r="AW355"/>
      <c r="AX355"/>
      <c r="AY355"/>
      <c r="AZ355"/>
      <c r="BA355"/>
      <c r="BB355"/>
      <c r="BC355"/>
      <c r="BD355"/>
      <c r="BE355"/>
      <c r="BF355"/>
      <c r="BG355"/>
      <c r="BH355"/>
      <c r="BI355"/>
      <c r="BJ355"/>
      <c r="BK355"/>
      <c r="BL355"/>
      <c r="BM355"/>
    </row>
    <row r="356" spans="1:65" s="6" customFormat="1" x14ac:dyDescent="0.2">
      <c r="A356" s="287" t="s">
        <v>133</v>
      </c>
      <c r="B356" s="187">
        <v>45799</v>
      </c>
      <c r="C356" s="187">
        <v>45804</v>
      </c>
      <c r="D356" s="69" t="s">
        <v>183</v>
      </c>
      <c r="E356" s="333" t="s">
        <v>125</v>
      </c>
      <c r="F356" s="69" t="s">
        <v>140</v>
      </c>
      <c r="G356" s="188" t="s">
        <v>126</v>
      </c>
      <c r="H356" s="354">
        <v>1000</v>
      </c>
      <c r="I356" s="71"/>
      <c r="J356" s="71"/>
      <c r="K356" s="71"/>
      <c r="L356" s="71"/>
      <c r="M356" s="71"/>
      <c r="N356" s="71"/>
      <c r="O356" s="71"/>
      <c r="P356" s="71"/>
      <c r="Q356" s="71"/>
      <c r="R356" s="72"/>
      <c r="S356" s="71"/>
      <c r="T356" s="71"/>
      <c r="U356" s="71"/>
      <c r="V356" s="71"/>
      <c r="W356" s="71"/>
      <c r="X356" s="71"/>
      <c r="Y356" s="71"/>
      <c r="Z356" s="71"/>
      <c r="AA356" s="71">
        <v>0</v>
      </c>
      <c r="AB356" s="73" t="e">
        <f>100/(SUM(I356:Z356))</f>
        <v>#DIV/0!</v>
      </c>
      <c r="AC356" s="259">
        <f>SUM(I356:AA356)</f>
        <v>0</v>
      </c>
      <c r="AD356" s="71"/>
      <c r="AE356" s="71"/>
      <c r="AF356" s="71"/>
      <c r="AG356" s="74" t="s">
        <v>1625</v>
      </c>
      <c r="AH356" s="75"/>
      <c r="AI356" s="75" t="s">
        <v>1835</v>
      </c>
      <c r="AJ356" s="75" t="s">
        <v>1838</v>
      </c>
      <c r="AK356" s="69"/>
      <c r="AL356" s="74">
        <f>(B356-DATE(1970,1,1))*86400</f>
        <v>1747872000</v>
      </c>
      <c r="AM356" s="74">
        <f>(C356-DATE(1970,1,1))*86400</f>
        <v>1748304000</v>
      </c>
      <c r="AN356" s="74">
        <f>AVERAGE(AL356:AM356)</f>
        <v>1748088000</v>
      </c>
      <c r="AO356"/>
      <c r="AP356"/>
      <c r="AQ356"/>
      <c r="AR356"/>
      <c r="AS356"/>
      <c r="AT356"/>
      <c r="AU356"/>
      <c r="AV356"/>
      <c r="AW356"/>
      <c r="AX356"/>
      <c r="AY356"/>
      <c r="AZ356"/>
      <c r="BA356"/>
      <c r="BB356"/>
      <c r="BC356"/>
      <c r="BD356"/>
      <c r="BE356"/>
      <c r="BF356"/>
      <c r="BG356"/>
      <c r="BH356"/>
      <c r="BI356"/>
      <c r="BJ356"/>
      <c r="BK356"/>
      <c r="BL356"/>
      <c r="BM356"/>
    </row>
    <row r="357" spans="1:65" x14ac:dyDescent="0.2">
      <c r="A357" s="287" t="s">
        <v>123</v>
      </c>
      <c r="B357" s="187">
        <v>45799</v>
      </c>
      <c r="C357" s="187">
        <v>45804</v>
      </c>
      <c r="D357" s="69" t="s">
        <v>183</v>
      </c>
      <c r="E357" s="333" t="s">
        <v>125</v>
      </c>
      <c r="F357" s="69" t="s">
        <v>140</v>
      </c>
      <c r="G357" s="188" t="s">
        <v>126</v>
      </c>
      <c r="H357" s="354">
        <v>1000</v>
      </c>
      <c r="I357" s="71"/>
      <c r="J357" s="71"/>
      <c r="K357" s="71"/>
      <c r="L357" s="71"/>
      <c r="M357" s="71"/>
      <c r="N357" s="71"/>
      <c r="O357" s="71"/>
      <c r="P357" s="71"/>
      <c r="Q357" s="71"/>
      <c r="R357" s="72"/>
      <c r="S357" s="71"/>
      <c r="T357" s="71"/>
      <c r="U357" s="71"/>
      <c r="V357" s="71"/>
      <c r="W357" s="71"/>
      <c r="X357" s="71"/>
      <c r="Y357" s="71"/>
      <c r="Z357" s="71"/>
      <c r="AA357" s="71">
        <v>0</v>
      </c>
      <c r="AB357" s="73" t="e">
        <f>100/(SUM(I357:Z357))</f>
        <v>#DIV/0!</v>
      </c>
      <c r="AC357" s="259">
        <f>SUM(I357:AA357)</f>
        <v>0</v>
      </c>
      <c r="AD357" s="71"/>
      <c r="AE357" s="71"/>
      <c r="AF357" s="71"/>
      <c r="AG357" s="74" t="s">
        <v>1625</v>
      </c>
      <c r="AH357" s="75"/>
      <c r="AI357" s="75"/>
      <c r="AJ357" s="75"/>
      <c r="AK357" s="69"/>
      <c r="AL357" s="74">
        <f>(B357-DATE(1970,1,1))*86400</f>
        <v>1747872000</v>
      </c>
      <c r="AM357" s="74">
        <f>(C357-DATE(1970,1,1))*86400</f>
        <v>1748304000</v>
      </c>
      <c r="AN357" s="74">
        <f>AVERAGE(AL357:AM357)</f>
        <v>1748088000</v>
      </c>
    </row>
    <row r="358" spans="1:65" ht="15.75" customHeight="1" x14ac:dyDescent="0.2">
      <c r="A358" s="284" t="s">
        <v>133</v>
      </c>
      <c r="B358" s="20">
        <v>45792</v>
      </c>
      <c r="C358" s="20">
        <v>45800</v>
      </c>
      <c r="D358" s="19" t="s">
        <v>134</v>
      </c>
      <c r="E358" s="332" t="s">
        <v>125</v>
      </c>
      <c r="F358" s="19"/>
      <c r="G358" s="19" t="s">
        <v>135</v>
      </c>
      <c r="H358" s="332">
        <v>1500</v>
      </c>
      <c r="I358" s="21">
        <v>25</v>
      </c>
      <c r="J358" s="21">
        <v>0</v>
      </c>
      <c r="K358" s="21">
        <v>0</v>
      </c>
      <c r="L358" s="21">
        <v>0</v>
      </c>
      <c r="M358" s="21">
        <v>4</v>
      </c>
      <c r="N358" s="21"/>
      <c r="O358" s="21">
        <v>0</v>
      </c>
      <c r="P358" s="21">
        <v>1</v>
      </c>
      <c r="Q358" s="21"/>
      <c r="R358" s="22"/>
      <c r="S358" s="21">
        <v>0</v>
      </c>
      <c r="T358" s="21">
        <v>0</v>
      </c>
      <c r="U358" s="21"/>
      <c r="V358" s="21">
        <v>3</v>
      </c>
      <c r="W358" s="21">
        <v>1</v>
      </c>
      <c r="X358" s="21">
        <v>3</v>
      </c>
      <c r="Y358" s="21">
        <v>34</v>
      </c>
      <c r="Z358" s="21">
        <v>1</v>
      </c>
      <c r="AA358" s="21">
        <v>28</v>
      </c>
      <c r="AB358" s="23">
        <f>100/(SUM(I358:Z358))</f>
        <v>1.3888888888888888</v>
      </c>
      <c r="AC358" s="259">
        <f>SUM(I358:AA358)</f>
        <v>100</v>
      </c>
      <c r="AD358" s="21"/>
      <c r="AE358" s="24"/>
      <c r="AF358" s="24"/>
      <c r="AG358" s="25" t="s">
        <v>136</v>
      </c>
      <c r="AH358" s="26"/>
      <c r="AI358" s="26" t="s">
        <v>1842</v>
      </c>
      <c r="AJ358" s="26" t="s">
        <v>1843</v>
      </c>
      <c r="AK358" s="19" t="s">
        <v>1844</v>
      </c>
      <c r="AL358" s="25">
        <f>(B358-DATE(1970,1,1))*86400</f>
        <v>1747267200</v>
      </c>
      <c r="AM358" s="25">
        <f>(C358-DATE(1970,1,1))*86400</f>
        <v>1747958400</v>
      </c>
      <c r="AN358" s="25">
        <f>AVERAGE(AL358:AM358)</f>
        <v>1747612800</v>
      </c>
    </row>
    <row r="359" spans="1:65" ht="15.75" customHeight="1" x14ac:dyDescent="0.2">
      <c r="A359" s="284" t="s">
        <v>123</v>
      </c>
      <c r="B359" s="20">
        <v>45792</v>
      </c>
      <c r="C359" s="20">
        <v>45800</v>
      </c>
      <c r="D359" s="19" t="s">
        <v>134</v>
      </c>
      <c r="E359" s="332" t="s">
        <v>125</v>
      </c>
      <c r="F359" s="19"/>
      <c r="G359" s="19" t="s">
        <v>135</v>
      </c>
      <c r="H359" s="332">
        <v>1500</v>
      </c>
      <c r="I359" s="21">
        <v>37</v>
      </c>
      <c r="J359" s="21">
        <v>0</v>
      </c>
      <c r="K359" s="21">
        <v>0</v>
      </c>
      <c r="L359" s="21">
        <v>0</v>
      </c>
      <c r="M359" s="21">
        <v>6</v>
      </c>
      <c r="N359" s="21"/>
      <c r="O359" s="21">
        <v>0</v>
      </c>
      <c r="P359" s="21">
        <v>1</v>
      </c>
      <c r="Q359" s="21"/>
      <c r="R359" s="22"/>
      <c r="S359" s="21">
        <v>0</v>
      </c>
      <c r="T359" s="21">
        <v>1</v>
      </c>
      <c r="U359" s="21"/>
      <c r="V359" s="21">
        <v>4</v>
      </c>
      <c r="W359" s="21">
        <v>1</v>
      </c>
      <c r="X359" s="21">
        <v>5</v>
      </c>
      <c r="Y359" s="21">
        <v>44</v>
      </c>
      <c r="Z359" s="21">
        <v>1</v>
      </c>
      <c r="AA359" s="21">
        <v>0</v>
      </c>
      <c r="AB359" s="23">
        <f>100/(SUM(I359:Z359))</f>
        <v>1</v>
      </c>
      <c r="AC359" s="259">
        <f>SUM(I359:AA359)</f>
        <v>100</v>
      </c>
      <c r="AD359" s="24"/>
      <c r="AE359" s="24"/>
      <c r="AF359" s="24"/>
      <c r="AG359" s="25" t="s">
        <v>136</v>
      </c>
      <c r="AH359" s="26"/>
      <c r="AI359" s="26" t="s">
        <v>1842</v>
      </c>
      <c r="AJ359" s="26" t="s">
        <v>1843</v>
      </c>
      <c r="AK359" s="19" t="s">
        <v>1845</v>
      </c>
      <c r="AL359" s="25">
        <f>(B359-DATE(1970,1,1))*86400</f>
        <v>1747267200</v>
      </c>
      <c r="AM359" s="25">
        <f>(C359-DATE(1970,1,1))*86400</f>
        <v>1747958400</v>
      </c>
      <c r="AN359" s="25">
        <f>AVERAGE(AL359:AM359)</f>
        <v>1747612800</v>
      </c>
    </row>
    <row r="360" spans="1:65" ht="15.75" customHeight="1" x14ac:dyDescent="0.2">
      <c r="A360" s="287" t="s">
        <v>133</v>
      </c>
      <c r="B360" s="187">
        <v>45790</v>
      </c>
      <c r="C360" s="187">
        <v>45796</v>
      </c>
      <c r="D360" s="69" t="s">
        <v>183</v>
      </c>
      <c r="E360" s="333" t="s">
        <v>184</v>
      </c>
      <c r="F360" s="69" t="s">
        <v>2505</v>
      </c>
      <c r="G360" s="188" t="s">
        <v>126</v>
      </c>
      <c r="H360" s="354">
        <v>800</v>
      </c>
      <c r="I360" s="71">
        <v>21</v>
      </c>
      <c r="J360" s="71"/>
      <c r="K360" s="71"/>
      <c r="L360" s="71"/>
      <c r="M360" s="71">
        <v>3</v>
      </c>
      <c r="N360" s="71"/>
      <c r="O360" s="71"/>
      <c r="P360" s="71">
        <v>2</v>
      </c>
      <c r="Q360" s="71"/>
      <c r="R360" s="72"/>
      <c r="S360" s="71"/>
      <c r="T360" s="71"/>
      <c r="U360" s="71"/>
      <c r="V360" s="71">
        <v>6</v>
      </c>
      <c r="W360" s="71"/>
      <c r="X360" s="71">
        <v>4</v>
      </c>
      <c r="Y360" s="71">
        <v>41</v>
      </c>
      <c r="Z360" s="71">
        <v>0</v>
      </c>
      <c r="AA360" s="71">
        <v>22</v>
      </c>
      <c r="AB360" s="73">
        <f>100/(SUM(I360:Z360))</f>
        <v>1.2987012987012987</v>
      </c>
      <c r="AC360" s="259">
        <f>SUM(I360:AA360)</f>
        <v>99</v>
      </c>
      <c r="AD360" s="71"/>
      <c r="AE360" s="71"/>
      <c r="AF360" s="71"/>
      <c r="AG360" s="74" t="s">
        <v>136</v>
      </c>
      <c r="AH360" s="199" t="s">
        <v>1848</v>
      </c>
      <c r="AI360" s="75"/>
      <c r="AJ360" s="75"/>
      <c r="AK360" s="69" t="s">
        <v>1847</v>
      </c>
      <c r="AL360" s="74">
        <f>(B360-DATE(1970,1,1))*86400</f>
        <v>1747094400</v>
      </c>
      <c r="AM360" s="74">
        <f>(C360-DATE(1970,1,1))*86400</f>
        <v>1747612800</v>
      </c>
      <c r="AN360" s="74">
        <f>AVERAGE(AL360:AM360)</f>
        <v>1747353600</v>
      </c>
    </row>
    <row r="361" spans="1:65" ht="15.75" customHeight="1" x14ac:dyDescent="0.2">
      <c r="A361" s="550" t="s">
        <v>133</v>
      </c>
      <c r="B361" s="265">
        <v>46001</v>
      </c>
      <c r="C361" s="265">
        <v>46003</v>
      </c>
      <c r="D361" s="551" t="s">
        <v>183</v>
      </c>
      <c r="E361" s="552">
        <v>1</v>
      </c>
      <c r="F361" s="551" t="s">
        <v>2505</v>
      </c>
      <c r="G361" s="553" t="s">
        <v>126</v>
      </c>
      <c r="H361" s="554">
        <v>800</v>
      </c>
      <c r="I361" s="555">
        <v>20</v>
      </c>
      <c r="J361" s="555"/>
      <c r="K361" s="555"/>
      <c r="L361" s="555"/>
      <c r="M361" s="555">
        <v>3</v>
      </c>
      <c r="N361" s="555"/>
      <c r="O361" s="555"/>
      <c r="P361" s="555"/>
      <c r="Q361" s="555"/>
      <c r="R361" s="555"/>
      <c r="S361" s="555"/>
      <c r="T361" s="555"/>
      <c r="U361" s="555"/>
      <c r="V361" s="555">
        <v>7</v>
      </c>
      <c r="W361" s="555">
        <v>4</v>
      </c>
      <c r="X361" s="555">
        <v>6</v>
      </c>
      <c r="Y361" s="555">
        <v>47</v>
      </c>
      <c r="Z361" s="555">
        <v>1</v>
      </c>
      <c r="AA361" s="556">
        <v>17</v>
      </c>
      <c r="AB361" s="73">
        <f>100/(SUM(I361:Z361))</f>
        <v>1.1363636363636365</v>
      </c>
      <c r="AC361" s="259"/>
      <c r="AD361" s="555"/>
      <c r="AE361" s="555"/>
      <c r="AF361" s="557"/>
      <c r="AG361" s="557" t="s">
        <v>2455</v>
      </c>
      <c r="AH361" s="199" t="s">
        <v>2453</v>
      </c>
      <c r="AI361" s="559" t="s">
        <v>2454</v>
      </c>
      <c r="AJ361" s="551"/>
      <c r="AK361" s="551" t="s">
        <v>2452</v>
      </c>
      <c r="AL361" s="557">
        <v>1747094400</v>
      </c>
      <c r="AM361" s="557">
        <v>1747612800</v>
      </c>
      <c r="AN361" s="557">
        <v>1747353600</v>
      </c>
    </row>
    <row r="362" spans="1:65" ht="15.75" customHeight="1" x14ac:dyDescent="0.2">
      <c r="A362" s="550" t="s">
        <v>133</v>
      </c>
      <c r="B362" s="265">
        <v>46001</v>
      </c>
      <c r="C362" s="265">
        <v>46003</v>
      </c>
      <c r="D362" s="551" t="s">
        <v>183</v>
      </c>
      <c r="E362" s="552">
        <v>1</v>
      </c>
      <c r="F362" s="551" t="s">
        <v>2505</v>
      </c>
      <c r="G362" s="553" t="s">
        <v>126</v>
      </c>
      <c r="H362" s="554">
        <v>800</v>
      </c>
      <c r="I362" s="555">
        <v>24</v>
      </c>
      <c r="J362" s="555"/>
      <c r="K362" s="555"/>
      <c r="L362" s="555"/>
      <c r="M362" s="555">
        <v>4</v>
      </c>
      <c r="N362" s="555"/>
      <c r="O362" s="555"/>
      <c r="P362" s="555"/>
      <c r="Q362" s="555"/>
      <c r="R362" s="555"/>
      <c r="S362" s="555"/>
      <c r="T362" s="555"/>
      <c r="U362" s="555"/>
      <c r="V362" s="555">
        <v>8</v>
      </c>
      <c r="W362" s="555">
        <v>4</v>
      </c>
      <c r="X362" s="555">
        <v>7</v>
      </c>
      <c r="Y362" s="555">
        <v>57</v>
      </c>
      <c r="Z362" s="555">
        <v>1</v>
      </c>
      <c r="AA362" s="556">
        <v>0</v>
      </c>
      <c r="AB362" s="73">
        <f>100/(SUM(I362:Z362))</f>
        <v>0.95238095238095233</v>
      </c>
      <c r="AC362" s="259"/>
      <c r="AD362" s="555"/>
      <c r="AE362" s="555"/>
      <c r="AF362" s="557"/>
      <c r="AG362" s="557" t="s">
        <v>2455</v>
      </c>
      <c r="AH362" s="199" t="s">
        <v>2453</v>
      </c>
      <c r="AI362" s="559" t="s">
        <v>2454</v>
      </c>
      <c r="AJ362" s="551"/>
      <c r="AK362" s="551" t="s">
        <v>2452</v>
      </c>
      <c r="AL362" s="557">
        <v>1747094400</v>
      </c>
      <c r="AM362" s="557">
        <v>1747612800</v>
      </c>
      <c r="AN362" s="557">
        <v>1747353600</v>
      </c>
    </row>
    <row r="363" spans="1:65" ht="15.75" customHeight="1" x14ac:dyDescent="0.2">
      <c r="A363" s="281" t="s">
        <v>133</v>
      </c>
      <c r="B363" s="54">
        <v>45789</v>
      </c>
      <c r="C363" s="54">
        <v>45793</v>
      </c>
      <c r="D363" s="53" t="s">
        <v>154</v>
      </c>
      <c r="E363" s="323" t="s">
        <v>125</v>
      </c>
      <c r="F363" s="53"/>
      <c r="G363" s="53" t="s">
        <v>126</v>
      </c>
      <c r="H363" s="357">
        <v>1000</v>
      </c>
      <c r="I363" s="55">
        <v>24</v>
      </c>
      <c r="J363" s="55">
        <v>1</v>
      </c>
      <c r="K363" s="55">
        <v>0</v>
      </c>
      <c r="L363" s="55">
        <v>0</v>
      </c>
      <c r="M363" s="55">
        <v>7</v>
      </c>
      <c r="N363" s="55"/>
      <c r="O363" s="55">
        <v>0</v>
      </c>
      <c r="P363" s="55">
        <v>0</v>
      </c>
      <c r="Q363" s="55"/>
      <c r="R363" s="56"/>
      <c r="S363" s="55">
        <v>0</v>
      </c>
      <c r="T363" s="55"/>
      <c r="U363" s="55">
        <v>1</v>
      </c>
      <c r="V363" s="55">
        <v>2</v>
      </c>
      <c r="W363" s="55"/>
      <c r="X363" s="55">
        <v>3</v>
      </c>
      <c r="Y363" s="55">
        <v>30</v>
      </c>
      <c r="Z363" s="55">
        <v>0</v>
      </c>
      <c r="AA363" s="55">
        <v>32</v>
      </c>
      <c r="AB363" s="57">
        <f>100/(SUM(I363:Z363))</f>
        <v>1.4705882352941178</v>
      </c>
      <c r="AC363" s="259">
        <f>SUM(I363:AA363)</f>
        <v>100</v>
      </c>
      <c r="AD363" s="55">
        <v>85</v>
      </c>
      <c r="AE363" s="55"/>
      <c r="AF363" s="55"/>
      <c r="AG363" s="58" t="s">
        <v>155</v>
      </c>
      <c r="AH363" s="59" t="s">
        <v>1830</v>
      </c>
      <c r="AI363" s="59" t="s">
        <v>1831</v>
      </c>
      <c r="AJ363" s="53" t="s">
        <v>1840</v>
      </c>
      <c r="AK363" s="53" t="s">
        <v>1833</v>
      </c>
      <c r="AL363" s="58">
        <f>(B363-DATE(1970,1,1))*86400</f>
        <v>1747008000</v>
      </c>
      <c r="AM363" s="58">
        <f>(C363-DATE(1970,1,1))*86400</f>
        <v>1747353600</v>
      </c>
      <c r="AN363" s="58">
        <f>AVERAGE(AL363:AM363)</f>
        <v>1747180800</v>
      </c>
    </row>
    <row r="364" spans="1:65" s="6" customFormat="1" x14ac:dyDescent="0.2">
      <c r="A364" s="281" t="s">
        <v>123</v>
      </c>
      <c r="B364" s="54">
        <v>45789</v>
      </c>
      <c r="C364" s="54">
        <v>45793</v>
      </c>
      <c r="D364" s="53" t="s">
        <v>154</v>
      </c>
      <c r="E364" s="323" t="s">
        <v>125</v>
      </c>
      <c r="F364" s="53"/>
      <c r="G364" s="53" t="s">
        <v>126</v>
      </c>
      <c r="H364" s="357">
        <v>1000</v>
      </c>
      <c r="I364" s="55">
        <v>30</v>
      </c>
      <c r="J364" s="55">
        <v>1</v>
      </c>
      <c r="K364" s="55">
        <v>0</v>
      </c>
      <c r="L364" s="55">
        <v>0</v>
      </c>
      <c r="M364" s="55">
        <v>7</v>
      </c>
      <c r="N364" s="55"/>
      <c r="O364" s="55">
        <v>0</v>
      </c>
      <c r="P364" s="55">
        <v>0</v>
      </c>
      <c r="Q364" s="55"/>
      <c r="R364" s="56"/>
      <c r="S364" s="55">
        <v>0</v>
      </c>
      <c r="T364" s="55"/>
      <c r="U364" s="55">
        <v>1</v>
      </c>
      <c r="V364" s="55">
        <v>2</v>
      </c>
      <c r="W364" s="55"/>
      <c r="X364" s="55">
        <v>4</v>
      </c>
      <c r="Y364" s="55">
        <v>33</v>
      </c>
      <c r="Z364" s="55">
        <v>1</v>
      </c>
      <c r="AA364" s="55">
        <v>21</v>
      </c>
      <c r="AB364" s="57">
        <f>100/(SUM(I364:Z364))</f>
        <v>1.2658227848101267</v>
      </c>
      <c r="AC364" s="259">
        <f>SUM(I364:AA364)</f>
        <v>100</v>
      </c>
      <c r="AD364" s="55"/>
      <c r="AE364" s="55"/>
      <c r="AF364" s="55"/>
      <c r="AG364" s="58" t="s">
        <v>155</v>
      </c>
      <c r="AH364" s="59" t="s">
        <v>1830</v>
      </c>
      <c r="AI364" s="59" t="s">
        <v>1831</v>
      </c>
      <c r="AJ364" s="53" t="s">
        <v>1841</v>
      </c>
      <c r="AK364" s="53" t="s">
        <v>1832</v>
      </c>
      <c r="AL364" s="58">
        <f>(B364-DATE(1970,1,1))*86400</f>
        <v>1747008000</v>
      </c>
      <c r="AM364" s="58">
        <f>(C364-DATE(1970,1,1))*86400</f>
        <v>1747353600</v>
      </c>
      <c r="AN364" s="58">
        <f>AVERAGE(AL364:AM364)</f>
        <v>1747180800</v>
      </c>
      <c r="AO364"/>
      <c r="AP364"/>
      <c r="AQ364"/>
      <c r="AR364"/>
      <c r="AS364"/>
      <c r="AT364"/>
      <c r="AU364"/>
      <c r="AV364"/>
      <c r="AW364"/>
      <c r="AX364"/>
      <c r="AY364"/>
      <c r="AZ364"/>
      <c r="BA364"/>
      <c r="BB364"/>
      <c r="BC364"/>
      <c r="BD364"/>
      <c r="BE364"/>
      <c r="BF364"/>
      <c r="BG364"/>
      <c r="BH364"/>
      <c r="BI364"/>
      <c r="BJ364"/>
      <c r="BK364"/>
      <c r="BL364"/>
      <c r="BM364"/>
    </row>
    <row r="365" spans="1:65" x14ac:dyDescent="0.2">
      <c r="A365" s="281" t="s">
        <v>123</v>
      </c>
      <c r="B365" s="54">
        <v>45789</v>
      </c>
      <c r="C365" s="54">
        <v>45793</v>
      </c>
      <c r="D365" s="53" t="s">
        <v>154</v>
      </c>
      <c r="E365" s="323" t="s">
        <v>125</v>
      </c>
      <c r="F365" s="53"/>
      <c r="G365" s="53" t="s">
        <v>126</v>
      </c>
      <c r="H365" s="357">
        <v>1000</v>
      </c>
      <c r="I365" s="55">
        <v>36</v>
      </c>
      <c r="J365" s="55">
        <v>1</v>
      </c>
      <c r="K365" s="55">
        <v>0</v>
      </c>
      <c r="L365" s="55">
        <v>0</v>
      </c>
      <c r="M365" s="55">
        <v>9</v>
      </c>
      <c r="N365" s="55"/>
      <c r="O365" s="55">
        <v>0</v>
      </c>
      <c r="P365" s="55">
        <v>0</v>
      </c>
      <c r="Q365" s="55"/>
      <c r="R365" s="56"/>
      <c r="S365" s="55">
        <v>0</v>
      </c>
      <c r="T365" s="55"/>
      <c r="U365" s="55">
        <v>2</v>
      </c>
      <c r="V365" s="55">
        <v>3</v>
      </c>
      <c r="W365" s="55"/>
      <c r="X365" s="55">
        <v>5</v>
      </c>
      <c r="Y365" s="55">
        <v>43</v>
      </c>
      <c r="Z365" s="55">
        <v>1</v>
      </c>
      <c r="AA365" s="55">
        <v>0</v>
      </c>
      <c r="AB365" s="57">
        <f>100/(SUM(I365:Z365))</f>
        <v>1</v>
      </c>
      <c r="AC365" s="259">
        <f>SUM(I365:AA365)</f>
        <v>100</v>
      </c>
      <c r="AD365" s="55"/>
      <c r="AE365" s="55"/>
      <c r="AF365" s="55"/>
      <c r="AG365" s="58" t="s">
        <v>155</v>
      </c>
      <c r="AH365" s="59" t="s">
        <v>1830</v>
      </c>
      <c r="AI365" s="59" t="s">
        <v>1831</v>
      </c>
      <c r="AJ365" s="59"/>
      <c r="AK365" s="53" t="s">
        <v>1878</v>
      </c>
      <c r="AL365" s="58">
        <f>(B365-DATE(1970,1,1))*86400</f>
        <v>1747008000</v>
      </c>
      <c r="AM365" s="58">
        <f>(C365-DATE(1970,1,1))*86400</f>
        <v>1747353600</v>
      </c>
      <c r="AN365" s="58">
        <f>AVERAGE(AL365:AM365)</f>
        <v>1747180800</v>
      </c>
    </row>
    <row r="366" spans="1:65" x14ac:dyDescent="0.2">
      <c r="A366" s="294" t="s">
        <v>133</v>
      </c>
      <c r="B366" s="187">
        <v>45785</v>
      </c>
      <c r="C366" s="187">
        <v>45789</v>
      </c>
      <c r="D366" s="188" t="s">
        <v>183</v>
      </c>
      <c r="E366" s="339" t="s">
        <v>125</v>
      </c>
      <c r="F366" s="188" t="s">
        <v>140</v>
      </c>
      <c r="G366" s="188" t="s">
        <v>597</v>
      </c>
      <c r="H366" s="360">
        <v>800</v>
      </c>
      <c r="I366" s="71"/>
      <c r="J366" s="71"/>
      <c r="K366" s="71"/>
      <c r="L366" s="71"/>
      <c r="M366" s="71"/>
      <c r="N366" s="71"/>
      <c r="O366" s="71"/>
      <c r="P366" s="71"/>
      <c r="Q366" s="71"/>
      <c r="R366" s="72"/>
      <c r="S366" s="71"/>
      <c r="T366" s="71"/>
      <c r="U366" s="71"/>
      <c r="V366" s="71"/>
      <c r="W366" s="71"/>
      <c r="X366" s="71"/>
      <c r="Y366" s="71"/>
      <c r="Z366" s="71"/>
      <c r="AA366" s="71">
        <v>25</v>
      </c>
      <c r="AB366" s="73" t="e">
        <f>100/(SUM(I366:Z366))</f>
        <v>#DIV/0!</v>
      </c>
      <c r="AC366" s="259">
        <f>SUM(I366:AA366)</f>
        <v>25</v>
      </c>
      <c r="AD366" s="71"/>
      <c r="AE366" s="71"/>
      <c r="AF366" s="71"/>
      <c r="AG366" s="74" t="s">
        <v>1836</v>
      </c>
      <c r="AH366" s="75"/>
      <c r="AI366" s="75" t="s">
        <v>1835</v>
      </c>
      <c r="AJ366" s="75"/>
      <c r="AK366" s="69"/>
      <c r="AL366" s="74">
        <f>(B366-DATE(1970,1,1))*86400</f>
        <v>1746662400</v>
      </c>
      <c r="AM366" s="74">
        <f>(C366-DATE(1970,1,1))*86400</f>
        <v>1747008000</v>
      </c>
      <c r="AN366" s="74">
        <f>AVERAGE(AL366:AM366)</f>
        <v>1746835200</v>
      </c>
    </row>
    <row r="367" spans="1:65" x14ac:dyDescent="0.2">
      <c r="A367" s="294" t="s">
        <v>133</v>
      </c>
      <c r="B367" s="187">
        <v>45785</v>
      </c>
      <c r="C367" s="187">
        <v>45789</v>
      </c>
      <c r="D367" s="188" t="s">
        <v>183</v>
      </c>
      <c r="E367" s="339" t="s">
        <v>125</v>
      </c>
      <c r="F367" s="188" t="s">
        <v>140</v>
      </c>
      <c r="G367" s="188" t="s">
        <v>597</v>
      </c>
      <c r="H367" s="360">
        <v>800</v>
      </c>
      <c r="I367" s="71"/>
      <c r="J367" s="71"/>
      <c r="K367" s="71"/>
      <c r="L367" s="71"/>
      <c r="M367" s="71"/>
      <c r="N367" s="71"/>
      <c r="O367" s="71"/>
      <c r="P367" s="71"/>
      <c r="Q367" s="71"/>
      <c r="R367" s="72"/>
      <c r="S367" s="71"/>
      <c r="T367" s="71"/>
      <c r="U367" s="71"/>
      <c r="V367" s="71"/>
      <c r="W367" s="71"/>
      <c r="X367" s="71"/>
      <c r="Y367" s="71"/>
      <c r="Z367" s="71"/>
      <c r="AA367" s="71">
        <v>0</v>
      </c>
      <c r="AB367" s="73" t="e">
        <f>100/(SUM(I367:Z367))</f>
        <v>#DIV/0!</v>
      </c>
      <c r="AC367" s="259">
        <f>SUM(I367:AA367)</f>
        <v>0</v>
      </c>
      <c r="AD367" s="71"/>
      <c r="AE367" s="71"/>
      <c r="AF367" s="71"/>
      <c r="AG367" s="74" t="s">
        <v>1836</v>
      </c>
      <c r="AH367" s="75"/>
      <c r="AI367" s="199"/>
      <c r="AJ367" s="75"/>
      <c r="AK367" s="69"/>
      <c r="AL367" s="74">
        <f>(B367-DATE(1970,1,1))*86400</f>
        <v>1746662400</v>
      </c>
      <c r="AM367" s="74">
        <f>(C367-DATE(1970,1,1))*86400</f>
        <v>1747008000</v>
      </c>
      <c r="AN367" s="74">
        <f>AVERAGE(AL367:AM367)</f>
        <v>1746835200</v>
      </c>
    </row>
    <row r="368" spans="1:65" ht="15.75" customHeight="1" x14ac:dyDescent="0.2">
      <c r="A368" s="294" t="s">
        <v>123</v>
      </c>
      <c r="B368" s="187">
        <v>45785</v>
      </c>
      <c r="C368" s="187">
        <v>45789</v>
      </c>
      <c r="D368" s="188" t="s">
        <v>183</v>
      </c>
      <c r="E368" s="339" t="s">
        <v>125</v>
      </c>
      <c r="F368" s="188" t="s">
        <v>140</v>
      </c>
      <c r="G368" s="188" t="s">
        <v>597</v>
      </c>
      <c r="H368" s="360">
        <v>800</v>
      </c>
      <c r="I368" s="71"/>
      <c r="J368" s="71"/>
      <c r="K368" s="71"/>
      <c r="L368" s="71"/>
      <c r="M368" s="71"/>
      <c r="N368" s="71"/>
      <c r="O368" s="71"/>
      <c r="P368" s="71"/>
      <c r="Q368" s="71"/>
      <c r="R368" s="72"/>
      <c r="S368" s="71"/>
      <c r="T368" s="71"/>
      <c r="U368" s="71"/>
      <c r="V368" s="71"/>
      <c r="W368" s="71"/>
      <c r="X368" s="71"/>
      <c r="Y368" s="71"/>
      <c r="Z368" s="71"/>
      <c r="AA368" s="71">
        <v>0</v>
      </c>
      <c r="AB368" s="73" t="e">
        <f>100/(SUM(I368:Z368))</f>
        <v>#DIV/0!</v>
      </c>
      <c r="AC368" s="259">
        <f>SUM(I368:AA368)</f>
        <v>0</v>
      </c>
      <c r="AD368" s="71"/>
      <c r="AE368" s="71"/>
      <c r="AF368" s="71"/>
      <c r="AG368" s="74" t="s">
        <v>1836</v>
      </c>
      <c r="AH368" s="75"/>
      <c r="AI368" s="75"/>
      <c r="AJ368" s="75"/>
      <c r="AK368" s="69"/>
      <c r="AL368" s="74">
        <f>(B368-DATE(1970,1,1))*86400</f>
        <v>1746662400</v>
      </c>
      <c r="AM368" s="74">
        <f>(C368-DATE(1970,1,1))*86400</f>
        <v>1747008000</v>
      </c>
      <c r="AN368" s="74">
        <f>AVERAGE(AL368:AM368)</f>
        <v>1746835200</v>
      </c>
    </row>
    <row r="369" spans="1:65" x14ac:dyDescent="0.2">
      <c r="A369" s="279" t="s">
        <v>133</v>
      </c>
      <c r="B369" s="14">
        <v>45761</v>
      </c>
      <c r="C369" s="14">
        <v>45761</v>
      </c>
      <c r="D369" s="13" t="s">
        <v>124</v>
      </c>
      <c r="E369" s="324" t="s">
        <v>125</v>
      </c>
      <c r="F369" s="13" t="s">
        <v>140</v>
      </c>
      <c r="G369" s="13" t="s">
        <v>126</v>
      </c>
      <c r="H369" s="349">
        <v>500</v>
      </c>
      <c r="I369" s="15"/>
      <c r="J369" s="15"/>
      <c r="K369" s="15"/>
      <c r="L369" s="15"/>
      <c r="M369" s="15"/>
      <c r="N369" s="15"/>
      <c r="O369" s="15"/>
      <c r="P369" s="15"/>
      <c r="Q369" s="15"/>
      <c r="R369" s="15"/>
      <c r="S369" s="15"/>
      <c r="T369" s="15"/>
      <c r="U369" s="15"/>
      <c r="V369" s="15"/>
      <c r="W369" s="15"/>
      <c r="X369" s="15"/>
      <c r="Y369" s="15"/>
      <c r="Z369" s="15"/>
      <c r="AA369" s="15"/>
      <c r="AB369" s="16" t="e">
        <f>100/(SUM(I369:Z369))</f>
        <v>#DIV/0!</v>
      </c>
      <c r="AC369" s="259">
        <f>SUM(I369:AA369)</f>
        <v>0</v>
      </c>
      <c r="AD369" s="15"/>
      <c r="AE369" s="15"/>
      <c r="AF369" s="15"/>
      <c r="AG369" s="17" t="s">
        <v>127</v>
      </c>
      <c r="AH369" s="201" t="s">
        <v>1782</v>
      </c>
      <c r="AI369" s="201" t="s">
        <v>1783</v>
      </c>
      <c r="AJ369" s="18" t="s">
        <v>1784</v>
      </c>
      <c r="AK369" s="13" t="s">
        <v>1785</v>
      </c>
      <c r="AL369" s="17">
        <f>(B369-DATE(1970,1,1))*86400</f>
        <v>1744588800</v>
      </c>
      <c r="AM369" s="17">
        <f>(C369-DATE(1970,1,1))*86400</f>
        <v>1744588800</v>
      </c>
      <c r="AN369" s="17">
        <f>AVERAGE(AL369:AM369)</f>
        <v>1744588800</v>
      </c>
    </row>
    <row r="370" spans="1:65" x14ac:dyDescent="0.2">
      <c r="A370" s="288" t="s">
        <v>133</v>
      </c>
      <c r="B370" s="60">
        <v>45756</v>
      </c>
      <c r="C370" s="60">
        <v>45765</v>
      </c>
      <c r="D370" s="61" t="s">
        <v>168</v>
      </c>
      <c r="E370" s="334" t="s">
        <v>125</v>
      </c>
      <c r="F370" s="218"/>
      <c r="G370" s="61" t="s">
        <v>126</v>
      </c>
      <c r="H370" s="334">
        <v>1500</v>
      </c>
      <c r="I370" s="63">
        <v>28</v>
      </c>
      <c r="J370" s="63">
        <v>1</v>
      </c>
      <c r="K370" s="63">
        <v>1</v>
      </c>
      <c r="L370" s="63">
        <v>0</v>
      </c>
      <c r="M370" s="63">
        <v>6</v>
      </c>
      <c r="N370" s="63"/>
      <c r="O370" s="63">
        <v>2</v>
      </c>
      <c r="P370" s="63">
        <v>2</v>
      </c>
      <c r="Q370" s="63"/>
      <c r="R370" s="64"/>
      <c r="S370" s="63"/>
      <c r="T370" s="63"/>
      <c r="U370" s="63"/>
      <c r="V370" s="63">
        <v>3</v>
      </c>
      <c r="W370" s="63"/>
      <c r="X370" s="63">
        <v>6</v>
      </c>
      <c r="Y370" s="63">
        <v>32</v>
      </c>
      <c r="Z370" s="63">
        <v>1</v>
      </c>
      <c r="AA370" s="63">
        <v>18</v>
      </c>
      <c r="AB370" s="65">
        <f>100/(SUM(I370:Z370))</f>
        <v>1.2195121951219512</v>
      </c>
      <c r="AC370" s="259">
        <f>SUM(I370:AA370)</f>
        <v>100</v>
      </c>
      <c r="AD370" s="63"/>
      <c r="AE370" s="64"/>
      <c r="AF370" s="64"/>
      <c r="AG370" s="66" t="s">
        <v>127</v>
      </c>
      <c r="AH370" s="67" t="s">
        <v>1804</v>
      </c>
      <c r="AI370" s="200" t="s">
        <v>1805</v>
      </c>
      <c r="AJ370" s="67"/>
      <c r="AK370" s="61"/>
      <c r="AL370" s="66">
        <f>(B370-DATE(1970,1,1))*86400</f>
        <v>1744156800</v>
      </c>
      <c r="AM370" s="66">
        <f>(C370-DATE(1970,1,1))*86400</f>
        <v>1744934400</v>
      </c>
      <c r="AN370" s="66">
        <f>AVERAGE(AL370:AM370)</f>
        <v>1744545600</v>
      </c>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row>
    <row r="371" spans="1:65" x14ac:dyDescent="0.2">
      <c r="A371" s="288" t="s">
        <v>133</v>
      </c>
      <c r="B371" s="60">
        <v>45756</v>
      </c>
      <c r="C371" s="60">
        <v>45765</v>
      </c>
      <c r="D371" s="61" t="s">
        <v>168</v>
      </c>
      <c r="E371" s="334" t="s">
        <v>125</v>
      </c>
      <c r="F371" s="218"/>
      <c r="G371" s="61" t="s">
        <v>126</v>
      </c>
      <c r="H371" s="334">
        <v>1500</v>
      </c>
      <c r="I371" s="63">
        <v>35</v>
      </c>
      <c r="J371" s="63">
        <v>1</v>
      </c>
      <c r="K371" s="63">
        <v>1</v>
      </c>
      <c r="L371" s="63">
        <v>0</v>
      </c>
      <c r="M371" s="63">
        <v>7</v>
      </c>
      <c r="N371" s="63"/>
      <c r="O371" s="63">
        <v>2</v>
      </c>
      <c r="P371" s="63">
        <v>3</v>
      </c>
      <c r="Q371" s="63"/>
      <c r="R371" s="64"/>
      <c r="S371" s="63"/>
      <c r="T371" s="63"/>
      <c r="U371" s="63"/>
      <c r="V371" s="63">
        <v>3</v>
      </c>
      <c r="W371" s="63"/>
      <c r="X371" s="63">
        <v>8</v>
      </c>
      <c r="Y371" s="63">
        <v>39</v>
      </c>
      <c r="Z371" s="63">
        <v>1</v>
      </c>
      <c r="AA371" s="63">
        <v>0</v>
      </c>
      <c r="AB371" s="65">
        <f>100/(SUM(I371:Z371))</f>
        <v>1</v>
      </c>
      <c r="AC371" s="259">
        <f>SUM(I371:AA371)</f>
        <v>100</v>
      </c>
      <c r="AD371" s="63"/>
      <c r="AE371" s="64"/>
      <c r="AF371" s="64"/>
      <c r="AG371" s="66" t="s">
        <v>127</v>
      </c>
      <c r="AH371" s="67" t="s">
        <v>1804</v>
      </c>
      <c r="AI371" s="200" t="s">
        <v>1805</v>
      </c>
      <c r="AJ371" s="67"/>
      <c r="AK371" s="61"/>
      <c r="AL371" s="66">
        <f>(B371-DATE(1970,1,1))*86400</f>
        <v>1744156800</v>
      </c>
      <c r="AM371" s="66">
        <f>(C371-DATE(1970,1,1))*86400</f>
        <v>1744934400</v>
      </c>
      <c r="AN371" s="66">
        <f>AVERAGE(AL371:AM371)</f>
        <v>1744545600</v>
      </c>
    </row>
    <row r="372" spans="1:65" ht="15.75" customHeight="1" x14ac:dyDescent="0.2">
      <c r="A372" s="288" t="s">
        <v>123</v>
      </c>
      <c r="B372" s="60">
        <v>45756</v>
      </c>
      <c r="C372" s="60">
        <v>45765</v>
      </c>
      <c r="D372" s="61" t="s">
        <v>168</v>
      </c>
      <c r="E372" s="334" t="s">
        <v>125</v>
      </c>
      <c r="F372" s="218" t="s">
        <v>140</v>
      </c>
      <c r="G372" s="61" t="s">
        <v>126</v>
      </c>
      <c r="H372" s="334">
        <v>1500</v>
      </c>
      <c r="I372" s="63"/>
      <c r="J372" s="63"/>
      <c r="K372" s="63"/>
      <c r="L372" s="63"/>
      <c r="M372" s="63"/>
      <c r="N372" s="63"/>
      <c r="O372" s="63"/>
      <c r="P372" s="63"/>
      <c r="Q372" s="63"/>
      <c r="R372" s="64"/>
      <c r="S372" s="63"/>
      <c r="T372" s="63"/>
      <c r="U372" s="63"/>
      <c r="V372" s="63"/>
      <c r="W372" s="63"/>
      <c r="X372" s="63"/>
      <c r="Y372" s="63"/>
      <c r="Z372" s="63"/>
      <c r="AA372" s="63">
        <v>0</v>
      </c>
      <c r="AB372" s="65" t="e">
        <f>100/(SUM(I372:Z372))</f>
        <v>#DIV/0!</v>
      </c>
      <c r="AC372" s="259">
        <f>SUM(I372:AA372)</f>
        <v>0</v>
      </c>
      <c r="AD372" s="63"/>
      <c r="AE372" s="64"/>
      <c r="AF372" s="64"/>
      <c r="AG372" s="66" t="s">
        <v>127</v>
      </c>
      <c r="AH372" s="67"/>
      <c r="AI372" s="200"/>
      <c r="AJ372" s="67"/>
      <c r="AK372" s="61" t="s">
        <v>1806</v>
      </c>
      <c r="AL372" s="66">
        <f>(B372-DATE(1970,1,1))*86400</f>
        <v>1744156800</v>
      </c>
      <c r="AM372" s="66">
        <f>(C372-DATE(1970,1,1))*86400</f>
        <v>1744934400</v>
      </c>
      <c r="AN372" s="66">
        <f>AVERAGE(AL372:AM372)</f>
        <v>1744545600</v>
      </c>
    </row>
    <row r="373" spans="1:65" ht="15.75" customHeight="1" x14ac:dyDescent="0.2">
      <c r="A373" s="281" t="s">
        <v>133</v>
      </c>
      <c r="B373" s="54">
        <v>45750</v>
      </c>
      <c r="C373" s="54">
        <v>45756</v>
      </c>
      <c r="D373" s="53" t="s">
        <v>154</v>
      </c>
      <c r="E373" s="323" t="s">
        <v>125</v>
      </c>
      <c r="F373" s="53"/>
      <c r="G373" s="53" t="s">
        <v>126</v>
      </c>
      <c r="H373" s="357">
        <v>1000</v>
      </c>
      <c r="I373" s="55">
        <v>25</v>
      </c>
      <c r="J373" s="55">
        <v>2</v>
      </c>
      <c r="K373" s="55">
        <v>0</v>
      </c>
      <c r="L373" s="55">
        <v>0</v>
      </c>
      <c r="M373" s="55">
        <v>7</v>
      </c>
      <c r="N373" s="55"/>
      <c r="O373" s="55">
        <v>0</v>
      </c>
      <c r="P373" s="55">
        <v>1</v>
      </c>
      <c r="Q373" s="55"/>
      <c r="R373" s="56"/>
      <c r="S373" s="55"/>
      <c r="T373" s="55"/>
      <c r="U373" s="55">
        <v>1</v>
      </c>
      <c r="V373" s="55">
        <v>2</v>
      </c>
      <c r="W373" s="55"/>
      <c r="X373" s="55">
        <v>3</v>
      </c>
      <c r="Y373" s="55">
        <v>28</v>
      </c>
      <c r="Z373" s="55">
        <v>0</v>
      </c>
      <c r="AA373" s="55">
        <v>31</v>
      </c>
      <c r="AB373" s="57">
        <f>100/(SUM(I373:Z373))</f>
        <v>1.4492753623188406</v>
      </c>
      <c r="AC373" s="259">
        <f>SUM(I373:AA373)</f>
        <v>100</v>
      </c>
      <c r="AD373" s="55"/>
      <c r="AE373" s="55"/>
      <c r="AF373" s="55"/>
      <c r="AG373" s="58" t="s">
        <v>1797</v>
      </c>
      <c r="AH373" s="186" t="s">
        <v>1796</v>
      </c>
      <c r="AI373" s="186" t="s">
        <v>1798</v>
      </c>
      <c r="AJ373" s="186" t="s">
        <v>1799</v>
      </c>
      <c r="AK373" s="53" t="s">
        <v>1800</v>
      </c>
      <c r="AL373" s="58">
        <f>(B373-DATE(1970,1,1))*86400</f>
        <v>1743638400</v>
      </c>
      <c r="AM373" s="58">
        <f>(C373-DATE(1970,1,1))*86400</f>
        <v>1744156800</v>
      </c>
      <c r="AN373" s="58">
        <f>AVERAGE(AL373:AM373)</f>
        <v>1743897600</v>
      </c>
    </row>
    <row r="374" spans="1:65" s="6" customFormat="1" x14ac:dyDescent="0.2">
      <c r="A374" s="281" t="s">
        <v>123</v>
      </c>
      <c r="B374" s="54">
        <v>45750</v>
      </c>
      <c r="C374" s="54">
        <v>45756</v>
      </c>
      <c r="D374" s="53" t="s">
        <v>154</v>
      </c>
      <c r="E374" s="323" t="s">
        <v>125</v>
      </c>
      <c r="F374" s="53"/>
      <c r="G374" s="53" t="s">
        <v>126</v>
      </c>
      <c r="H374" s="357">
        <v>1000</v>
      </c>
      <c r="I374" s="55">
        <v>30</v>
      </c>
      <c r="J374" s="55">
        <v>2</v>
      </c>
      <c r="K374" s="55">
        <v>0</v>
      </c>
      <c r="L374" s="55">
        <v>0</v>
      </c>
      <c r="M374" s="55">
        <v>8</v>
      </c>
      <c r="N374" s="55"/>
      <c r="O374" s="55">
        <v>0</v>
      </c>
      <c r="P374" s="55">
        <v>1</v>
      </c>
      <c r="Q374" s="55"/>
      <c r="R374" s="56"/>
      <c r="S374" s="55"/>
      <c r="T374" s="55"/>
      <c r="U374" s="55">
        <v>1</v>
      </c>
      <c r="V374" s="55">
        <v>2</v>
      </c>
      <c r="W374" s="55"/>
      <c r="X374" s="55">
        <v>4</v>
      </c>
      <c r="Y374" s="55">
        <v>31</v>
      </c>
      <c r="Z374" s="55">
        <v>0</v>
      </c>
      <c r="AA374" s="55">
        <v>21</v>
      </c>
      <c r="AB374" s="57">
        <f>100/(SUM(I374:Z374))</f>
        <v>1.2658227848101267</v>
      </c>
      <c r="AC374" s="259">
        <f>SUM(I374:AA374)</f>
        <v>100</v>
      </c>
      <c r="AD374" s="55"/>
      <c r="AE374" s="55"/>
      <c r="AF374" s="55"/>
      <c r="AG374" s="58" t="s">
        <v>1797</v>
      </c>
      <c r="AH374" s="186" t="s">
        <v>1796</v>
      </c>
      <c r="AI374" s="186" t="s">
        <v>1798</v>
      </c>
      <c r="AJ374" s="59" t="s">
        <v>1799</v>
      </c>
      <c r="AK374" s="53"/>
      <c r="AL374" s="58">
        <f>(B374-DATE(1970,1,1))*86400</f>
        <v>1743638400</v>
      </c>
      <c r="AM374" s="58">
        <f>(C374-DATE(1970,1,1))*86400</f>
        <v>1744156800</v>
      </c>
      <c r="AN374" s="58">
        <f>AVERAGE(AL374:AM374)</f>
        <v>1743897600</v>
      </c>
      <c r="AO374"/>
      <c r="AP374"/>
      <c r="AQ374"/>
      <c r="AR374"/>
      <c r="AS374"/>
      <c r="AT374"/>
      <c r="AU374"/>
      <c r="AV374"/>
      <c r="AW374"/>
      <c r="AX374"/>
      <c r="AY374"/>
      <c r="AZ374"/>
      <c r="BA374"/>
      <c r="BB374"/>
      <c r="BC374"/>
      <c r="BD374"/>
      <c r="BE374"/>
      <c r="BF374"/>
      <c r="BG374"/>
      <c r="BH374"/>
      <c r="BI374"/>
      <c r="BJ374"/>
      <c r="BK374"/>
      <c r="BL374"/>
      <c r="BM374"/>
    </row>
    <row r="375" spans="1:65" x14ac:dyDescent="0.2">
      <c r="A375" s="281" t="s">
        <v>123</v>
      </c>
      <c r="B375" s="54">
        <v>45750</v>
      </c>
      <c r="C375" s="54">
        <v>45756</v>
      </c>
      <c r="D375" s="53" t="s">
        <v>154</v>
      </c>
      <c r="E375" s="323" t="s">
        <v>125</v>
      </c>
      <c r="F375" s="53"/>
      <c r="G375" s="53" t="s">
        <v>126</v>
      </c>
      <c r="H375" s="357">
        <v>1000</v>
      </c>
      <c r="I375" s="55">
        <v>37</v>
      </c>
      <c r="J375" s="55">
        <v>2</v>
      </c>
      <c r="K375" s="55">
        <v>1</v>
      </c>
      <c r="L375" s="55">
        <v>0</v>
      </c>
      <c r="M375" s="55">
        <v>9</v>
      </c>
      <c r="N375" s="55"/>
      <c r="O375" s="55">
        <v>0</v>
      </c>
      <c r="P375" s="55">
        <v>1</v>
      </c>
      <c r="Q375" s="55"/>
      <c r="R375" s="56"/>
      <c r="S375" s="55"/>
      <c r="T375" s="55"/>
      <c r="U375" s="55">
        <v>1</v>
      </c>
      <c r="V375" s="55">
        <v>3</v>
      </c>
      <c r="W375" s="55"/>
      <c r="X375" s="55">
        <v>5</v>
      </c>
      <c r="Y375" s="55">
        <v>41</v>
      </c>
      <c r="Z375" s="55">
        <v>0</v>
      </c>
      <c r="AA375" s="55">
        <v>0</v>
      </c>
      <c r="AB375" s="57">
        <f>100/(SUM(I375:Z375))</f>
        <v>1</v>
      </c>
      <c r="AC375" s="259">
        <f>SUM(I375:AA375)</f>
        <v>100</v>
      </c>
      <c r="AD375" s="55"/>
      <c r="AE375" s="55"/>
      <c r="AF375" s="55"/>
      <c r="AG375" s="58" t="s">
        <v>1797</v>
      </c>
      <c r="AH375" s="186" t="s">
        <v>1796</v>
      </c>
      <c r="AI375" s="186" t="s">
        <v>1798</v>
      </c>
      <c r="AJ375" s="186" t="s">
        <v>1799</v>
      </c>
      <c r="AK375" s="53"/>
      <c r="AL375" s="58">
        <f>(B375-DATE(1970,1,1))*86400</f>
        <v>1743638400</v>
      </c>
      <c r="AM375" s="58">
        <f>(C375-DATE(1970,1,1))*86400</f>
        <v>1744156800</v>
      </c>
      <c r="AN375" s="58">
        <f>AVERAGE(AL375:AM375)</f>
        <v>1743897600</v>
      </c>
    </row>
    <row r="376" spans="1:65" ht="15.75" customHeight="1" x14ac:dyDescent="0.2">
      <c r="A376" s="287" t="s">
        <v>133</v>
      </c>
      <c r="B376" s="70">
        <v>45748</v>
      </c>
      <c r="C376" s="70">
        <v>45754</v>
      </c>
      <c r="D376" s="69" t="s">
        <v>183</v>
      </c>
      <c r="E376" s="333" t="s">
        <v>125</v>
      </c>
      <c r="F376" s="69"/>
      <c r="G376" s="69" t="s">
        <v>597</v>
      </c>
      <c r="H376" s="360">
        <v>1000</v>
      </c>
      <c r="I376" s="71">
        <v>28</v>
      </c>
      <c r="J376" s="71"/>
      <c r="K376" s="71"/>
      <c r="L376" s="71"/>
      <c r="M376" s="71">
        <v>2</v>
      </c>
      <c r="N376" s="71"/>
      <c r="O376" s="71"/>
      <c r="P376" s="71"/>
      <c r="Q376" s="71"/>
      <c r="R376" s="72"/>
      <c r="S376" s="71"/>
      <c r="T376" s="71"/>
      <c r="U376" s="71"/>
      <c r="V376" s="71">
        <v>3</v>
      </c>
      <c r="W376" s="71"/>
      <c r="X376" s="71">
        <v>4</v>
      </c>
      <c r="Y376" s="71">
        <v>34</v>
      </c>
      <c r="Z376" s="71">
        <v>4</v>
      </c>
      <c r="AA376" s="71">
        <v>25</v>
      </c>
      <c r="AB376" s="73">
        <f>100/(SUM(I376:Z376))</f>
        <v>1.3333333333333333</v>
      </c>
      <c r="AC376" s="259">
        <f>SUM(I376:AA376)</f>
        <v>100</v>
      </c>
      <c r="AD376" s="71"/>
      <c r="AE376" s="71"/>
      <c r="AF376" s="71"/>
      <c r="AG376" s="74"/>
      <c r="AH376" s="75" t="s">
        <v>1777</v>
      </c>
      <c r="AI376" s="75" t="s">
        <v>1780</v>
      </c>
      <c r="AJ376" s="75" t="s">
        <v>1779</v>
      </c>
      <c r="AK376" s="69"/>
      <c r="AL376" s="74">
        <f>(B376-DATE(1970,1,1))*86400</f>
        <v>1743465600</v>
      </c>
      <c r="AM376" s="74">
        <f>(C376-DATE(1970,1,1))*86400</f>
        <v>1743984000</v>
      </c>
      <c r="AN376" s="74">
        <f>AVERAGE(AL376:AM376)</f>
        <v>1743724800</v>
      </c>
    </row>
    <row r="377" spans="1:65" ht="15.75" customHeight="1" x14ac:dyDescent="0.2">
      <c r="A377" s="287" t="s">
        <v>133</v>
      </c>
      <c r="B377" s="70">
        <v>45748</v>
      </c>
      <c r="C377" s="70">
        <v>45754</v>
      </c>
      <c r="D377" s="69" t="s">
        <v>183</v>
      </c>
      <c r="E377" s="333" t="s">
        <v>125</v>
      </c>
      <c r="F377" s="69"/>
      <c r="G377" s="69" t="s">
        <v>597</v>
      </c>
      <c r="H377" s="360">
        <v>1000</v>
      </c>
      <c r="I377" s="71">
        <v>38</v>
      </c>
      <c r="J377" s="71"/>
      <c r="K377" s="71"/>
      <c r="L377" s="71"/>
      <c r="M377" s="71">
        <v>3</v>
      </c>
      <c r="N377" s="71"/>
      <c r="O377" s="71"/>
      <c r="P377" s="71"/>
      <c r="Q377" s="71"/>
      <c r="R377" s="72"/>
      <c r="S377" s="71"/>
      <c r="T377" s="71"/>
      <c r="U377" s="71"/>
      <c r="V377" s="71">
        <v>4</v>
      </c>
      <c r="W377" s="71"/>
      <c r="X377" s="71">
        <v>5</v>
      </c>
      <c r="Y377" s="71">
        <v>46</v>
      </c>
      <c r="Z377" s="71">
        <v>4</v>
      </c>
      <c r="AA377" s="71">
        <v>0</v>
      </c>
      <c r="AB377" s="73">
        <f>100/(SUM(I377:Z377))</f>
        <v>1</v>
      </c>
      <c r="AC377" s="259">
        <f>SUM(I377:AA377)</f>
        <v>100</v>
      </c>
      <c r="AD377" s="71"/>
      <c r="AE377" s="71"/>
      <c r="AF377" s="71"/>
      <c r="AG377" s="74"/>
      <c r="AH377" s="75" t="s">
        <v>1777</v>
      </c>
      <c r="AI377" s="199" t="s">
        <v>1781</v>
      </c>
      <c r="AJ377" s="75" t="s">
        <v>1779</v>
      </c>
      <c r="AK377" s="69"/>
      <c r="AL377" s="74">
        <f>(B377-DATE(1970,1,1))*86400</f>
        <v>1743465600</v>
      </c>
      <c r="AM377" s="74">
        <f>(C377-DATE(1970,1,1))*86400</f>
        <v>1743984000</v>
      </c>
      <c r="AN377" s="74">
        <f>AVERAGE(AL377:AM377)</f>
        <v>1743724800</v>
      </c>
    </row>
    <row r="378" spans="1:65" ht="15.75" customHeight="1" x14ac:dyDescent="0.2">
      <c r="A378" s="287" t="s">
        <v>123</v>
      </c>
      <c r="B378" s="70">
        <v>45748</v>
      </c>
      <c r="C378" s="70">
        <v>45754</v>
      </c>
      <c r="D378" s="69" t="s">
        <v>183</v>
      </c>
      <c r="E378" s="333" t="s">
        <v>125</v>
      </c>
      <c r="F378" s="69"/>
      <c r="G378" s="69" t="s">
        <v>597</v>
      </c>
      <c r="H378" s="360">
        <v>1000</v>
      </c>
      <c r="I378" s="71">
        <v>37</v>
      </c>
      <c r="J378" s="71"/>
      <c r="K378" s="71"/>
      <c r="L378" s="71"/>
      <c r="M378" s="71">
        <v>3</v>
      </c>
      <c r="N378" s="71"/>
      <c r="O378" s="71"/>
      <c r="P378" s="71"/>
      <c r="Q378" s="71"/>
      <c r="R378" s="72"/>
      <c r="S378" s="71"/>
      <c r="T378" s="71"/>
      <c r="U378" s="71"/>
      <c r="V378" s="71">
        <v>3</v>
      </c>
      <c r="W378" s="71"/>
      <c r="X378" s="71">
        <v>4</v>
      </c>
      <c r="Y378" s="71">
        <v>51</v>
      </c>
      <c r="Z378" s="71">
        <v>2</v>
      </c>
      <c r="AA378" s="71">
        <v>0</v>
      </c>
      <c r="AB378" s="73">
        <f>100/(SUM(I378:Z378))</f>
        <v>1</v>
      </c>
      <c r="AC378" s="259">
        <f>SUM(I378:AA378)</f>
        <v>100</v>
      </c>
      <c r="AD378" s="71"/>
      <c r="AE378" s="71"/>
      <c r="AF378" s="71"/>
      <c r="AG378" s="74"/>
      <c r="AH378" s="75" t="s">
        <v>1777</v>
      </c>
      <c r="AI378" s="75" t="s">
        <v>1778</v>
      </c>
      <c r="AJ378" s="75" t="s">
        <v>1779</v>
      </c>
      <c r="AK378" s="69" t="s">
        <v>1787</v>
      </c>
      <c r="AL378" s="74">
        <f>(B378-DATE(1970,1,1))*86400</f>
        <v>1743465600</v>
      </c>
      <c r="AM378" s="74">
        <f>(C378-DATE(1970,1,1))*86400</f>
        <v>1743984000</v>
      </c>
      <c r="AN378" s="74">
        <f>AVERAGE(AL378:AM378)</f>
        <v>1743724800</v>
      </c>
    </row>
    <row r="379" spans="1:65" ht="15.75" customHeight="1" x14ac:dyDescent="0.2">
      <c r="A379" s="284" t="s">
        <v>133</v>
      </c>
      <c r="B379" s="20">
        <v>45747</v>
      </c>
      <c r="C379" s="20">
        <v>45754</v>
      </c>
      <c r="D379" s="19" t="s">
        <v>134</v>
      </c>
      <c r="E379" s="332" t="s">
        <v>125</v>
      </c>
      <c r="F379" s="19" t="s">
        <v>140</v>
      </c>
      <c r="G379" s="19" t="s">
        <v>135</v>
      </c>
      <c r="H379" s="332">
        <v>1500</v>
      </c>
      <c r="I379" s="21"/>
      <c r="J379" s="21"/>
      <c r="K379" s="21"/>
      <c r="L379" s="21"/>
      <c r="M379" s="21"/>
      <c r="N379" s="21"/>
      <c r="O379" s="21"/>
      <c r="P379" s="21"/>
      <c r="Q379" s="21"/>
      <c r="R379" s="22"/>
      <c r="S379" s="21"/>
      <c r="T379" s="21"/>
      <c r="U379" s="21"/>
      <c r="V379" s="21"/>
      <c r="W379" s="21"/>
      <c r="X379" s="21"/>
      <c r="Y379" s="21"/>
      <c r="Z379" s="21"/>
      <c r="AA379" s="21"/>
      <c r="AB379" s="23" t="e">
        <f>100/(SUM(I379:Z379))</f>
        <v>#DIV/0!</v>
      </c>
      <c r="AC379" s="259">
        <f>SUM(I379:AA379)</f>
        <v>0</v>
      </c>
      <c r="AD379" s="21"/>
      <c r="AE379" s="24"/>
      <c r="AF379" s="24"/>
      <c r="AG379" s="25" t="s">
        <v>136</v>
      </c>
      <c r="AH379" s="26"/>
      <c r="AI379" s="219" t="s">
        <v>1794</v>
      </c>
      <c r="AJ379" s="219" t="s">
        <v>1795</v>
      </c>
      <c r="AK379" s="19" t="s">
        <v>1803</v>
      </c>
      <c r="AL379" s="25">
        <f>(B379-DATE(1970,1,1))*86400</f>
        <v>1743379200</v>
      </c>
      <c r="AM379" s="25">
        <f>(C379-DATE(1970,1,1))*86400</f>
        <v>1743984000</v>
      </c>
      <c r="AN379" s="25">
        <f>AVERAGE(AL379:AM379)</f>
        <v>1743681600</v>
      </c>
    </row>
    <row r="380" spans="1:65" x14ac:dyDescent="0.2">
      <c r="A380" s="285" t="s">
        <v>133</v>
      </c>
      <c r="B380" s="34">
        <v>45744</v>
      </c>
      <c r="C380" s="34">
        <v>45751</v>
      </c>
      <c r="D380" s="33" t="s">
        <v>143</v>
      </c>
      <c r="E380" s="319" t="s">
        <v>125</v>
      </c>
      <c r="F380" s="33" t="s">
        <v>1816</v>
      </c>
      <c r="G380" s="33" t="s">
        <v>126</v>
      </c>
      <c r="H380" s="353">
        <v>800</v>
      </c>
      <c r="I380" s="35">
        <v>18</v>
      </c>
      <c r="J380" s="35"/>
      <c r="K380" s="35"/>
      <c r="L380" s="35"/>
      <c r="M380" s="35">
        <v>2</v>
      </c>
      <c r="N380" s="35"/>
      <c r="O380" s="35">
        <v>1</v>
      </c>
      <c r="P380" s="35">
        <v>2</v>
      </c>
      <c r="Q380" s="35"/>
      <c r="R380" s="36"/>
      <c r="S380" s="35"/>
      <c r="T380" s="35"/>
      <c r="U380" s="35"/>
      <c r="V380" s="35">
        <v>5</v>
      </c>
      <c r="W380" s="35">
        <v>1</v>
      </c>
      <c r="X380" s="35">
        <v>2</v>
      </c>
      <c r="Y380" s="35">
        <v>56</v>
      </c>
      <c r="Z380" s="35">
        <v>0</v>
      </c>
      <c r="AA380" s="35">
        <v>13</v>
      </c>
      <c r="AB380" s="37">
        <f>100/(SUM(I380:Z380))</f>
        <v>1.1494252873563218</v>
      </c>
      <c r="AC380" s="259">
        <f>SUM(I380:AA380)</f>
        <v>100</v>
      </c>
      <c r="AD380" s="35">
        <v>93</v>
      </c>
      <c r="AE380" s="35"/>
      <c r="AF380" s="35"/>
      <c r="AG380" s="33" t="s">
        <v>1813</v>
      </c>
      <c r="AH380" s="190" t="s">
        <v>1814</v>
      </c>
      <c r="AI380" s="196" t="s">
        <v>1815</v>
      </c>
      <c r="AJ380" s="190" t="s">
        <v>1818</v>
      </c>
      <c r="AK380" s="33" t="s">
        <v>1819</v>
      </c>
      <c r="AL380" s="39">
        <f>(B380-DATE(1970,1,1))*86400</f>
        <v>1743120000</v>
      </c>
      <c r="AM380" s="39">
        <f>(C380-DATE(1970,1,1))*86400</f>
        <v>1743724800</v>
      </c>
      <c r="AN380" s="39">
        <f>AVERAGE(AL380:AM380)</f>
        <v>1743422400</v>
      </c>
    </row>
    <row r="381" spans="1:65" x14ac:dyDescent="0.2">
      <c r="A381" s="285" t="s">
        <v>133</v>
      </c>
      <c r="B381" s="34">
        <v>45744</v>
      </c>
      <c r="C381" s="34">
        <v>45751</v>
      </c>
      <c r="D381" s="33" t="s">
        <v>143</v>
      </c>
      <c r="E381" s="319" t="s">
        <v>125</v>
      </c>
      <c r="F381" s="33" t="s">
        <v>1816</v>
      </c>
      <c r="G381" s="33" t="s">
        <v>126</v>
      </c>
      <c r="H381" s="353">
        <v>800</v>
      </c>
      <c r="I381" s="35">
        <v>21</v>
      </c>
      <c r="J381" s="35"/>
      <c r="K381" s="35"/>
      <c r="L381" s="35"/>
      <c r="M381" s="35">
        <v>2</v>
      </c>
      <c r="N381" s="35"/>
      <c r="O381" s="35">
        <v>1</v>
      </c>
      <c r="P381" s="35">
        <v>2</v>
      </c>
      <c r="Q381" s="35"/>
      <c r="R381" s="36"/>
      <c r="S381" s="35"/>
      <c r="T381" s="35"/>
      <c r="U381" s="35"/>
      <c r="V381" s="35">
        <v>6</v>
      </c>
      <c r="W381" s="35">
        <v>1</v>
      </c>
      <c r="X381" s="35">
        <v>2</v>
      </c>
      <c r="Y381" s="35">
        <v>65</v>
      </c>
      <c r="Z381" s="35">
        <v>2</v>
      </c>
      <c r="AA381" s="35">
        <v>0</v>
      </c>
      <c r="AB381" s="37">
        <f>100/(SUM(I381:Z381))</f>
        <v>0.98039215686274506</v>
      </c>
      <c r="AC381" s="259">
        <f>SUM(I381:AA381)</f>
        <v>102</v>
      </c>
      <c r="AD381" s="35"/>
      <c r="AE381" s="35"/>
      <c r="AF381" s="35"/>
      <c r="AG381" s="33" t="s">
        <v>1813</v>
      </c>
      <c r="AH381" s="190" t="s">
        <v>1814</v>
      </c>
      <c r="AI381" s="196" t="s">
        <v>1815</v>
      </c>
      <c r="AJ381" s="190" t="s">
        <v>1818</v>
      </c>
      <c r="AK381" s="33" t="s">
        <v>2415</v>
      </c>
      <c r="AL381" s="39">
        <f>(B381-DATE(1970,1,1))*86400</f>
        <v>1743120000</v>
      </c>
      <c r="AM381" s="39">
        <f>(C381-DATE(1970,1,1))*86400</f>
        <v>1743724800</v>
      </c>
      <c r="AN381" s="39">
        <f>AVERAGE(AL381:AM381)</f>
        <v>1743422400</v>
      </c>
    </row>
    <row r="382" spans="1:65" ht="15.75" customHeight="1" x14ac:dyDescent="0.2">
      <c r="A382" s="285" t="s">
        <v>123</v>
      </c>
      <c r="B382" s="34">
        <v>45744</v>
      </c>
      <c r="C382" s="34">
        <v>45751</v>
      </c>
      <c r="D382" s="33" t="s">
        <v>143</v>
      </c>
      <c r="E382" s="319" t="s">
        <v>125</v>
      </c>
      <c r="F382" s="33" t="s">
        <v>1816</v>
      </c>
      <c r="G382" s="33" t="s">
        <v>126</v>
      </c>
      <c r="H382" s="353">
        <v>800</v>
      </c>
      <c r="I382" s="35">
        <v>21</v>
      </c>
      <c r="J382" s="35"/>
      <c r="K382" s="35"/>
      <c r="L382" s="35"/>
      <c r="M382" s="35">
        <v>2</v>
      </c>
      <c r="N382" s="35"/>
      <c r="O382" s="35">
        <v>1</v>
      </c>
      <c r="P382" s="35">
        <v>2</v>
      </c>
      <c r="Q382" s="35"/>
      <c r="R382" s="36"/>
      <c r="S382" s="35"/>
      <c r="T382" s="35"/>
      <c r="U382" s="35"/>
      <c r="V382" s="35">
        <v>5</v>
      </c>
      <c r="W382" s="35">
        <v>1</v>
      </c>
      <c r="X382" s="35">
        <v>2</v>
      </c>
      <c r="Y382" s="35">
        <v>66</v>
      </c>
      <c r="Z382" s="35">
        <v>2</v>
      </c>
      <c r="AA382" s="35">
        <v>0</v>
      </c>
      <c r="AB382" s="37">
        <f>100/(SUM(I382:Z382))</f>
        <v>0.98039215686274506</v>
      </c>
      <c r="AC382" s="259">
        <f>SUM(I382:AA382)</f>
        <v>102</v>
      </c>
      <c r="AD382" s="35"/>
      <c r="AE382" s="35"/>
      <c r="AF382" s="35"/>
      <c r="AG382" s="33" t="s">
        <v>1813</v>
      </c>
      <c r="AH382" s="190" t="s">
        <v>1814</v>
      </c>
      <c r="AI382" s="196" t="s">
        <v>1815</v>
      </c>
      <c r="AJ382" s="190" t="s">
        <v>1818</v>
      </c>
      <c r="AK382" s="33" t="s">
        <v>1817</v>
      </c>
      <c r="AL382" s="39">
        <f>(B382-DATE(1970,1,1))*86400</f>
        <v>1743120000</v>
      </c>
      <c r="AM382" s="39">
        <f>(C382-DATE(1970,1,1))*86400</f>
        <v>1743724800</v>
      </c>
      <c r="AN382" s="39">
        <f>AVERAGE(AL382:AM382)</f>
        <v>1743422400</v>
      </c>
    </row>
    <row r="383" spans="1:65" x14ac:dyDescent="0.2">
      <c r="A383" s="288" t="s">
        <v>133</v>
      </c>
      <c r="B383" s="60">
        <v>45742</v>
      </c>
      <c r="C383" s="60">
        <v>45748</v>
      </c>
      <c r="D383" s="61" t="s">
        <v>168</v>
      </c>
      <c r="E383" s="334" t="s">
        <v>125</v>
      </c>
      <c r="F383" s="218"/>
      <c r="G383" s="61" t="s">
        <v>126</v>
      </c>
      <c r="H383" s="334">
        <v>1000</v>
      </c>
      <c r="I383" s="63">
        <v>27</v>
      </c>
      <c r="J383" s="63">
        <v>1</v>
      </c>
      <c r="K383" s="63">
        <v>0</v>
      </c>
      <c r="L383" s="63">
        <v>1</v>
      </c>
      <c r="M383" s="63">
        <v>6</v>
      </c>
      <c r="N383" s="63"/>
      <c r="O383" s="63">
        <v>1</v>
      </c>
      <c r="P383" s="63">
        <v>3</v>
      </c>
      <c r="Q383" s="63"/>
      <c r="R383" s="64"/>
      <c r="S383" s="63"/>
      <c r="T383" s="63"/>
      <c r="U383" s="63"/>
      <c r="V383" s="63">
        <v>4</v>
      </c>
      <c r="W383" s="63"/>
      <c r="X383" s="63">
        <v>5</v>
      </c>
      <c r="Y383" s="63">
        <v>29</v>
      </c>
      <c r="Z383" s="63">
        <v>1</v>
      </c>
      <c r="AA383" s="63">
        <v>23</v>
      </c>
      <c r="AB383" s="65">
        <f>100/(SUM(I383:Z383))</f>
        <v>1.2820512820512822</v>
      </c>
      <c r="AC383" s="259">
        <f>SUM(I383:AA383)</f>
        <v>101</v>
      </c>
      <c r="AD383" s="63">
        <v>64</v>
      </c>
      <c r="AE383" s="64"/>
      <c r="AF383" s="64"/>
      <c r="AG383" s="66" t="s">
        <v>127</v>
      </c>
      <c r="AH383" s="67" t="s">
        <v>1774</v>
      </c>
      <c r="AI383" s="200" t="s">
        <v>1775</v>
      </c>
      <c r="AJ383" s="67" t="s">
        <v>1772</v>
      </c>
      <c r="AK383" s="61" t="s">
        <v>1776</v>
      </c>
      <c r="AL383" s="66">
        <f>(B383-DATE(1970,1,1))*86400</f>
        <v>1742947200</v>
      </c>
      <c r="AM383" s="66">
        <f>(C383-DATE(1970,1,1))*86400</f>
        <v>1743465600</v>
      </c>
      <c r="AN383" s="66">
        <f>AVERAGE(AL383:AM383)</f>
        <v>1743206400</v>
      </c>
    </row>
    <row r="384" spans="1:65" x14ac:dyDescent="0.2">
      <c r="A384" s="288" t="s">
        <v>133</v>
      </c>
      <c r="B384" s="60">
        <v>45742</v>
      </c>
      <c r="C384" s="60">
        <v>45748</v>
      </c>
      <c r="D384" s="61" t="s">
        <v>168</v>
      </c>
      <c r="E384" s="334" t="s">
        <v>125</v>
      </c>
      <c r="F384" s="218"/>
      <c r="G384" s="61" t="s">
        <v>126</v>
      </c>
      <c r="H384" s="334">
        <v>1000</v>
      </c>
      <c r="I384" s="63">
        <v>35</v>
      </c>
      <c r="J384" s="63">
        <v>1</v>
      </c>
      <c r="K384" s="63">
        <v>0</v>
      </c>
      <c r="L384" s="63">
        <v>1</v>
      </c>
      <c r="M384" s="63">
        <v>7</v>
      </c>
      <c r="N384" s="63"/>
      <c r="O384" s="63">
        <v>1</v>
      </c>
      <c r="P384" s="63">
        <v>4</v>
      </c>
      <c r="Q384" s="63"/>
      <c r="R384" s="64"/>
      <c r="S384" s="63"/>
      <c r="T384" s="63"/>
      <c r="U384" s="63"/>
      <c r="V384" s="63">
        <v>5</v>
      </c>
      <c r="W384" s="63"/>
      <c r="X384" s="63">
        <v>6</v>
      </c>
      <c r="Y384" s="63">
        <v>38</v>
      </c>
      <c r="Z384" s="63">
        <v>1</v>
      </c>
      <c r="AA384" s="63">
        <v>0</v>
      </c>
      <c r="AB384" s="65">
        <f>100/(SUM(I384:Z384))</f>
        <v>1.0101010101010102</v>
      </c>
      <c r="AC384" s="259">
        <f>SUM(I384:AA384)</f>
        <v>99</v>
      </c>
      <c r="AD384" s="63"/>
      <c r="AE384" s="64"/>
      <c r="AF384" s="64"/>
      <c r="AG384" s="66" t="s">
        <v>127</v>
      </c>
      <c r="AH384" s="67" t="s">
        <v>1774</v>
      </c>
      <c r="AI384" s="200" t="s">
        <v>1775</v>
      </c>
      <c r="AJ384" s="67" t="s">
        <v>1773</v>
      </c>
      <c r="AK384" s="61" t="s">
        <v>1787</v>
      </c>
      <c r="AL384" s="66">
        <f>(B384-DATE(1970,1,1))*86400</f>
        <v>1742947200</v>
      </c>
      <c r="AM384" s="66">
        <f>(C384-DATE(1970,1,1))*86400</f>
        <v>1743465600</v>
      </c>
      <c r="AN384" s="66">
        <f>AVERAGE(AL384:AM384)</f>
        <v>1743206400</v>
      </c>
    </row>
    <row r="385" spans="1:65" x14ac:dyDescent="0.2">
      <c r="A385" s="288" t="s">
        <v>123</v>
      </c>
      <c r="B385" s="60">
        <v>45742</v>
      </c>
      <c r="C385" s="60">
        <v>45748</v>
      </c>
      <c r="D385" s="61" t="s">
        <v>168</v>
      </c>
      <c r="E385" s="334" t="s">
        <v>125</v>
      </c>
      <c r="F385" s="218"/>
      <c r="G385" s="61" t="s">
        <v>126</v>
      </c>
      <c r="H385" s="334">
        <v>1000</v>
      </c>
      <c r="I385" s="63">
        <v>33</v>
      </c>
      <c r="J385" s="63">
        <v>1</v>
      </c>
      <c r="K385" s="63">
        <v>0</v>
      </c>
      <c r="L385" s="63">
        <v>1</v>
      </c>
      <c r="M385" s="63">
        <v>7</v>
      </c>
      <c r="N385" s="63"/>
      <c r="O385" s="63">
        <v>1</v>
      </c>
      <c r="P385" s="63">
        <v>4</v>
      </c>
      <c r="Q385" s="63"/>
      <c r="R385" s="64"/>
      <c r="S385" s="63"/>
      <c r="T385" s="63"/>
      <c r="U385" s="63"/>
      <c r="V385" s="63">
        <v>5</v>
      </c>
      <c r="W385" s="63"/>
      <c r="X385" s="63">
        <v>6</v>
      </c>
      <c r="Y385" s="63">
        <v>40</v>
      </c>
      <c r="Z385" s="63">
        <v>1</v>
      </c>
      <c r="AA385" s="63">
        <v>0</v>
      </c>
      <c r="AB385" s="65">
        <f>100/(SUM(I385:Z385))</f>
        <v>1.0101010101010102</v>
      </c>
      <c r="AC385" s="259">
        <f>SUM(I385:AA385)</f>
        <v>99</v>
      </c>
      <c r="AD385" s="63"/>
      <c r="AE385" s="64"/>
      <c r="AF385" s="64"/>
      <c r="AG385" s="66" t="s">
        <v>127</v>
      </c>
      <c r="AH385" s="67" t="s">
        <v>1774</v>
      </c>
      <c r="AI385" s="200" t="s">
        <v>1775</v>
      </c>
      <c r="AJ385" s="67" t="s">
        <v>1773</v>
      </c>
      <c r="AK385" s="61" t="s">
        <v>1786</v>
      </c>
      <c r="AL385" s="66">
        <f>(B385-DATE(1970,1,1))*86400</f>
        <v>1742947200</v>
      </c>
      <c r="AM385" s="66">
        <f>(C385-DATE(1970,1,1))*86400</f>
        <v>1743465600</v>
      </c>
      <c r="AN385" s="66">
        <f>AVERAGE(AL385:AM385)</f>
        <v>1743206400</v>
      </c>
    </row>
    <row r="386" spans="1:65" ht="15.75" customHeight="1" x14ac:dyDescent="0.2">
      <c r="A386" s="287" t="s">
        <v>133</v>
      </c>
      <c r="B386" s="70">
        <v>45741</v>
      </c>
      <c r="C386" s="70">
        <v>45747</v>
      </c>
      <c r="D386" s="69" t="s">
        <v>183</v>
      </c>
      <c r="E386" s="333" t="s">
        <v>125</v>
      </c>
      <c r="F386" s="69" t="s">
        <v>2508</v>
      </c>
      <c r="G386" s="69" t="s">
        <v>126</v>
      </c>
      <c r="H386" s="360">
        <v>800</v>
      </c>
      <c r="I386" s="71">
        <v>36</v>
      </c>
      <c r="J386" s="71"/>
      <c r="K386" s="71"/>
      <c r="L386" s="71"/>
      <c r="M386" s="71">
        <v>3</v>
      </c>
      <c r="N386" s="71"/>
      <c r="O386" s="71"/>
      <c r="P386" s="71">
        <v>3</v>
      </c>
      <c r="Q386" s="71"/>
      <c r="R386" s="72"/>
      <c r="S386" s="71"/>
      <c r="T386" s="71"/>
      <c r="U386" s="71"/>
      <c r="V386" s="71">
        <v>6</v>
      </c>
      <c r="W386" s="71"/>
      <c r="X386" s="71">
        <v>5</v>
      </c>
      <c r="Y386" s="71">
        <v>47</v>
      </c>
      <c r="Z386" s="71"/>
      <c r="AA386" s="71">
        <v>0</v>
      </c>
      <c r="AB386" s="73">
        <f>100/(SUM(I386:Z386))</f>
        <v>1</v>
      </c>
      <c r="AC386" s="259">
        <f>SUM(I386:AA386)</f>
        <v>100</v>
      </c>
      <c r="AD386" s="71"/>
      <c r="AE386" s="71"/>
      <c r="AF386" s="71"/>
      <c r="AG386" s="74" t="s">
        <v>1808</v>
      </c>
      <c r="AH386" s="199" t="s">
        <v>1807</v>
      </c>
      <c r="AI386" s="75"/>
      <c r="AJ386" s="75"/>
      <c r="AK386" s="69" t="s">
        <v>1823</v>
      </c>
      <c r="AL386" s="74">
        <f>(B386-DATE(1970,1,1))*86400</f>
        <v>1742860800</v>
      </c>
      <c r="AM386" s="74">
        <f>(C386-DATE(1970,1,1))*86400</f>
        <v>1743379200</v>
      </c>
      <c r="AN386" s="74">
        <f>AVERAGE(AL386:AM386)</f>
        <v>1743120000</v>
      </c>
    </row>
    <row r="387" spans="1:65" x14ac:dyDescent="0.2">
      <c r="A387" s="286" t="s">
        <v>133</v>
      </c>
      <c r="B387" s="41">
        <v>45732</v>
      </c>
      <c r="C387" s="41">
        <v>45741</v>
      </c>
      <c r="D387" s="40" t="s">
        <v>148</v>
      </c>
      <c r="E387" s="325" t="s">
        <v>125</v>
      </c>
      <c r="F387" s="40"/>
      <c r="G387" s="40" t="s">
        <v>149</v>
      </c>
      <c r="H387" s="325">
        <v>1000</v>
      </c>
      <c r="I387" s="42">
        <v>26</v>
      </c>
      <c r="J387" s="42">
        <v>1</v>
      </c>
      <c r="K387" s="42">
        <v>1</v>
      </c>
      <c r="L387" s="42">
        <v>1</v>
      </c>
      <c r="M387" s="42">
        <v>6</v>
      </c>
      <c r="N387" s="42"/>
      <c r="O387" s="42">
        <v>1</v>
      </c>
      <c r="P387" s="42">
        <v>2</v>
      </c>
      <c r="Q387" s="42"/>
      <c r="R387" s="43"/>
      <c r="S387" s="42">
        <v>1</v>
      </c>
      <c r="T387" s="42"/>
      <c r="U387" s="42"/>
      <c r="V387" s="42">
        <v>3</v>
      </c>
      <c r="W387" s="42">
        <v>0</v>
      </c>
      <c r="X387" s="42">
        <v>5</v>
      </c>
      <c r="Y387" s="42">
        <v>29</v>
      </c>
      <c r="Z387" s="42">
        <v>2</v>
      </c>
      <c r="AA387" s="42">
        <v>22</v>
      </c>
      <c r="AB387" s="44">
        <f>100/(SUM(I387:Z387))</f>
        <v>1.2820512820512822</v>
      </c>
      <c r="AC387" s="259">
        <f>SUM(I387:AA387)</f>
        <v>100</v>
      </c>
      <c r="AD387" s="42"/>
      <c r="AE387" s="43"/>
      <c r="AF387" s="43"/>
      <c r="AG387" s="45" t="s">
        <v>1820</v>
      </c>
      <c r="AH387" s="46" t="s">
        <v>1766</v>
      </c>
      <c r="AI387" s="46" t="s">
        <v>1767</v>
      </c>
      <c r="AJ387" s="46" t="s">
        <v>1821</v>
      </c>
      <c r="AK387" s="40" t="s">
        <v>151</v>
      </c>
      <c r="AL387" s="45">
        <f>(B387-DATE(1970,1,1))*86400</f>
        <v>1742083200</v>
      </c>
      <c r="AM387" s="45">
        <f>(C387-DATE(1970,1,1))*86400</f>
        <v>1742860800</v>
      </c>
      <c r="AN387" s="45">
        <f>AVERAGE(AL387:AM387)</f>
        <v>1742472000</v>
      </c>
    </row>
    <row r="388" spans="1:65" ht="15.75" customHeight="1" x14ac:dyDescent="0.2">
      <c r="A388" s="286" t="s">
        <v>123</v>
      </c>
      <c r="B388" s="41">
        <v>45732</v>
      </c>
      <c r="C388" s="41">
        <v>45741</v>
      </c>
      <c r="D388" s="40" t="s">
        <v>148</v>
      </c>
      <c r="E388" s="325" t="s">
        <v>125</v>
      </c>
      <c r="F388" s="40"/>
      <c r="G388" s="40" t="s">
        <v>149</v>
      </c>
      <c r="H388" s="325">
        <v>1000</v>
      </c>
      <c r="I388" s="42">
        <v>35</v>
      </c>
      <c r="J388" s="42">
        <v>2</v>
      </c>
      <c r="K388" s="42">
        <v>0</v>
      </c>
      <c r="L388" s="42">
        <v>0</v>
      </c>
      <c r="M388" s="42">
        <v>7</v>
      </c>
      <c r="N388" s="42"/>
      <c r="O388" s="42">
        <v>1</v>
      </c>
      <c r="P388" s="42">
        <v>4</v>
      </c>
      <c r="Q388" s="42"/>
      <c r="R388" s="43"/>
      <c r="S388" s="42">
        <v>2</v>
      </c>
      <c r="T388" s="42"/>
      <c r="U388" s="42"/>
      <c r="V388" s="42">
        <v>2</v>
      </c>
      <c r="W388" s="42">
        <v>0</v>
      </c>
      <c r="X388" s="42">
        <v>6</v>
      </c>
      <c r="Y388" s="42">
        <v>40</v>
      </c>
      <c r="Z388" s="42">
        <v>2</v>
      </c>
      <c r="AA388" s="42">
        <v>0</v>
      </c>
      <c r="AB388" s="44">
        <f>100/(SUM(I388:Z388))</f>
        <v>0.99009900990099009</v>
      </c>
      <c r="AC388" s="259">
        <f>SUM(I388:AA388)</f>
        <v>101</v>
      </c>
      <c r="AD388" s="42"/>
      <c r="AE388" s="43"/>
      <c r="AF388" s="43"/>
      <c r="AG388" s="45" t="s">
        <v>1820</v>
      </c>
      <c r="AH388" s="189" t="s">
        <v>1766</v>
      </c>
      <c r="AI388" s="46" t="s">
        <v>1767</v>
      </c>
      <c r="AJ388" s="46" t="s">
        <v>1821</v>
      </c>
      <c r="AK388" s="40" t="s">
        <v>1822</v>
      </c>
      <c r="AL388" s="45">
        <f>(B388-DATE(1970,1,1))*86400</f>
        <v>1742083200</v>
      </c>
      <c r="AM388" s="45">
        <f>(C388-DATE(1970,1,1))*86400</f>
        <v>1742860800</v>
      </c>
      <c r="AN388" s="45">
        <f>AVERAGE(AL388:AM388)</f>
        <v>1742472000</v>
      </c>
    </row>
    <row r="389" spans="1:65" ht="15.75" customHeight="1" x14ac:dyDescent="0.2">
      <c r="A389" s="279" t="s">
        <v>133</v>
      </c>
      <c r="B389" s="14">
        <v>45726</v>
      </c>
      <c r="C389" s="14">
        <v>45728</v>
      </c>
      <c r="D389" s="13" t="s">
        <v>124</v>
      </c>
      <c r="E389" s="324" t="s">
        <v>125</v>
      </c>
      <c r="F389" s="13"/>
      <c r="G389" s="13" t="s">
        <v>126</v>
      </c>
      <c r="H389" s="349">
        <v>1000</v>
      </c>
      <c r="I389" s="15">
        <v>37</v>
      </c>
      <c r="J389" s="15"/>
      <c r="K389" s="15"/>
      <c r="L389" s="15"/>
      <c r="M389" s="15">
        <v>2</v>
      </c>
      <c r="N389" s="15"/>
      <c r="O389" s="15"/>
      <c r="P389" s="15">
        <v>1</v>
      </c>
      <c r="Q389" s="15"/>
      <c r="R389" s="15"/>
      <c r="S389" s="15"/>
      <c r="T389" s="15"/>
      <c r="U389" s="15"/>
      <c r="V389" s="15">
        <v>4</v>
      </c>
      <c r="W389" s="15"/>
      <c r="X389" s="15">
        <v>6</v>
      </c>
      <c r="Y389" s="15">
        <v>25</v>
      </c>
      <c r="Z389" s="15">
        <v>7</v>
      </c>
      <c r="AA389" s="15">
        <v>18</v>
      </c>
      <c r="AB389" s="16">
        <f>100/(SUM(I389:Z389))</f>
        <v>1.2195121951219512</v>
      </c>
      <c r="AC389" s="259">
        <f>SUM(I389:AA389)</f>
        <v>100</v>
      </c>
      <c r="AD389" s="15"/>
      <c r="AE389" s="15"/>
      <c r="AF389" s="15"/>
      <c r="AG389" s="17" t="s">
        <v>127</v>
      </c>
      <c r="AH389" s="201" t="s">
        <v>1754</v>
      </c>
      <c r="AI389" s="201" t="s">
        <v>1764</v>
      </c>
      <c r="AJ389" s="18" t="s">
        <v>1765</v>
      </c>
      <c r="AK389" s="13" t="s">
        <v>1761</v>
      </c>
      <c r="AL389" s="17">
        <f>(B389-DATE(1970,1,1))*86400</f>
        <v>1741564800</v>
      </c>
      <c r="AM389" s="17">
        <f>(C389-DATE(1970,1,1))*86400</f>
        <v>1741737600</v>
      </c>
      <c r="AN389" s="17">
        <f>AVERAGE(AL389:AM389)</f>
        <v>1741651200</v>
      </c>
    </row>
    <row r="390" spans="1:65" s="6" customFormat="1" x14ac:dyDescent="0.2">
      <c r="A390" s="279" t="s">
        <v>123</v>
      </c>
      <c r="B390" s="14">
        <v>45726</v>
      </c>
      <c r="C390" s="14">
        <v>45728</v>
      </c>
      <c r="D390" s="13" t="s">
        <v>124</v>
      </c>
      <c r="E390" s="324" t="s">
        <v>125</v>
      </c>
      <c r="F390" s="13"/>
      <c r="G390" s="13" t="s">
        <v>126</v>
      </c>
      <c r="H390" s="349">
        <v>1000</v>
      </c>
      <c r="I390" s="15">
        <v>45</v>
      </c>
      <c r="J390" s="15"/>
      <c r="K390" s="15"/>
      <c r="L390" s="15"/>
      <c r="M390" s="15">
        <v>4</v>
      </c>
      <c r="N390" s="15"/>
      <c r="O390" s="15"/>
      <c r="P390" s="15">
        <v>1</v>
      </c>
      <c r="Q390" s="15"/>
      <c r="R390" s="15"/>
      <c r="S390" s="15"/>
      <c r="T390" s="15"/>
      <c r="U390" s="15"/>
      <c r="V390" s="15">
        <v>3</v>
      </c>
      <c r="W390" s="15"/>
      <c r="X390" s="15">
        <v>9</v>
      </c>
      <c r="Y390" s="15">
        <v>35</v>
      </c>
      <c r="Z390" s="15">
        <v>3</v>
      </c>
      <c r="AA390" s="15">
        <v>0</v>
      </c>
      <c r="AB390" s="16">
        <f>100/(SUM(I390:Z390))</f>
        <v>1</v>
      </c>
      <c r="AC390" s="259">
        <f>SUM(I390:AA390)</f>
        <v>100</v>
      </c>
      <c r="AD390" s="15"/>
      <c r="AE390" s="15"/>
      <c r="AF390" s="15"/>
      <c r="AG390" s="17" t="s">
        <v>127</v>
      </c>
      <c r="AH390" s="18" t="s">
        <v>1755</v>
      </c>
      <c r="AI390" s="201" t="s">
        <v>1768</v>
      </c>
      <c r="AJ390" s="18" t="s">
        <v>1756</v>
      </c>
      <c r="AK390" s="13" t="s">
        <v>1723</v>
      </c>
      <c r="AL390" s="17">
        <f>(B390-DATE(1970,1,1))*86400</f>
        <v>1741564800</v>
      </c>
      <c r="AM390" s="17">
        <f>(C390-DATE(1970,1,1))*86400</f>
        <v>1741737600</v>
      </c>
      <c r="AN390" s="17">
        <f>AVERAGE(AL390:AM390)</f>
        <v>1741651200</v>
      </c>
      <c r="AO390"/>
      <c r="AP390"/>
      <c r="AQ390"/>
      <c r="AR390"/>
      <c r="AS390"/>
      <c r="AT390"/>
      <c r="AU390"/>
      <c r="AV390"/>
      <c r="AW390"/>
      <c r="AX390"/>
      <c r="AY390"/>
      <c r="AZ390"/>
      <c r="BA390"/>
      <c r="BB390"/>
      <c r="BC390"/>
      <c r="BD390"/>
      <c r="BE390"/>
      <c r="BF390"/>
      <c r="BG390"/>
      <c r="BH390"/>
      <c r="BI390"/>
      <c r="BJ390"/>
      <c r="BK390"/>
      <c r="BL390"/>
      <c r="BM390"/>
    </row>
    <row r="391" spans="1:65" x14ac:dyDescent="0.2">
      <c r="A391" s="281" t="s">
        <v>133</v>
      </c>
      <c r="B391" s="54">
        <v>45721</v>
      </c>
      <c r="C391" s="54">
        <v>45727</v>
      </c>
      <c r="D391" s="53" t="s">
        <v>154</v>
      </c>
      <c r="E391" s="323" t="s">
        <v>125</v>
      </c>
      <c r="F391" s="53"/>
      <c r="G391" s="53" t="s">
        <v>126</v>
      </c>
      <c r="H391" s="357">
        <v>1000</v>
      </c>
      <c r="I391" s="55">
        <v>26</v>
      </c>
      <c r="J391" s="55">
        <v>2</v>
      </c>
      <c r="K391" s="55">
        <v>0</v>
      </c>
      <c r="L391" s="55">
        <v>0</v>
      </c>
      <c r="M391" s="55">
        <v>6</v>
      </c>
      <c r="N391" s="55"/>
      <c r="O391" s="55">
        <v>0</v>
      </c>
      <c r="P391" s="55">
        <v>0</v>
      </c>
      <c r="Q391" s="55"/>
      <c r="R391" s="56"/>
      <c r="S391" s="55"/>
      <c r="T391" s="55"/>
      <c r="U391" s="55">
        <v>1</v>
      </c>
      <c r="V391" s="55">
        <v>1</v>
      </c>
      <c r="W391" s="55"/>
      <c r="X391" s="55">
        <v>3</v>
      </c>
      <c r="Y391" s="55">
        <v>28</v>
      </c>
      <c r="Z391" s="55">
        <v>0</v>
      </c>
      <c r="AA391" s="55">
        <v>33</v>
      </c>
      <c r="AB391" s="57">
        <f>100/(SUM(I391:Z391))</f>
        <v>1.4925373134328359</v>
      </c>
      <c r="AC391" s="259">
        <f>SUM(I391:AA391)</f>
        <v>100</v>
      </c>
      <c r="AD391" s="55">
        <v>87</v>
      </c>
      <c r="AE391" s="55"/>
      <c r="AF391" s="55"/>
      <c r="AG391" s="58" t="s">
        <v>155</v>
      </c>
      <c r="AH391" s="59" t="s">
        <v>1752</v>
      </c>
      <c r="AI391" s="186" t="s">
        <v>1753</v>
      </c>
      <c r="AJ391" s="186"/>
      <c r="AK391" s="53" t="s">
        <v>1761</v>
      </c>
      <c r="AL391" s="58">
        <f>(B391-DATE(1970,1,1))*86400</f>
        <v>1741132800</v>
      </c>
      <c r="AM391" s="58">
        <f>(C391-DATE(1970,1,1))*86400</f>
        <v>1741651200</v>
      </c>
      <c r="AN391" s="58">
        <f>AVERAGE(AL391:AM391)</f>
        <v>1741392000</v>
      </c>
    </row>
    <row r="392" spans="1:65" x14ac:dyDescent="0.2">
      <c r="A392" s="281" t="s">
        <v>123</v>
      </c>
      <c r="B392" s="54">
        <v>45721</v>
      </c>
      <c r="C392" s="54">
        <v>45727</v>
      </c>
      <c r="D392" s="53" t="s">
        <v>154</v>
      </c>
      <c r="E392" s="323" t="s">
        <v>125</v>
      </c>
      <c r="F392" s="53"/>
      <c r="G392" s="53" t="s">
        <v>126</v>
      </c>
      <c r="H392" s="357">
        <v>1000</v>
      </c>
      <c r="I392" s="55">
        <v>31</v>
      </c>
      <c r="J392" s="55">
        <v>2</v>
      </c>
      <c r="K392" s="55">
        <v>0</v>
      </c>
      <c r="L392" s="55">
        <v>0</v>
      </c>
      <c r="M392" s="55">
        <v>8</v>
      </c>
      <c r="N392" s="55"/>
      <c r="O392" s="55">
        <v>0</v>
      </c>
      <c r="P392" s="55">
        <v>0</v>
      </c>
      <c r="Q392" s="55"/>
      <c r="R392" s="56"/>
      <c r="S392" s="55"/>
      <c r="T392" s="55"/>
      <c r="U392" s="55">
        <v>1</v>
      </c>
      <c r="V392" s="55">
        <v>1</v>
      </c>
      <c r="W392" s="55"/>
      <c r="X392" s="55">
        <v>4</v>
      </c>
      <c r="Y392" s="55">
        <v>31</v>
      </c>
      <c r="Z392" s="55">
        <v>0</v>
      </c>
      <c r="AA392" s="55">
        <v>22</v>
      </c>
      <c r="AB392" s="57">
        <f>100/(SUM(I392:Z392))</f>
        <v>1.2820512820512822</v>
      </c>
      <c r="AC392" s="259">
        <f>SUM(I392:AA392)</f>
        <v>100</v>
      </c>
      <c r="AD392" s="55"/>
      <c r="AE392" s="55"/>
      <c r="AF392" s="55"/>
      <c r="AG392" s="58" t="s">
        <v>155</v>
      </c>
      <c r="AH392" s="59" t="s">
        <v>1752</v>
      </c>
      <c r="AI392" s="186" t="s">
        <v>1753</v>
      </c>
      <c r="AJ392" s="59"/>
      <c r="AK392" s="53" t="s">
        <v>1762</v>
      </c>
      <c r="AL392" s="58">
        <f>(B392-DATE(1970,1,1))*86400</f>
        <v>1741132800</v>
      </c>
      <c r="AM392" s="58">
        <f>(C392-DATE(1970,1,1))*86400</f>
        <v>1741651200</v>
      </c>
      <c r="AN392" s="58">
        <f>AVERAGE(AL392:AM392)</f>
        <v>1741392000</v>
      </c>
    </row>
    <row r="393" spans="1:65" x14ac:dyDescent="0.2">
      <c r="A393" s="281" t="s">
        <v>123</v>
      </c>
      <c r="B393" s="54">
        <v>45721</v>
      </c>
      <c r="C393" s="54">
        <v>45727</v>
      </c>
      <c r="D393" s="53" t="s">
        <v>154</v>
      </c>
      <c r="E393" s="323" t="s">
        <v>125</v>
      </c>
      <c r="F393" s="53"/>
      <c r="G393" s="53" t="s">
        <v>126</v>
      </c>
      <c r="H393" s="357">
        <v>1000</v>
      </c>
      <c r="I393" s="55">
        <v>39</v>
      </c>
      <c r="J393" s="55">
        <v>2</v>
      </c>
      <c r="K393" s="55">
        <v>0</v>
      </c>
      <c r="L393" s="55">
        <v>0</v>
      </c>
      <c r="M393" s="55">
        <v>9</v>
      </c>
      <c r="N393" s="55"/>
      <c r="O393" s="55">
        <v>0</v>
      </c>
      <c r="P393" s="55">
        <v>0</v>
      </c>
      <c r="Q393" s="55"/>
      <c r="R393" s="56"/>
      <c r="S393" s="55"/>
      <c r="T393" s="55"/>
      <c r="U393" s="55">
        <v>2</v>
      </c>
      <c r="V393" s="55">
        <v>2</v>
      </c>
      <c r="W393" s="55"/>
      <c r="X393" s="55">
        <v>5</v>
      </c>
      <c r="Y393" s="55">
        <v>41</v>
      </c>
      <c r="Z393" s="55">
        <v>0</v>
      </c>
      <c r="AA393" s="55">
        <v>0</v>
      </c>
      <c r="AB393" s="57">
        <f>100/(SUM(I393:Z393))</f>
        <v>1</v>
      </c>
      <c r="AC393" s="259">
        <f>SUM(I393:AA393)</f>
        <v>100</v>
      </c>
      <c r="AD393" s="55"/>
      <c r="AE393" s="55"/>
      <c r="AF393" s="55"/>
      <c r="AG393" s="58" t="s">
        <v>155</v>
      </c>
      <c r="AH393" s="186" t="s">
        <v>1752</v>
      </c>
      <c r="AI393" s="186" t="s">
        <v>1753</v>
      </c>
      <c r="AJ393" s="186"/>
      <c r="AK393" s="53" t="s">
        <v>1763</v>
      </c>
      <c r="AL393" s="58">
        <f>(B393-DATE(1970,1,1))*86400</f>
        <v>1741132800</v>
      </c>
      <c r="AM393" s="58">
        <f>(C393-DATE(1970,1,1))*86400</f>
        <v>1741651200</v>
      </c>
      <c r="AN393" s="58">
        <f>AVERAGE(AL393:AM393)</f>
        <v>1741392000</v>
      </c>
    </row>
    <row r="394" spans="1:65" ht="15.75" customHeight="1" x14ac:dyDescent="0.2">
      <c r="A394" s="284" t="s">
        <v>133</v>
      </c>
      <c r="B394" s="20">
        <v>45716</v>
      </c>
      <c r="C394" s="20">
        <v>45723</v>
      </c>
      <c r="D394" s="19" t="s">
        <v>134</v>
      </c>
      <c r="E394" s="332" t="s">
        <v>125</v>
      </c>
      <c r="F394" s="19" t="s">
        <v>140</v>
      </c>
      <c r="G394" s="19" t="s">
        <v>135</v>
      </c>
      <c r="H394" s="332">
        <v>1500</v>
      </c>
      <c r="I394" s="21"/>
      <c r="J394" s="21"/>
      <c r="K394" s="21"/>
      <c r="L394" s="21"/>
      <c r="M394" s="21"/>
      <c r="N394" s="21"/>
      <c r="O394" s="21"/>
      <c r="P394" s="21"/>
      <c r="Q394" s="21"/>
      <c r="R394" s="22"/>
      <c r="S394" s="21"/>
      <c r="T394" s="21"/>
      <c r="U394" s="21"/>
      <c r="V394" s="21"/>
      <c r="W394" s="21"/>
      <c r="X394" s="21"/>
      <c r="Y394" s="21"/>
      <c r="Z394" s="21"/>
      <c r="AA394" s="21"/>
      <c r="AB394" s="23" t="e">
        <f>100/(SUM(I394:Z394))</f>
        <v>#DIV/0!</v>
      </c>
      <c r="AC394" s="259">
        <f>SUM(I394:AA394)</f>
        <v>0</v>
      </c>
      <c r="AD394" s="21"/>
      <c r="AE394" s="24"/>
      <c r="AF394" s="24"/>
      <c r="AG394" s="25" t="s">
        <v>136</v>
      </c>
      <c r="AH394" s="26" t="s">
        <v>1801</v>
      </c>
      <c r="AI394" s="26"/>
      <c r="AJ394" s="26" t="s">
        <v>1740</v>
      </c>
      <c r="AK394" s="19" t="s">
        <v>1802</v>
      </c>
      <c r="AL394" s="25">
        <f>(B394-DATE(1970,1,1))*86400</f>
        <v>1740700800</v>
      </c>
      <c r="AM394" s="25">
        <f>(C394-DATE(1970,1,1))*86400</f>
        <v>1741305600</v>
      </c>
      <c r="AN394" s="25">
        <f>AVERAGE(AL394:AM394)</f>
        <v>1741003200</v>
      </c>
    </row>
    <row r="395" spans="1:65" ht="15.75" customHeight="1" x14ac:dyDescent="0.2">
      <c r="A395" s="285" t="s">
        <v>133</v>
      </c>
      <c r="B395" s="34">
        <v>45715</v>
      </c>
      <c r="C395" s="34">
        <v>45724</v>
      </c>
      <c r="D395" s="33" t="s">
        <v>143</v>
      </c>
      <c r="E395" s="319" t="s">
        <v>125</v>
      </c>
      <c r="F395" s="33"/>
      <c r="G395" s="33" t="s">
        <v>126</v>
      </c>
      <c r="H395" s="353">
        <v>1000</v>
      </c>
      <c r="I395" s="35">
        <v>29</v>
      </c>
      <c r="J395" s="35"/>
      <c r="K395" s="35"/>
      <c r="L395" s="35"/>
      <c r="M395" s="35">
        <v>2</v>
      </c>
      <c r="N395" s="35"/>
      <c r="O395" s="35"/>
      <c r="P395" s="35"/>
      <c r="Q395" s="35"/>
      <c r="R395" s="36"/>
      <c r="S395" s="35"/>
      <c r="T395" s="35"/>
      <c r="U395" s="35"/>
      <c r="V395" s="35">
        <v>3</v>
      </c>
      <c r="W395" s="35"/>
      <c r="X395" s="35">
        <v>5</v>
      </c>
      <c r="Y395" s="35">
        <v>33</v>
      </c>
      <c r="Z395" s="35">
        <v>4</v>
      </c>
      <c r="AA395" s="35">
        <v>24</v>
      </c>
      <c r="AB395" s="37">
        <f>100/(SUM(I395:Z395))</f>
        <v>1.3157894736842106</v>
      </c>
      <c r="AC395" s="259">
        <f>SUM(I395:AA395)</f>
        <v>100</v>
      </c>
      <c r="AD395" s="35"/>
      <c r="AE395" s="35"/>
      <c r="AF395" s="35"/>
      <c r="AG395" s="33" t="s">
        <v>144</v>
      </c>
      <c r="AH395" s="190" t="s">
        <v>1757</v>
      </c>
      <c r="AI395" s="196" t="s">
        <v>1758</v>
      </c>
      <c r="AJ395" s="190" t="s">
        <v>1759</v>
      </c>
      <c r="AK395" s="33"/>
      <c r="AL395" s="39">
        <f>(B395-DATE(1970,1,1))*86400</f>
        <v>1740614400</v>
      </c>
      <c r="AM395" s="39">
        <f>(C395-DATE(1970,1,1))*86400</f>
        <v>1741392000</v>
      </c>
      <c r="AN395" s="39">
        <f>AVERAGE(AL395:AM395)</f>
        <v>1741003200</v>
      </c>
    </row>
    <row r="396" spans="1:65" ht="15.75" customHeight="1" x14ac:dyDescent="0.2">
      <c r="A396" s="285" t="s">
        <v>133</v>
      </c>
      <c r="B396" s="34">
        <v>45715</v>
      </c>
      <c r="C396" s="34">
        <v>45724</v>
      </c>
      <c r="D396" s="33" t="s">
        <v>143</v>
      </c>
      <c r="E396" s="319" t="s">
        <v>125</v>
      </c>
      <c r="F396" s="33"/>
      <c r="G396" s="33" t="s">
        <v>126</v>
      </c>
      <c r="H396" s="353">
        <v>1000</v>
      </c>
      <c r="I396" s="35">
        <v>38</v>
      </c>
      <c r="J396" s="35"/>
      <c r="K396" s="35"/>
      <c r="L396" s="35"/>
      <c r="M396" s="35">
        <v>3</v>
      </c>
      <c r="N396" s="35"/>
      <c r="O396" s="35"/>
      <c r="P396" s="35"/>
      <c r="Q396" s="35"/>
      <c r="R396" s="36"/>
      <c r="S396" s="35"/>
      <c r="T396" s="35"/>
      <c r="U396" s="35"/>
      <c r="V396" s="35">
        <v>4</v>
      </c>
      <c r="W396" s="35"/>
      <c r="X396" s="35">
        <v>6</v>
      </c>
      <c r="Y396" s="35">
        <v>43</v>
      </c>
      <c r="Z396" s="35">
        <v>6</v>
      </c>
      <c r="AA396" s="35">
        <v>0</v>
      </c>
      <c r="AB396" s="37">
        <f>100/(SUM(I396:Z396))</f>
        <v>1</v>
      </c>
      <c r="AC396" s="259">
        <f>SUM(I396:AA396)</f>
        <v>100</v>
      </c>
      <c r="AD396" s="35"/>
      <c r="AE396" s="35"/>
      <c r="AF396" s="35"/>
      <c r="AG396" s="33" t="s">
        <v>144</v>
      </c>
      <c r="AH396" s="190" t="s">
        <v>1757</v>
      </c>
      <c r="AI396" s="196" t="s">
        <v>1758</v>
      </c>
      <c r="AJ396" s="190" t="s">
        <v>1759</v>
      </c>
      <c r="AK396" s="33"/>
      <c r="AL396" s="39">
        <f>(B396-DATE(1970,1,1))*86400</f>
        <v>1740614400</v>
      </c>
      <c r="AM396" s="39">
        <f>(C396-DATE(1970,1,1))*86400</f>
        <v>1741392000</v>
      </c>
      <c r="AN396" s="39">
        <f>AVERAGE(AL396:AM396)</f>
        <v>1741003200</v>
      </c>
    </row>
    <row r="397" spans="1:65" x14ac:dyDescent="0.2">
      <c r="A397" s="285" t="s">
        <v>123</v>
      </c>
      <c r="B397" s="34">
        <v>45715</v>
      </c>
      <c r="C397" s="34">
        <v>45724</v>
      </c>
      <c r="D397" s="33" t="s">
        <v>143</v>
      </c>
      <c r="E397" s="319" t="s">
        <v>125</v>
      </c>
      <c r="F397" s="33"/>
      <c r="G397" s="33" t="s">
        <v>126</v>
      </c>
      <c r="H397" s="353">
        <v>1000</v>
      </c>
      <c r="I397" s="35">
        <v>37</v>
      </c>
      <c r="J397" s="35"/>
      <c r="K397" s="35"/>
      <c r="L397" s="35"/>
      <c r="M397" s="35">
        <v>3</v>
      </c>
      <c r="N397" s="35"/>
      <c r="O397" s="35"/>
      <c r="P397" s="35"/>
      <c r="Q397" s="35"/>
      <c r="R397" s="36"/>
      <c r="S397" s="35"/>
      <c r="T397" s="35"/>
      <c r="U397" s="35"/>
      <c r="V397" s="35">
        <v>4</v>
      </c>
      <c r="W397" s="35"/>
      <c r="X397" s="35">
        <v>6</v>
      </c>
      <c r="Y397" s="35">
        <v>46</v>
      </c>
      <c r="Z397" s="35">
        <v>4</v>
      </c>
      <c r="AA397" s="35">
        <v>0</v>
      </c>
      <c r="AB397" s="37">
        <f>100/(SUM(I397:Z397))</f>
        <v>1</v>
      </c>
      <c r="AC397" s="259">
        <f>SUM(I397:AA397)</f>
        <v>100</v>
      </c>
      <c r="AD397" s="35"/>
      <c r="AE397" s="35"/>
      <c r="AF397" s="35"/>
      <c r="AG397" s="33" t="s">
        <v>144</v>
      </c>
      <c r="AH397" s="190" t="s">
        <v>1757</v>
      </c>
      <c r="AI397" s="196" t="s">
        <v>1758</v>
      </c>
      <c r="AJ397" s="190" t="s">
        <v>1759</v>
      </c>
      <c r="AK397" s="33" t="s">
        <v>138</v>
      </c>
      <c r="AL397" s="39">
        <f>(B397-DATE(1970,1,1))*86400</f>
        <v>1740614400</v>
      </c>
      <c r="AM397" s="39">
        <f>(C397-DATE(1970,1,1))*86400</f>
        <v>1741392000</v>
      </c>
      <c r="AN397" s="39">
        <f>AVERAGE(AL397:AM397)</f>
        <v>1741003200</v>
      </c>
    </row>
    <row r="398" spans="1:65" x14ac:dyDescent="0.2">
      <c r="A398" s="279" t="s">
        <v>123</v>
      </c>
      <c r="B398" s="14">
        <v>45712</v>
      </c>
      <c r="C398" s="14">
        <v>45714</v>
      </c>
      <c r="D398" s="13" t="s">
        <v>124</v>
      </c>
      <c r="E398" s="324" t="s">
        <v>125</v>
      </c>
      <c r="F398" s="13" t="s">
        <v>140</v>
      </c>
      <c r="G398" s="13" t="s">
        <v>126</v>
      </c>
      <c r="H398" s="349">
        <v>1000</v>
      </c>
      <c r="I398" s="15"/>
      <c r="J398" s="15"/>
      <c r="K398" s="15"/>
      <c r="L398" s="15"/>
      <c r="M398" s="15"/>
      <c r="N398" s="15"/>
      <c r="O398" s="15"/>
      <c r="P398" s="15"/>
      <c r="Q398" s="15"/>
      <c r="R398" s="15"/>
      <c r="S398" s="15"/>
      <c r="T398" s="15"/>
      <c r="U398" s="15"/>
      <c r="V398" s="15"/>
      <c r="W398" s="15"/>
      <c r="X398" s="15"/>
      <c r="Y398" s="15"/>
      <c r="Z398" s="15"/>
      <c r="AA398" s="15"/>
      <c r="AB398" s="16" t="e">
        <f>100/(SUM(I398:Z398))</f>
        <v>#DIV/0!</v>
      </c>
      <c r="AC398" s="259">
        <f>SUM(I398:AA398)</f>
        <v>0</v>
      </c>
      <c r="AD398" s="15"/>
      <c r="AE398" s="15"/>
      <c r="AF398" s="15"/>
      <c r="AG398" s="17" t="s">
        <v>127</v>
      </c>
      <c r="AH398" s="18"/>
      <c r="AI398" s="18"/>
      <c r="AJ398" s="201" t="s">
        <v>1738</v>
      </c>
      <c r="AK398" s="578" t="s">
        <v>1692</v>
      </c>
      <c r="AL398" s="17">
        <f>(B398-DATE(1970,1,1))*86400</f>
        <v>1740355200</v>
      </c>
      <c r="AM398" s="17">
        <f>(C398-DATE(1970,1,1))*86400</f>
        <v>1740528000</v>
      </c>
      <c r="AN398" s="17">
        <f>AVERAGE(AL398:AM398)</f>
        <v>1740441600</v>
      </c>
    </row>
    <row r="399" spans="1:65" ht="15.75" customHeight="1" x14ac:dyDescent="0.2">
      <c r="A399" s="295" t="s">
        <v>133</v>
      </c>
      <c r="B399" s="210">
        <v>45712</v>
      </c>
      <c r="C399" s="210">
        <v>45714</v>
      </c>
      <c r="D399" s="211" t="s">
        <v>152</v>
      </c>
      <c r="E399" s="340" t="s">
        <v>125</v>
      </c>
      <c r="F399" s="209" t="s">
        <v>140</v>
      </c>
      <c r="G399" s="209" t="s">
        <v>126</v>
      </c>
      <c r="H399" s="361">
        <v>1000</v>
      </c>
      <c r="I399" s="212"/>
      <c r="J399" s="212"/>
      <c r="K399" s="212"/>
      <c r="L399" s="212"/>
      <c r="M399" s="212"/>
      <c r="N399" s="212"/>
      <c r="O399" s="212"/>
      <c r="P399" s="212"/>
      <c r="Q399" s="212"/>
      <c r="R399" s="212"/>
      <c r="S399" s="212"/>
      <c r="T399" s="212"/>
      <c r="U399" s="212"/>
      <c r="V399" s="212"/>
      <c r="W399" s="212"/>
      <c r="X399" s="212"/>
      <c r="Y399" s="212"/>
      <c r="Z399" s="212"/>
      <c r="AA399" s="212" t="s">
        <v>1929</v>
      </c>
      <c r="AB399" s="213" t="e">
        <f>100/(SUM(I399:Z399))</f>
        <v>#DIV/0!</v>
      </c>
      <c r="AC399" s="259">
        <f>SUM(I399:AA399)</f>
        <v>0</v>
      </c>
      <c r="AD399" s="212"/>
      <c r="AE399" s="212"/>
      <c r="AF399" s="212"/>
      <c r="AG399" s="214" t="s">
        <v>127</v>
      </c>
      <c r="AH399" s="215" t="s">
        <v>1746</v>
      </c>
      <c r="AI399" s="216"/>
      <c r="AJ399" s="216"/>
      <c r="AK399" s="209" t="s">
        <v>138</v>
      </c>
      <c r="AL399" s="214">
        <f>(B399-DATE(1970,1,1))*86400</f>
        <v>1740355200</v>
      </c>
      <c r="AM399" s="214">
        <f>(C399-DATE(1970,1,1))*86400</f>
        <v>1740528000</v>
      </c>
      <c r="AN399" s="214">
        <f>AVERAGE(AL399:AM399)</f>
        <v>1740441600</v>
      </c>
    </row>
    <row r="400" spans="1:65" s="6" customFormat="1" x14ac:dyDescent="0.2">
      <c r="A400" s="288" t="s">
        <v>133</v>
      </c>
      <c r="B400" s="60">
        <v>45710</v>
      </c>
      <c r="C400" s="60">
        <v>45714</v>
      </c>
      <c r="D400" s="61" t="s">
        <v>168</v>
      </c>
      <c r="E400" s="334" t="s">
        <v>125</v>
      </c>
      <c r="F400" s="62"/>
      <c r="G400" s="61" t="s">
        <v>126</v>
      </c>
      <c r="H400" s="334">
        <v>1000</v>
      </c>
      <c r="I400" s="63">
        <v>26</v>
      </c>
      <c r="J400" s="63">
        <v>1</v>
      </c>
      <c r="K400" s="63">
        <v>1</v>
      </c>
      <c r="L400" s="63">
        <v>1</v>
      </c>
      <c r="M400" s="63">
        <v>5</v>
      </c>
      <c r="N400" s="63"/>
      <c r="O400" s="63">
        <v>1</v>
      </c>
      <c r="P400" s="63">
        <v>1</v>
      </c>
      <c r="Q400" s="63"/>
      <c r="R400" s="64"/>
      <c r="S400" s="63"/>
      <c r="T400" s="63"/>
      <c r="U400" s="63"/>
      <c r="V400" s="63">
        <v>5</v>
      </c>
      <c r="W400" s="63"/>
      <c r="X400" s="63">
        <v>5</v>
      </c>
      <c r="Y400" s="63">
        <v>28</v>
      </c>
      <c r="Z400" s="63">
        <v>1</v>
      </c>
      <c r="AA400" s="63">
        <v>26</v>
      </c>
      <c r="AB400" s="65">
        <f>100/(SUM(I400:Z400))</f>
        <v>1.3333333333333333</v>
      </c>
      <c r="AC400" s="259">
        <f>SUM(I400:AA400)</f>
        <v>101</v>
      </c>
      <c r="AD400" s="63">
        <v>60</v>
      </c>
      <c r="AE400" s="64"/>
      <c r="AF400" s="64"/>
      <c r="AG400" s="66" t="s">
        <v>127</v>
      </c>
      <c r="AH400" s="67" t="s">
        <v>1743</v>
      </c>
      <c r="AI400" s="200" t="s">
        <v>1744</v>
      </c>
      <c r="AJ400" s="67" t="s">
        <v>1745</v>
      </c>
      <c r="AK400" s="61" t="s">
        <v>1742</v>
      </c>
      <c r="AL400" s="66">
        <f>(B400-DATE(1970,1,1))*86400</f>
        <v>1740182400</v>
      </c>
      <c r="AM400" s="66">
        <f>(C400-DATE(1970,1,1))*86400</f>
        <v>1740528000</v>
      </c>
      <c r="AN400" s="66">
        <f>AVERAGE(AL400:AM400)</f>
        <v>1740355200</v>
      </c>
      <c r="AO400"/>
      <c r="AP400"/>
      <c r="AQ400"/>
      <c r="AR400"/>
      <c r="AS400"/>
      <c r="AT400"/>
      <c r="AU400"/>
      <c r="AV400"/>
      <c r="AW400"/>
      <c r="AX400"/>
      <c r="AY400"/>
      <c r="AZ400"/>
      <c r="BA400"/>
      <c r="BB400"/>
      <c r="BC400"/>
      <c r="BD400"/>
      <c r="BE400"/>
      <c r="BF400"/>
      <c r="BG400"/>
      <c r="BH400"/>
      <c r="BI400"/>
      <c r="BJ400"/>
      <c r="BK400"/>
      <c r="BL400"/>
      <c r="BM400"/>
    </row>
    <row r="401" spans="1:65" ht="15.75" customHeight="1" x14ac:dyDescent="0.2">
      <c r="A401" s="288" t="s">
        <v>133</v>
      </c>
      <c r="B401" s="60">
        <v>45710</v>
      </c>
      <c r="C401" s="60">
        <v>45714</v>
      </c>
      <c r="D401" s="61" t="s">
        <v>168</v>
      </c>
      <c r="E401" s="334" t="s">
        <v>125</v>
      </c>
      <c r="F401" s="62"/>
      <c r="G401" s="61" t="s">
        <v>126</v>
      </c>
      <c r="H401" s="334">
        <v>1000</v>
      </c>
      <c r="I401" s="63">
        <v>36</v>
      </c>
      <c r="J401" s="63">
        <v>1</v>
      </c>
      <c r="K401" s="63">
        <v>1</v>
      </c>
      <c r="L401" s="63">
        <v>1</v>
      </c>
      <c r="M401" s="63">
        <v>6</v>
      </c>
      <c r="N401" s="63"/>
      <c r="O401" s="63">
        <v>1</v>
      </c>
      <c r="P401" s="63">
        <v>1</v>
      </c>
      <c r="Q401" s="63"/>
      <c r="R401" s="64"/>
      <c r="S401" s="63"/>
      <c r="T401" s="63"/>
      <c r="U401" s="63"/>
      <c r="V401" s="63">
        <v>7</v>
      </c>
      <c r="W401" s="63"/>
      <c r="X401" s="63">
        <v>7</v>
      </c>
      <c r="Y401" s="63">
        <v>37</v>
      </c>
      <c r="Z401" s="63">
        <v>1</v>
      </c>
      <c r="AA401" s="63">
        <v>0</v>
      </c>
      <c r="AB401" s="65">
        <f>100/(SUM(I401:Z401))</f>
        <v>1.0101010101010102</v>
      </c>
      <c r="AC401" s="259">
        <f>SUM(I401:AA401)</f>
        <v>99</v>
      </c>
      <c r="AD401" s="63"/>
      <c r="AE401" s="64"/>
      <c r="AF401" s="64"/>
      <c r="AG401" s="66" t="s">
        <v>127</v>
      </c>
      <c r="AH401" s="67" t="s">
        <v>1743</v>
      </c>
      <c r="AI401" s="200" t="s">
        <v>1744</v>
      </c>
      <c r="AJ401" s="67" t="s">
        <v>1745</v>
      </c>
      <c r="AK401" s="61" t="s">
        <v>1760</v>
      </c>
      <c r="AL401" s="66">
        <f>(B401-DATE(1970,1,1))*86400</f>
        <v>1740182400</v>
      </c>
      <c r="AM401" s="66">
        <f>(C401-DATE(1970,1,1))*86400</f>
        <v>1740528000</v>
      </c>
      <c r="AN401" s="66">
        <f>AVERAGE(AL401:AM401)</f>
        <v>1740355200</v>
      </c>
    </row>
    <row r="402" spans="1:65" s="6" customFormat="1" x14ac:dyDescent="0.2">
      <c r="A402" s="288" t="s">
        <v>123</v>
      </c>
      <c r="B402" s="60">
        <v>45710</v>
      </c>
      <c r="C402" s="60">
        <v>45714</v>
      </c>
      <c r="D402" s="61" t="s">
        <v>168</v>
      </c>
      <c r="E402" s="334" t="s">
        <v>125</v>
      </c>
      <c r="F402" s="62"/>
      <c r="G402" s="61" t="s">
        <v>126</v>
      </c>
      <c r="H402" s="334">
        <v>1000</v>
      </c>
      <c r="I402" s="63">
        <v>36</v>
      </c>
      <c r="J402" s="63">
        <v>1</v>
      </c>
      <c r="K402" s="63">
        <v>1</v>
      </c>
      <c r="L402" s="63">
        <v>1</v>
      </c>
      <c r="M402" s="63">
        <v>7</v>
      </c>
      <c r="N402" s="63"/>
      <c r="O402" s="63">
        <v>1</v>
      </c>
      <c r="P402" s="63">
        <v>1</v>
      </c>
      <c r="Q402" s="63"/>
      <c r="R402" s="64"/>
      <c r="S402" s="63"/>
      <c r="T402" s="63"/>
      <c r="U402" s="63"/>
      <c r="V402" s="63">
        <v>6</v>
      </c>
      <c r="W402" s="63"/>
      <c r="X402" s="63">
        <v>8</v>
      </c>
      <c r="Y402" s="63">
        <v>36</v>
      </c>
      <c r="Z402" s="63">
        <v>1</v>
      </c>
      <c r="AA402" s="63">
        <v>0</v>
      </c>
      <c r="AB402" s="65">
        <f>100/(SUM(I402:Z402))</f>
        <v>1.0101010101010102</v>
      </c>
      <c r="AC402" s="259">
        <f>SUM(I402:AA402)</f>
        <v>99</v>
      </c>
      <c r="AD402" s="63"/>
      <c r="AE402" s="64"/>
      <c r="AF402" s="64"/>
      <c r="AG402" s="66" t="s">
        <v>127</v>
      </c>
      <c r="AH402" s="67" t="s">
        <v>1743</v>
      </c>
      <c r="AI402" s="200" t="s">
        <v>1744</v>
      </c>
      <c r="AJ402" s="67" t="s">
        <v>1745</v>
      </c>
      <c r="AK402" s="61" t="s">
        <v>1747</v>
      </c>
      <c r="AL402" s="66">
        <f>(B402-DATE(1970,1,1))*86400</f>
        <v>1740182400</v>
      </c>
      <c r="AM402" s="66">
        <f>(C402-DATE(1970,1,1))*86400</f>
        <v>1740528000</v>
      </c>
      <c r="AN402" s="66">
        <f>AVERAGE(AL402:AM402)</f>
        <v>1740355200</v>
      </c>
    </row>
    <row r="403" spans="1:65" x14ac:dyDescent="0.2">
      <c r="A403" s="283" t="s">
        <v>133</v>
      </c>
      <c r="B403" s="28">
        <v>45705</v>
      </c>
      <c r="C403" s="28">
        <v>45707</v>
      </c>
      <c r="D403" s="27" t="s">
        <v>139</v>
      </c>
      <c r="E403" s="331" t="s">
        <v>125</v>
      </c>
      <c r="F403" s="27" t="s">
        <v>140</v>
      </c>
      <c r="G403" s="27" t="s">
        <v>126</v>
      </c>
      <c r="H403" s="352">
        <v>1000</v>
      </c>
      <c r="I403" s="29"/>
      <c r="J403" s="29"/>
      <c r="K403" s="29"/>
      <c r="L403" s="29"/>
      <c r="M403" s="29"/>
      <c r="N403" s="29"/>
      <c r="O403" s="29"/>
      <c r="P403" s="29"/>
      <c r="Q403" s="29"/>
      <c r="R403" s="29"/>
      <c r="S403" s="29"/>
      <c r="T403" s="29"/>
      <c r="U403" s="29"/>
      <c r="V403" s="29"/>
      <c r="W403" s="29"/>
      <c r="X403" s="29"/>
      <c r="Y403" s="29"/>
      <c r="Z403" s="29"/>
      <c r="AA403" s="29"/>
      <c r="AB403" s="30" t="e">
        <f>100/(SUM(I403:Z403))</f>
        <v>#DIV/0!</v>
      </c>
      <c r="AC403" s="259">
        <f>SUM(I403:AA403)</f>
        <v>0</v>
      </c>
      <c r="AD403" s="29"/>
      <c r="AE403" s="29"/>
      <c r="AF403" s="29"/>
      <c r="AG403" s="31" t="s">
        <v>127</v>
      </c>
      <c r="AH403" s="198" t="s">
        <v>1733</v>
      </c>
      <c r="AI403" s="32" t="s">
        <v>1734</v>
      </c>
      <c r="AJ403" s="32"/>
      <c r="AK403" s="27" t="s">
        <v>138</v>
      </c>
      <c r="AL403" s="31">
        <f>(B403-DATE(1970,1,1))*86400</f>
        <v>1739750400</v>
      </c>
      <c r="AM403" s="31">
        <f>(C403-DATE(1970,1,1))*86400</f>
        <v>1739923200</v>
      </c>
      <c r="AN403" s="31">
        <f>AVERAGE(AL403:AM403)</f>
        <v>1739836800</v>
      </c>
    </row>
    <row r="404" spans="1:65" x14ac:dyDescent="0.2">
      <c r="A404" s="288" t="s">
        <v>133</v>
      </c>
      <c r="B404" s="60">
        <v>45589</v>
      </c>
      <c r="C404" s="60">
        <v>45811</v>
      </c>
      <c r="D404" s="61" t="s">
        <v>168</v>
      </c>
      <c r="E404" s="334" t="s">
        <v>125</v>
      </c>
      <c r="F404" s="218" t="s">
        <v>2495</v>
      </c>
      <c r="G404" s="61" t="s">
        <v>126</v>
      </c>
      <c r="H404" s="334">
        <v>1200</v>
      </c>
      <c r="I404" s="63">
        <v>18</v>
      </c>
      <c r="J404" s="63">
        <v>1</v>
      </c>
      <c r="K404" s="63">
        <v>1</v>
      </c>
      <c r="L404" s="63">
        <v>1</v>
      </c>
      <c r="M404" s="63">
        <v>10</v>
      </c>
      <c r="N404" s="63"/>
      <c r="O404" s="63">
        <v>1</v>
      </c>
      <c r="P404" s="63">
        <v>3</v>
      </c>
      <c r="Q404" s="63"/>
      <c r="R404" s="64"/>
      <c r="S404" s="63"/>
      <c r="T404" s="63"/>
      <c r="U404" s="63"/>
      <c r="V404" s="63">
        <v>6</v>
      </c>
      <c r="W404" s="63"/>
      <c r="X404" s="63">
        <v>5</v>
      </c>
      <c r="Y404" s="63">
        <v>40</v>
      </c>
      <c r="Z404" s="63">
        <v>7</v>
      </c>
      <c r="AA404" s="63">
        <v>8</v>
      </c>
      <c r="AB404" s="65">
        <f>100/(SUM(I404:Z404))</f>
        <v>1.075268817204301</v>
      </c>
      <c r="AC404" s="259">
        <f>SUM(I404:AA404)</f>
        <v>101</v>
      </c>
      <c r="AD404" s="63">
        <v>71</v>
      </c>
      <c r="AE404" s="64"/>
      <c r="AF404" s="64"/>
      <c r="AG404" s="66" t="s">
        <v>127</v>
      </c>
      <c r="AH404" s="200" t="s">
        <v>1891</v>
      </c>
      <c r="AI404" s="200"/>
      <c r="AJ404" s="67"/>
      <c r="AK404" s="61" t="s">
        <v>1890</v>
      </c>
      <c r="AL404" s="66">
        <f>(B404-DATE(1970,1,1))*86400</f>
        <v>1729728000</v>
      </c>
      <c r="AM404" s="66">
        <f>(C404-DATE(1970,1,1))*86400</f>
        <v>1748908800</v>
      </c>
      <c r="AN404" s="66">
        <f>AVERAGE(AL404:AM404)</f>
        <v>1739318400</v>
      </c>
    </row>
    <row r="405" spans="1:65" s="6" customFormat="1" x14ac:dyDescent="0.2">
      <c r="A405" s="288" t="s">
        <v>133</v>
      </c>
      <c r="B405" s="60">
        <v>45589</v>
      </c>
      <c r="C405" s="60">
        <v>45811</v>
      </c>
      <c r="D405" s="61" t="s">
        <v>168</v>
      </c>
      <c r="E405" s="334" t="s">
        <v>125</v>
      </c>
      <c r="F405" s="218" t="s">
        <v>2495</v>
      </c>
      <c r="G405" s="61" t="s">
        <v>126</v>
      </c>
      <c r="H405" s="334">
        <v>1200</v>
      </c>
      <c r="I405" s="63">
        <v>21</v>
      </c>
      <c r="J405" s="63">
        <v>1</v>
      </c>
      <c r="K405" s="63">
        <v>1</v>
      </c>
      <c r="L405" s="63">
        <v>1</v>
      </c>
      <c r="M405" s="63">
        <v>12</v>
      </c>
      <c r="N405" s="63"/>
      <c r="O405" s="63">
        <v>1</v>
      </c>
      <c r="P405" s="63">
        <v>3</v>
      </c>
      <c r="Q405" s="63"/>
      <c r="R405" s="64"/>
      <c r="S405" s="63"/>
      <c r="T405" s="63"/>
      <c r="U405" s="63"/>
      <c r="V405" s="63">
        <v>7</v>
      </c>
      <c r="W405" s="63"/>
      <c r="X405" s="63">
        <v>6</v>
      </c>
      <c r="Y405" s="63">
        <v>47</v>
      </c>
      <c r="Z405" s="63">
        <v>0</v>
      </c>
      <c r="AA405" s="63">
        <v>0</v>
      </c>
      <c r="AB405" s="65">
        <f>100/(SUM(I405:Z405))</f>
        <v>1</v>
      </c>
      <c r="AC405" s="259">
        <f>SUM(I405:AA405)</f>
        <v>100</v>
      </c>
      <c r="AD405" s="63"/>
      <c r="AE405" s="64"/>
      <c r="AF405" s="64"/>
      <c r="AG405" s="66" t="s">
        <v>127</v>
      </c>
      <c r="AH405" s="200" t="s">
        <v>1891</v>
      </c>
      <c r="AI405" s="200"/>
      <c r="AJ405" s="67"/>
      <c r="AK405" s="61" t="s">
        <v>1890</v>
      </c>
      <c r="AL405" s="66">
        <f>(B405-DATE(1970,1,1))*86400</f>
        <v>1729728000</v>
      </c>
      <c r="AM405" s="66">
        <f>(C405-DATE(1970,1,1))*86400</f>
        <v>1748908800</v>
      </c>
      <c r="AN405" s="66">
        <f>AVERAGE(AL405:AM405)</f>
        <v>1739318400</v>
      </c>
      <c r="AO405"/>
      <c r="AP405"/>
      <c r="AQ405"/>
      <c r="AR405"/>
      <c r="AS405"/>
      <c r="AT405"/>
      <c r="AU405"/>
      <c r="AV405"/>
      <c r="AW405"/>
      <c r="AX405"/>
      <c r="AY405"/>
      <c r="AZ405"/>
      <c r="BA405"/>
      <c r="BB405"/>
      <c r="BC405"/>
      <c r="BD405"/>
      <c r="BE405"/>
      <c r="BF405"/>
      <c r="BG405"/>
      <c r="BH405"/>
      <c r="BI405"/>
      <c r="BJ405"/>
      <c r="BK405"/>
      <c r="BL405"/>
      <c r="BM405"/>
    </row>
    <row r="406" spans="1:65" x14ac:dyDescent="0.2">
      <c r="A406" s="288" t="s">
        <v>123</v>
      </c>
      <c r="B406" s="60">
        <v>45589</v>
      </c>
      <c r="C406" s="60">
        <v>45811</v>
      </c>
      <c r="D406" s="61" t="s">
        <v>168</v>
      </c>
      <c r="E406" s="334" t="s">
        <v>125</v>
      </c>
      <c r="F406" s="218" t="s">
        <v>2495</v>
      </c>
      <c r="G406" s="61" t="s">
        <v>126</v>
      </c>
      <c r="H406" s="334">
        <v>1200</v>
      </c>
      <c r="I406" s="63">
        <v>21</v>
      </c>
      <c r="J406" s="63">
        <v>1</v>
      </c>
      <c r="K406" s="63">
        <v>1</v>
      </c>
      <c r="L406" s="63">
        <v>1</v>
      </c>
      <c r="M406" s="63">
        <v>13</v>
      </c>
      <c r="N406" s="63"/>
      <c r="O406" s="63">
        <v>1</v>
      </c>
      <c r="P406" s="63">
        <v>3</v>
      </c>
      <c r="Q406" s="63"/>
      <c r="R406" s="64"/>
      <c r="S406" s="63"/>
      <c r="T406" s="63"/>
      <c r="U406" s="63"/>
      <c r="V406" s="63">
        <v>6</v>
      </c>
      <c r="W406" s="63"/>
      <c r="X406" s="63">
        <v>6</v>
      </c>
      <c r="Y406" s="63">
        <v>48</v>
      </c>
      <c r="Z406" s="63">
        <v>0</v>
      </c>
      <c r="AA406" s="63">
        <v>0</v>
      </c>
      <c r="AB406" s="65">
        <f>100/(SUM(I406:Z406))</f>
        <v>0.99009900990099009</v>
      </c>
      <c r="AC406" s="259">
        <f>SUM(I406:AA406)</f>
        <v>101</v>
      </c>
      <c r="AD406" s="63"/>
      <c r="AE406" s="64"/>
      <c r="AF406" s="64"/>
      <c r="AG406" s="66" t="s">
        <v>127</v>
      </c>
      <c r="AH406" s="200" t="s">
        <v>1891</v>
      </c>
      <c r="AI406" s="200"/>
      <c r="AJ406" s="67"/>
      <c r="AK406" s="61" t="s">
        <v>1890</v>
      </c>
      <c r="AL406" s="66">
        <f>(B406-DATE(1970,1,1))*86400</f>
        <v>1729728000</v>
      </c>
      <c r="AM406" s="66">
        <f>(C406-DATE(1970,1,1))*86400</f>
        <v>1748908800</v>
      </c>
      <c r="AN406" s="66">
        <f>AVERAGE(AL406:AM406)</f>
        <v>1739318400</v>
      </c>
    </row>
    <row r="407" spans="1:65" ht="15.75" customHeight="1" x14ac:dyDescent="0.2">
      <c r="A407" s="279" t="s">
        <v>123</v>
      </c>
      <c r="B407" s="14">
        <v>45698</v>
      </c>
      <c r="C407" s="14">
        <v>45700</v>
      </c>
      <c r="D407" s="13" t="s">
        <v>124</v>
      </c>
      <c r="E407" s="324" t="s">
        <v>125</v>
      </c>
      <c r="F407" s="13" t="s">
        <v>140</v>
      </c>
      <c r="G407" s="13" t="s">
        <v>126</v>
      </c>
      <c r="H407" s="349">
        <v>1000</v>
      </c>
      <c r="I407" s="15"/>
      <c r="J407" s="15"/>
      <c r="K407" s="15"/>
      <c r="L407" s="15"/>
      <c r="M407" s="15"/>
      <c r="N407" s="15"/>
      <c r="O407" s="15"/>
      <c r="P407" s="15"/>
      <c r="Q407" s="15"/>
      <c r="R407" s="15"/>
      <c r="S407" s="15"/>
      <c r="T407" s="15"/>
      <c r="U407" s="15"/>
      <c r="V407" s="15"/>
      <c r="W407" s="15"/>
      <c r="X407" s="15"/>
      <c r="Y407" s="15"/>
      <c r="Z407" s="15"/>
      <c r="AA407" s="15"/>
      <c r="AB407" s="16" t="e">
        <f>100/(SUM(I407:Z407))</f>
        <v>#DIV/0!</v>
      </c>
      <c r="AC407" s="259">
        <f>SUM(I407:AA407)</f>
        <v>0</v>
      </c>
      <c r="AD407" s="15"/>
      <c r="AE407" s="15"/>
      <c r="AF407" s="15"/>
      <c r="AG407" s="17" t="s">
        <v>127</v>
      </c>
      <c r="AH407" s="18" t="s">
        <v>1729</v>
      </c>
      <c r="AI407" s="18"/>
      <c r="AJ407" s="18"/>
      <c r="AK407" s="13" t="s">
        <v>1730</v>
      </c>
      <c r="AL407" s="17">
        <f>(B407-DATE(1970,1,1))*86400</f>
        <v>1739145600</v>
      </c>
      <c r="AM407" s="17">
        <f>(C407-DATE(1970,1,1))*86400</f>
        <v>1739318400</v>
      </c>
      <c r="AN407" s="17">
        <f>AVERAGE(AL407:AM407)</f>
        <v>1739232000</v>
      </c>
    </row>
    <row r="408" spans="1:65" ht="15.75" customHeight="1" x14ac:dyDescent="0.2">
      <c r="A408" s="288" t="s">
        <v>133</v>
      </c>
      <c r="B408" s="60">
        <v>45695</v>
      </c>
      <c r="C408" s="60">
        <v>45702</v>
      </c>
      <c r="D408" s="61" t="s">
        <v>168</v>
      </c>
      <c r="E408" s="334" t="s">
        <v>125</v>
      </c>
      <c r="F408" s="218" t="s">
        <v>140</v>
      </c>
      <c r="G408" s="61" t="s">
        <v>126</v>
      </c>
      <c r="H408" s="334">
        <v>1000</v>
      </c>
      <c r="I408" s="63"/>
      <c r="J408" s="63"/>
      <c r="K408" s="63"/>
      <c r="L408" s="63"/>
      <c r="M408" s="63"/>
      <c r="N408" s="63"/>
      <c r="O408" s="63"/>
      <c r="P408" s="63"/>
      <c r="Q408" s="63"/>
      <c r="R408" s="64"/>
      <c r="S408" s="63"/>
      <c r="T408" s="63"/>
      <c r="U408" s="63"/>
      <c r="V408" s="63"/>
      <c r="W408" s="63"/>
      <c r="X408" s="63"/>
      <c r="Y408" s="63"/>
      <c r="Z408" s="63"/>
      <c r="AA408" s="63"/>
      <c r="AB408" s="65" t="e">
        <f>100/(SUM(I408:Z408))</f>
        <v>#DIV/0!</v>
      </c>
      <c r="AC408" s="259">
        <f>SUM(I408:AA408)</f>
        <v>0</v>
      </c>
      <c r="AD408" s="63"/>
      <c r="AE408" s="64"/>
      <c r="AF408" s="64"/>
      <c r="AG408" s="66" t="s">
        <v>1769</v>
      </c>
      <c r="AH408" s="67"/>
      <c r="AI408" s="200"/>
      <c r="AJ408" s="67"/>
      <c r="AK408" s="61" t="s">
        <v>1770</v>
      </c>
      <c r="AL408" s="66">
        <f>(B408-DATE(1970,1,1))*86400</f>
        <v>1738886400</v>
      </c>
      <c r="AM408" s="66">
        <f>(C408-DATE(1970,1,1))*86400</f>
        <v>1739491200</v>
      </c>
      <c r="AN408" s="66">
        <f>AVERAGE(AL408:AM408)</f>
        <v>1739188800</v>
      </c>
    </row>
    <row r="409" spans="1:65" ht="15.75" customHeight="1" x14ac:dyDescent="0.2">
      <c r="A409" s="284" t="s">
        <v>133</v>
      </c>
      <c r="B409" s="20">
        <v>45688</v>
      </c>
      <c r="C409" s="20">
        <v>45695</v>
      </c>
      <c r="D409" s="19" t="s">
        <v>134</v>
      </c>
      <c r="E409" s="332" t="s">
        <v>125</v>
      </c>
      <c r="F409" s="19" t="s">
        <v>140</v>
      </c>
      <c r="G409" s="19" t="s">
        <v>135</v>
      </c>
      <c r="H409" s="332">
        <v>1500</v>
      </c>
      <c r="I409" s="21"/>
      <c r="J409" s="21"/>
      <c r="K409" s="21"/>
      <c r="L409" s="21"/>
      <c r="M409" s="21"/>
      <c r="N409" s="21"/>
      <c r="O409" s="21"/>
      <c r="P409" s="21"/>
      <c r="Q409" s="21"/>
      <c r="R409" s="22"/>
      <c r="S409" s="21"/>
      <c r="T409" s="21"/>
      <c r="U409" s="21"/>
      <c r="V409" s="21"/>
      <c r="W409" s="21"/>
      <c r="X409" s="21"/>
      <c r="Y409" s="21"/>
      <c r="Z409" s="21"/>
      <c r="AA409" s="21"/>
      <c r="AB409" s="23" t="e">
        <f>100/(SUM(I409:Z409))</f>
        <v>#DIV/0!</v>
      </c>
      <c r="AC409" s="259">
        <f>SUM(I409:AA409)</f>
        <v>0</v>
      </c>
      <c r="AD409" s="21"/>
      <c r="AE409" s="24"/>
      <c r="AF409" s="24"/>
      <c r="AG409" s="25" t="s">
        <v>136</v>
      </c>
      <c r="AH409" s="26"/>
      <c r="AI409" s="26"/>
      <c r="AJ409" s="26" t="s">
        <v>1740</v>
      </c>
      <c r="AK409" s="19"/>
      <c r="AL409" s="25">
        <f>(B409-DATE(1970,1,1))*86400</f>
        <v>1738281600</v>
      </c>
      <c r="AM409" s="25">
        <f>(C409-DATE(1970,1,1))*86400</f>
        <v>1738886400</v>
      </c>
      <c r="AN409" s="25">
        <f>AVERAGE(AL409:AM409)</f>
        <v>1738584000</v>
      </c>
    </row>
    <row r="410" spans="1:65" ht="15.75" customHeight="1" x14ac:dyDescent="0.2">
      <c r="A410" s="284" t="s">
        <v>123</v>
      </c>
      <c r="B410" s="20">
        <v>45688</v>
      </c>
      <c r="C410" s="20">
        <v>45695</v>
      </c>
      <c r="D410" s="19" t="s">
        <v>134</v>
      </c>
      <c r="E410" s="332" t="s">
        <v>125</v>
      </c>
      <c r="F410" s="19" t="s">
        <v>140</v>
      </c>
      <c r="G410" s="19" t="s">
        <v>135</v>
      </c>
      <c r="H410" s="332">
        <v>1500</v>
      </c>
      <c r="I410" s="21"/>
      <c r="J410" s="21"/>
      <c r="K410" s="21"/>
      <c r="L410" s="21"/>
      <c r="M410" s="21"/>
      <c r="N410" s="21"/>
      <c r="O410" s="21"/>
      <c r="P410" s="21"/>
      <c r="Q410" s="21"/>
      <c r="R410" s="22"/>
      <c r="S410" s="21"/>
      <c r="T410" s="21"/>
      <c r="U410" s="21"/>
      <c r="V410" s="21"/>
      <c r="W410" s="21"/>
      <c r="X410" s="21"/>
      <c r="Y410" s="21"/>
      <c r="Z410" s="21"/>
      <c r="AA410" s="21"/>
      <c r="AB410" s="23" t="e">
        <f>100/(SUM(I410:Z410))</f>
        <v>#DIV/0!</v>
      </c>
      <c r="AC410" s="259">
        <f>SUM(I410:AA410)</f>
        <v>0</v>
      </c>
      <c r="AD410" s="24"/>
      <c r="AE410" s="24"/>
      <c r="AF410" s="24"/>
      <c r="AG410" s="25" t="s">
        <v>136</v>
      </c>
      <c r="AH410" s="26"/>
      <c r="AI410" s="26"/>
      <c r="AJ410" s="26"/>
      <c r="AK410" s="19"/>
      <c r="AL410" s="25">
        <f>(B410-DATE(1970,1,1))*86400</f>
        <v>1738281600</v>
      </c>
      <c r="AM410" s="25">
        <f>(C410-DATE(1970,1,1))*86400</f>
        <v>1738886400</v>
      </c>
      <c r="AN410" s="25">
        <f>AVERAGE(AL410:AM410)</f>
        <v>1738584000</v>
      </c>
    </row>
    <row r="411" spans="1:65" x14ac:dyDescent="0.2">
      <c r="A411" s="283" t="s">
        <v>133</v>
      </c>
      <c r="B411" s="28">
        <v>45690</v>
      </c>
      <c r="C411" s="28">
        <v>45693</v>
      </c>
      <c r="D411" s="27" t="s">
        <v>139</v>
      </c>
      <c r="E411" s="331" t="s">
        <v>125</v>
      </c>
      <c r="F411" s="27" t="s">
        <v>140</v>
      </c>
      <c r="G411" s="27" t="s">
        <v>126</v>
      </c>
      <c r="H411" s="352">
        <v>1000</v>
      </c>
      <c r="I411" s="29"/>
      <c r="J411" s="29"/>
      <c r="K411" s="29"/>
      <c r="L411" s="29"/>
      <c r="M411" s="29"/>
      <c r="N411" s="29"/>
      <c r="O411" s="29"/>
      <c r="P411" s="29"/>
      <c r="Q411" s="29"/>
      <c r="R411" s="29"/>
      <c r="S411" s="29"/>
      <c r="T411" s="29"/>
      <c r="U411" s="29"/>
      <c r="V411" s="29"/>
      <c r="W411" s="29"/>
      <c r="X411" s="29"/>
      <c r="Y411" s="29"/>
      <c r="Z411" s="29"/>
      <c r="AA411" s="29"/>
      <c r="AB411" s="30" t="e">
        <f>100/(SUM(I411:Z411))</f>
        <v>#DIV/0!</v>
      </c>
      <c r="AC411" s="259">
        <f>SUM(I411:AA411)</f>
        <v>0</v>
      </c>
      <c r="AD411" s="29"/>
      <c r="AE411" s="29"/>
      <c r="AF411" s="29"/>
      <c r="AG411" s="31" t="s">
        <v>127</v>
      </c>
      <c r="AH411" s="198" t="s">
        <v>1736</v>
      </c>
      <c r="AI411" s="32"/>
      <c r="AJ411" s="217" t="s">
        <v>1736</v>
      </c>
      <c r="AK411" s="27" t="s">
        <v>1737</v>
      </c>
      <c r="AL411" s="31">
        <f>(B411-DATE(1970,1,1))*86400</f>
        <v>1738454400</v>
      </c>
      <c r="AM411" s="31">
        <f>(C411-DATE(1970,1,1))*86400</f>
        <v>1738713600</v>
      </c>
      <c r="AN411" s="31">
        <f>AVERAGE(AL411:AM411)</f>
        <v>1738584000</v>
      </c>
    </row>
    <row r="412" spans="1:65" x14ac:dyDescent="0.2">
      <c r="A412" s="295" t="s">
        <v>133</v>
      </c>
      <c r="B412" s="210">
        <v>45684</v>
      </c>
      <c r="C412" s="210">
        <v>45686</v>
      </c>
      <c r="D412" s="211" t="s">
        <v>152</v>
      </c>
      <c r="E412" s="340" t="s">
        <v>125</v>
      </c>
      <c r="F412" s="209" t="s">
        <v>140</v>
      </c>
      <c r="G412" s="209" t="s">
        <v>126</v>
      </c>
      <c r="H412" s="361">
        <v>1000</v>
      </c>
      <c r="I412" s="212"/>
      <c r="J412" s="212"/>
      <c r="K412" s="212"/>
      <c r="L412" s="212"/>
      <c r="M412" s="212"/>
      <c r="N412" s="212"/>
      <c r="O412" s="212"/>
      <c r="P412" s="212"/>
      <c r="Q412" s="212"/>
      <c r="R412" s="212"/>
      <c r="S412" s="212"/>
      <c r="T412" s="212"/>
      <c r="U412" s="212"/>
      <c r="V412" s="212"/>
      <c r="W412" s="212"/>
      <c r="X412" s="212"/>
      <c r="Y412" s="212"/>
      <c r="Z412" s="212"/>
      <c r="AA412" s="212"/>
      <c r="AB412" s="213" t="e">
        <f>100/(SUM(I412:Z412))</f>
        <v>#DIV/0!</v>
      </c>
      <c r="AC412" s="259">
        <f>SUM(I412:AA412)</f>
        <v>0</v>
      </c>
      <c r="AD412" s="212"/>
      <c r="AE412" s="212"/>
      <c r="AF412" s="212"/>
      <c r="AG412" s="214" t="s">
        <v>127</v>
      </c>
      <c r="AH412" s="215" t="s">
        <v>1727</v>
      </c>
      <c r="AI412" s="216"/>
      <c r="AJ412" s="216"/>
      <c r="AK412" s="209" t="s">
        <v>138</v>
      </c>
      <c r="AL412" s="214">
        <f>(B412-DATE(1970,1,1))*86400</f>
        <v>1737936000</v>
      </c>
      <c r="AM412" s="214">
        <f>(C412-DATE(1970,1,1))*86400</f>
        <v>1738108800</v>
      </c>
      <c r="AN412" s="214">
        <f>AVERAGE(AL412:AM412)</f>
        <v>1738022400</v>
      </c>
    </row>
    <row r="413" spans="1:65" x14ac:dyDescent="0.2">
      <c r="A413" s="281" t="s">
        <v>133</v>
      </c>
      <c r="B413" s="54">
        <v>45677</v>
      </c>
      <c r="C413" s="54">
        <v>45686</v>
      </c>
      <c r="D413" s="53" t="s">
        <v>154</v>
      </c>
      <c r="E413" s="323" t="s">
        <v>125</v>
      </c>
      <c r="F413" s="53"/>
      <c r="G413" s="53" t="s">
        <v>126</v>
      </c>
      <c r="H413" s="357">
        <v>3060</v>
      </c>
      <c r="I413" s="55">
        <v>25</v>
      </c>
      <c r="J413" s="55">
        <v>2</v>
      </c>
      <c r="K413" s="55">
        <v>0</v>
      </c>
      <c r="L413" s="55">
        <v>0</v>
      </c>
      <c r="M413" s="55">
        <v>6</v>
      </c>
      <c r="N413" s="55"/>
      <c r="O413" s="55">
        <v>0</v>
      </c>
      <c r="P413" s="55">
        <v>0</v>
      </c>
      <c r="Q413" s="55"/>
      <c r="R413" s="56"/>
      <c r="S413" s="55"/>
      <c r="T413" s="55"/>
      <c r="U413" s="55">
        <v>1</v>
      </c>
      <c r="V413" s="55">
        <v>2</v>
      </c>
      <c r="W413" s="55"/>
      <c r="X413" s="55">
        <v>4</v>
      </c>
      <c r="Y413" s="55">
        <v>28</v>
      </c>
      <c r="Z413" s="55">
        <v>0</v>
      </c>
      <c r="AA413" s="55">
        <v>32</v>
      </c>
      <c r="AB413" s="57">
        <f>100/(SUM(I413:Z413))</f>
        <v>1.4705882352941178</v>
      </c>
      <c r="AC413" s="259">
        <f>SUM(I413:AA413)</f>
        <v>100</v>
      </c>
      <c r="AD413" s="55">
        <v>79</v>
      </c>
      <c r="AE413" s="55"/>
      <c r="AF413" s="55"/>
      <c r="AG413" s="58" t="s">
        <v>155</v>
      </c>
      <c r="AH413" s="59" t="s">
        <v>1724</v>
      </c>
      <c r="AI413" s="186" t="s">
        <v>1725</v>
      </c>
      <c r="AJ413" s="186" t="s">
        <v>1728</v>
      </c>
      <c r="AK413" s="53" t="s">
        <v>1726</v>
      </c>
      <c r="AL413" s="58">
        <f>(B413-DATE(1970,1,1))*86400</f>
        <v>1737331200</v>
      </c>
      <c r="AM413" s="58">
        <f>(C413-DATE(1970,1,1))*86400</f>
        <v>1738108800</v>
      </c>
      <c r="AN413" s="58">
        <f>AVERAGE(AL413:AM413)</f>
        <v>1737720000</v>
      </c>
    </row>
    <row r="414" spans="1:65" ht="15.75" customHeight="1" x14ac:dyDescent="0.2">
      <c r="A414" s="281" t="s">
        <v>123</v>
      </c>
      <c r="B414" s="54">
        <v>45677</v>
      </c>
      <c r="C414" s="54">
        <v>45686</v>
      </c>
      <c r="D414" s="53" t="s">
        <v>154</v>
      </c>
      <c r="E414" s="323" t="s">
        <v>125</v>
      </c>
      <c r="F414" s="53"/>
      <c r="G414" s="53" t="s">
        <v>126</v>
      </c>
      <c r="H414" s="357">
        <v>3060</v>
      </c>
      <c r="I414" s="55">
        <v>30</v>
      </c>
      <c r="J414" s="55">
        <v>2</v>
      </c>
      <c r="K414" s="55">
        <v>0</v>
      </c>
      <c r="L414" s="55">
        <v>0</v>
      </c>
      <c r="M414" s="55">
        <v>7</v>
      </c>
      <c r="N414" s="55"/>
      <c r="O414" s="55">
        <v>0</v>
      </c>
      <c r="P414" s="55">
        <v>0</v>
      </c>
      <c r="Q414" s="55"/>
      <c r="R414" s="56"/>
      <c r="S414" s="55"/>
      <c r="T414" s="55"/>
      <c r="U414" s="55">
        <v>1</v>
      </c>
      <c r="V414" s="55">
        <v>2</v>
      </c>
      <c r="W414" s="55"/>
      <c r="X414" s="55">
        <v>4</v>
      </c>
      <c r="Y414" s="55">
        <v>33</v>
      </c>
      <c r="Z414" s="55">
        <v>0</v>
      </c>
      <c r="AA414" s="55">
        <v>21</v>
      </c>
      <c r="AB414" s="57">
        <f>100/(SUM(I414:Z414))</f>
        <v>1.2658227848101267</v>
      </c>
      <c r="AC414" s="259">
        <f>SUM(I414:AA414)</f>
        <v>100</v>
      </c>
      <c r="AD414" s="55"/>
      <c r="AE414" s="55"/>
      <c r="AF414" s="55"/>
      <c r="AG414" s="58" t="s">
        <v>155</v>
      </c>
      <c r="AH414" s="59" t="s">
        <v>1724</v>
      </c>
      <c r="AI414" s="186" t="s">
        <v>1725</v>
      </c>
      <c r="AJ414" s="59" t="s">
        <v>1748</v>
      </c>
      <c r="AK414" s="53"/>
      <c r="AL414" s="58">
        <f>(B414-DATE(1970,1,1))*86400</f>
        <v>1737331200</v>
      </c>
      <c r="AM414" s="58">
        <f>(C414-DATE(1970,1,1))*86400</f>
        <v>1738108800</v>
      </c>
      <c r="AN414" s="58">
        <f>AVERAGE(AL414:AM414)</f>
        <v>1737720000</v>
      </c>
    </row>
    <row r="415" spans="1:65" x14ac:dyDescent="0.2">
      <c r="A415" s="281" t="s">
        <v>123</v>
      </c>
      <c r="B415" s="54">
        <v>45677</v>
      </c>
      <c r="C415" s="54">
        <v>45686</v>
      </c>
      <c r="D415" s="53" t="s">
        <v>154</v>
      </c>
      <c r="E415" s="323" t="s">
        <v>125</v>
      </c>
      <c r="F415" s="53"/>
      <c r="G415" s="53" t="s">
        <v>126</v>
      </c>
      <c r="H415" s="357">
        <v>3060</v>
      </c>
      <c r="I415" s="55">
        <v>37</v>
      </c>
      <c r="J415" s="55">
        <v>2</v>
      </c>
      <c r="K415" s="55">
        <v>0</v>
      </c>
      <c r="L415" s="55">
        <v>0</v>
      </c>
      <c r="M415" s="55">
        <v>9</v>
      </c>
      <c r="N415" s="55"/>
      <c r="O415" s="55">
        <v>0</v>
      </c>
      <c r="P415" s="55">
        <v>1</v>
      </c>
      <c r="Q415" s="55"/>
      <c r="R415" s="56"/>
      <c r="S415" s="55"/>
      <c r="T415" s="55"/>
      <c r="U415" s="55">
        <v>1</v>
      </c>
      <c r="V415" s="55">
        <v>3</v>
      </c>
      <c r="W415" s="55"/>
      <c r="X415" s="55">
        <v>5</v>
      </c>
      <c r="Y415" s="55">
        <v>42</v>
      </c>
      <c r="Z415" s="55">
        <v>0</v>
      </c>
      <c r="AA415" s="55">
        <v>0</v>
      </c>
      <c r="AB415" s="57">
        <f>100/(SUM(I415:Z415))</f>
        <v>1</v>
      </c>
      <c r="AC415" s="259">
        <f>SUM(I415:AA415)</f>
        <v>100</v>
      </c>
      <c r="AD415" s="55"/>
      <c r="AE415" s="55"/>
      <c r="AF415" s="55"/>
      <c r="AG415" s="58" t="s">
        <v>155</v>
      </c>
      <c r="AH415" s="186" t="s">
        <v>1724</v>
      </c>
      <c r="AI415" s="186" t="s">
        <v>1725</v>
      </c>
      <c r="AJ415" s="186"/>
      <c r="AK415" s="53"/>
      <c r="AL415" s="58">
        <f>(B415-DATE(1970,1,1))*86400</f>
        <v>1737331200</v>
      </c>
      <c r="AM415" s="58">
        <f>(C415-DATE(1970,1,1))*86400</f>
        <v>1738108800</v>
      </c>
      <c r="AN415" s="58">
        <f>AVERAGE(AL415:AM415)</f>
        <v>1737720000</v>
      </c>
    </row>
    <row r="416" spans="1:65" x14ac:dyDescent="0.2">
      <c r="A416" s="288" t="s">
        <v>133</v>
      </c>
      <c r="B416" s="60">
        <v>45671</v>
      </c>
      <c r="C416" s="60">
        <v>45679</v>
      </c>
      <c r="D416" s="61" t="s">
        <v>168</v>
      </c>
      <c r="E416" s="334" t="s">
        <v>125</v>
      </c>
      <c r="F416" s="62"/>
      <c r="G416" s="61" t="s">
        <v>126</v>
      </c>
      <c r="H416" s="334">
        <v>1000</v>
      </c>
      <c r="I416" s="63">
        <v>23</v>
      </c>
      <c r="J416" s="63">
        <v>1</v>
      </c>
      <c r="K416" s="63">
        <v>2</v>
      </c>
      <c r="L416" s="63">
        <v>1</v>
      </c>
      <c r="M416" s="63">
        <v>5</v>
      </c>
      <c r="N416" s="63"/>
      <c r="O416" s="63">
        <v>1</v>
      </c>
      <c r="P416" s="63">
        <v>2</v>
      </c>
      <c r="Q416" s="63"/>
      <c r="R416" s="64"/>
      <c r="S416" s="63"/>
      <c r="T416" s="63"/>
      <c r="U416" s="63"/>
      <c r="V416" s="63">
        <v>4</v>
      </c>
      <c r="W416" s="63"/>
      <c r="X416" s="63">
        <v>5</v>
      </c>
      <c r="Y416" s="63">
        <v>26</v>
      </c>
      <c r="Z416" s="63">
        <v>1</v>
      </c>
      <c r="AA416" s="63">
        <v>28</v>
      </c>
      <c r="AB416" s="65">
        <f>100/(SUM(I416:Z416))</f>
        <v>1.408450704225352</v>
      </c>
      <c r="AC416" s="259">
        <f>SUM(I416:AA416)</f>
        <v>99</v>
      </c>
      <c r="AD416" s="63">
        <v>60</v>
      </c>
      <c r="AE416" s="64"/>
      <c r="AF416" s="64"/>
      <c r="AG416" s="66" t="s">
        <v>127</v>
      </c>
      <c r="AH416" s="67" t="s">
        <v>1716</v>
      </c>
      <c r="AI416" s="200" t="s">
        <v>1717</v>
      </c>
      <c r="AJ416" s="67" t="s">
        <v>1718</v>
      </c>
      <c r="AK416" s="61" t="s">
        <v>1719</v>
      </c>
      <c r="AL416" s="66">
        <f>(B416-DATE(1970,1,1))*86400</f>
        <v>1736812800</v>
      </c>
      <c r="AM416" s="66">
        <f>(C416-DATE(1970,1,1))*86400</f>
        <v>1737504000</v>
      </c>
      <c r="AN416" s="66">
        <f>AVERAGE(AL416:AM416)</f>
        <v>1737158400</v>
      </c>
    </row>
    <row r="417" spans="1:65" s="6" customFormat="1" x14ac:dyDescent="0.2">
      <c r="A417" s="288" t="s">
        <v>133</v>
      </c>
      <c r="B417" s="60">
        <v>45671</v>
      </c>
      <c r="C417" s="60">
        <v>45679</v>
      </c>
      <c r="D417" s="61" t="s">
        <v>168</v>
      </c>
      <c r="E417" s="334" t="s">
        <v>125</v>
      </c>
      <c r="F417" s="62"/>
      <c r="G417" s="61" t="s">
        <v>126</v>
      </c>
      <c r="H417" s="334">
        <v>1000</v>
      </c>
      <c r="I417" s="63">
        <v>32</v>
      </c>
      <c r="J417" s="63">
        <v>2</v>
      </c>
      <c r="K417" s="63">
        <v>3</v>
      </c>
      <c r="L417" s="63">
        <v>1</v>
      </c>
      <c r="M417" s="63">
        <v>7</v>
      </c>
      <c r="N417" s="63"/>
      <c r="O417" s="63">
        <v>1</v>
      </c>
      <c r="P417" s="63">
        <v>3</v>
      </c>
      <c r="Q417" s="63"/>
      <c r="R417" s="64"/>
      <c r="S417" s="63"/>
      <c r="T417" s="63"/>
      <c r="U417" s="63"/>
      <c r="V417" s="63">
        <v>6</v>
      </c>
      <c r="W417" s="63"/>
      <c r="X417" s="63">
        <v>7</v>
      </c>
      <c r="Y417" s="63">
        <v>37</v>
      </c>
      <c r="Z417" s="63">
        <v>1</v>
      </c>
      <c r="AA417" s="63">
        <v>0</v>
      </c>
      <c r="AB417" s="65">
        <f>100/(SUM(I417:Z417))</f>
        <v>1</v>
      </c>
      <c r="AC417" s="259">
        <f>SUM(I417:AA417)</f>
        <v>100</v>
      </c>
      <c r="AD417" s="63"/>
      <c r="AE417" s="64"/>
      <c r="AF417" s="64"/>
      <c r="AG417" s="66" t="s">
        <v>127</v>
      </c>
      <c r="AH417" s="67" t="s">
        <v>1716</v>
      </c>
      <c r="AI417" s="200" t="s">
        <v>1722</v>
      </c>
      <c r="AJ417" s="67" t="s">
        <v>1718</v>
      </c>
      <c r="AK417" s="61" t="s">
        <v>1720</v>
      </c>
      <c r="AL417" s="66">
        <f>(B417-DATE(1970,1,1))*86400</f>
        <v>1736812800</v>
      </c>
      <c r="AM417" s="66">
        <f>(C417-DATE(1970,1,1))*86400</f>
        <v>1737504000</v>
      </c>
      <c r="AN417" s="66">
        <f>AVERAGE(AL417:AM417)</f>
        <v>1737158400</v>
      </c>
      <c r="AO417"/>
      <c r="AP417"/>
      <c r="AQ417"/>
      <c r="AR417"/>
      <c r="AS417"/>
      <c r="AT417"/>
      <c r="AU417"/>
      <c r="AV417"/>
      <c r="AW417"/>
      <c r="AX417"/>
      <c r="AY417"/>
      <c r="AZ417"/>
      <c r="BA417"/>
      <c r="BB417"/>
      <c r="BC417"/>
      <c r="BD417"/>
      <c r="BE417"/>
      <c r="BF417"/>
      <c r="BG417"/>
      <c r="BH417"/>
      <c r="BI417"/>
      <c r="BJ417"/>
      <c r="BK417"/>
      <c r="BL417"/>
      <c r="BM417"/>
    </row>
    <row r="418" spans="1:65" x14ac:dyDescent="0.2">
      <c r="A418" s="288" t="s">
        <v>123</v>
      </c>
      <c r="B418" s="60">
        <v>45671</v>
      </c>
      <c r="C418" s="60">
        <v>45679</v>
      </c>
      <c r="D418" s="61" t="s">
        <v>168</v>
      </c>
      <c r="E418" s="334" t="s">
        <v>125</v>
      </c>
      <c r="F418" s="62"/>
      <c r="G418" s="61" t="s">
        <v>126</v>
      </c>
      <c r="H418" s="334">
        <v>1000</v>
      </c>
      <c r="I418" s="63">
        <v>32</v>
      </c>
      <c r="J418" s="63">
        <v>2</v>
      </c>
      <c r="K418" s="63">
        <v>2</v>
      </c>
      <c r="L418" s="63">
        <v>1</v>
      </c>
      <c r="M418" s="63">
        <v>8</v>
      </c>
      <c r="N418" s="63"/>
      <c r="O418" s="63">
        <v>1</v>
      </c>
      <c r="P418" s="63">
        <v>3</v>
      </c>
      <c r="Q418" s="63"/>
      <c r="R418" s="64"/>
      <c r="S418" s="63"/>
      <c r="T418" s="63"/>
      <c r="U418" s="63"/>
      <c r="V418" s="63">
        <v>5</v>
      </c>
      <c r="W418" s="63"/>
      <c r="X418" s="63">
        <v>7</v>
      </c>
      <c r="Y418" s="63">
        <v>39</v>
      </c>
      <c r="Z418" s="63">
        <v>1</v>
      </c>
      <c r="AA418" s="63">
        <v>0</v>
      </c>
      <c r="AB418" s="65">
        <f>100/(SUM(I418:Z418))</f>
        <v>0.99009900990099009</v>
      </c>
      <c r="AC418" s="259">
        <f>SUM(I418:AA418)</f>
        <v>101</v>
      </c>
      <c r="AD418" s="63"/>
      <c r="AE418" s="64"/>
      <c r="AF418" s="64"/>
      <c r="AG418" s="66" t="s">
        <v>127</v>
      </c>
      <c r="AH418" s="67" t="s">
        <v>1716</v>
      </c>
      <c r="AI418" s="200" t="s">
        <v>1741</v>
      </c>
      <c r="AJ418" s="67" t="s">
        <v>1739</v>
      </c>
      <c r="AK418" s="61" t="s">
        <v>1721</v>
      </c>
      <c r="AL418" s="66">
        <f>(B418-DATE(1970,1,1))*86400</f>
        <v>1736812800</v>
      </c>
      <c r="AM418" s="66">
        <f>(C418-DATE(1970,1,1))*86400</f>
        <v>1737504000</v>
      </c>
      <c r="AN418" s="66">
        <f>AVERAGE(AL418:AM418)</f>
        <v>1737158400</v>
      </c>
    </row>
    <row r="419" spans="1:65" x14ac:dyDescent="0.2">
      <c r="A419" s="296" t="s">
        <v>133</v>
      </c>
      <c r="B419" s="100">
        <v>45627</v>
      </c>
      <c r="C419" s="100">
        <v>45716</v>
      </c>
      <c r="D419" s="99" t="s">
        <v>276</v>
      </c>
      <c r="E419" s="326" t="s">
        <v>125</v>
      </c>
      <c r="F419" s="99"/>
      <c r="G419" s="99" t="s">
        <v>126</v>
      </c>
      <c r="H419" s="326">
        <v>6600</v>
      </c>
      <c r="I419" s="101">
        <v>31.56</v>
      </c>
      <c r="J419" s="101"/>
      <c r="K419" s="101"/>
      <c r="L419" s="101"/>
      <c r="M419" s="101">
        <v>3</v>
      </c>
      <c r="N419" s="101"/>
      <c r="O419" s="101"/>
      <c r="P419" s="101"/>
      <c r="Q419" s="101"/>
      <c r="R419" s="101"/>
      <c r="S419" s="101"/>
      <c r="T419" s="101"/>
      <c r="U419" s="101"/>
      <c r="V419" s="101">
        <v>3</v>
      </c>
      <c r="W419" s="101"/>
      <c r="X419" s="101">
        <v>5.35</v>
      </c>
      <c r="Y419" s="101">
        <v>30.92</v>
      </c>
      <c r="Z419" s="101">
        <v>4</v>
      </c>
      <c r="AA419" s="101">
        <v>22.12</v>
      </c>
      <c r="AB419" s="102">
        <f>100/(SUM(I419:Z419))</f>
        <v>1.2848515996402414</v>
      </c>
      <c r="AC419" s="259">
        <f>SUM(I419:AA419)</f>
        <v>99.950000000000017</v>
      </c>
      <c r="AD419" s="101">
        <v>79</v>
      </c>
      <c r="AE419" s="101">
        <v>5</v>
      </c>
      <c r="AF419" s="101">
        <v>8</v>
      </c>
      <c r="AG419" s="103" t="s">
        <v>127</v>
      </c>
      <c r="AH419" s="104" t="s">
        <v>1749</v>
      </c>
      <c r="AI419" s="104" t="s">
        <v>1750</v>
      </c>
      <c r="AJ419" s="104" t="s">
        <v>1751</v>
      </c>
      <c r="AK419" s="99" t="s">
        <v>1854</v>
      </c>
      <c r="AL419" s="103">
        <f>(B419-DATE(1970,1,1))*86400</f>
        <v>1733011200</v>
      </c>
      <c r="AM419" s="103">
        <f>(C419-DATE(1970,1,1))*86400</f>
        <v>1740700800</v>
      </c>
      <c r="AN419" s="103">
        <f>AVERAGE(AL419:AM419)</f>
        <v>1736856000</v>
      </c>
    </row>
    <row r="420" spans="1:65" x14ac:dyDescent="0.2">
      <c r="A420" s="296" t="s">
        <v>123</v>
      </c>
      <c r="B420" s="100">
        <v>45627</v>
      </c>
      <c r="C420" s="100">
        <v>45716</v>
      </c>
      <c r="D420" s="99" t="s">
        <v>276</v>
      </c>
      <c r="E420" s="326" t="s">
        <v>125</v>
      </c>
      <c r="F420" s="99"/>
      <c r="G420" s="99" t="s">
        <v>126</v>
      </c>
      <c r="H420" s="326">
        <v>5100</v>
      </c>
      <c r="I420" s="101">
        <v>33</v>
      </c>
      <c r="J420" s="101"/>
      <c r="K420" s="101"/>
      <c r="L420" s="101"/>
      <c r="M420" s="101">
        <v>3</v>
      </c>
      <c r="N420" s="101"/>
      <c r="O420" s="101"/>
      <c r="P420" s="101"/>
      <c r="Q420" s="101"/>
      <c r="R420" s="101"/>
      <c r="S420" s="101"/>
      <c r="T420" s="101"/>
      <c r="U420" s="101"/>
      <c r="V420" s="101">
        <v>3</v>
      </c>
      <c r="W420" s="101"/>
      <c r="X420" s="101">
        <v>5</v>
      </c>
      <c r="Y420" s="101">
        <v>37</v>
      </c>
      <c r="Z420" s="101">
        <v>4</v>
      </c>
      <c r="AA420" s="101">
        <v>16</v>
      </c>
      <c r="AB420" s="102">
        <f>100/(SUM(I420:Z420))</f>
        <v>1.1764705882352942</v>
      </c>
      <c r="AC420" s="259">
        <f>SUM(I420:AA420)</f>
        <v>101</v>
      </c>
      <c r="AD420" s="101"/>
      <c r="AE420" s="101"/>
      <c r="AF420" s="101"/>
      <c r="AG420" s="103" t="s">
        <v>127</v>
      </c>
      <c r="AH420" s="222" t="s">
        <v>1749</v>
      </c>
      <c r="AI420" s="104" t="s">
        <v>1750</v>
      </c>
      <c r="AJ420" s="104" t="s">
        <v>1751</v>
      </c>
      <c r="AK420" s="99" t="s">
        <v>1846</v>
      </c>
      <c r="AL420" s="103">
        <f>(B420-DATE(1970,1,1))*86400</f>
        <v>1733011200</v>
      </c>
      <c r="AM420" s="103">
        <f>(C420-DATE(1970,1,1))*86400</f>
        <v>1740700800</v>
      </c>
      <c r="AN420" s="103">
        <f>AVERAGE(AL420:AM420)</f>
        <v>1736856000</v>
      </c>
    </row>
    <row r="421" spans="1:65" ht="15.75" customHeight="1" x14ac:dyDescent="0.2">
      <c r="A421" s="278" t="s">
        <v>133</v>
      </c>
      <c r="B421" s="203">
        <v>45670</v>
      </c>
      <c r="C421" s="203">
        <v>45672</v>
      </c>
      <c r="D421" s="202" t="s">
        <v>1706</v>
      </c>
      <c r="E421" s="330" t="s">
        <v>184</v>
      </c>
      <c r="F421" s="202" t="s">
        <v>140</v>
      </c>
      <c r="G421" s="202" t="s">
        <v>135</v>
      </c>
      <c r="H421" s="330">
        <v>1000</v>
      </c>
      <c r="I421" s="202"/>
      <c r="J421" s="202"/>
      <c r="K421" s="202"/>
      <c r="L421" s="202"/>
      <c r="M421" s="202"/>
      <c r="N421" s="202"/>
      <c r="O421" s="202"/>
      <c r="P421" s="202"/>
      <c r="Q421" s="202"/>
      <c r="R421" s="202"/>
      <c r="S421" s="202"/>
      <c r="T421" s="202"/>
      <c r="U421" s="202"/>
      <c r="V421" s="202"/>
      <c r="W421" s="204"/>
      <c r="X421" s="202"/>
      <c r="Y421" s="202"/>
      <c r="Z421" s="202"/>
      <c r="AA421" s="202"/>
      <c r="AB421" s="205"/>
      <c r="AC421" s="259">
        <f>SUM(I421:AA421)</f>
        <v>0</v>
      </c>
      <c r="AD421" s="206"/>
      <c r="AE421" s="206"/>
      <c r="AF421" s="206"/>
      <c r="AG421" s="206" t="s">
        <v>1735</v>
      </c>
      <c r="AH421" s="207" t="s">
        <v>1707</v>
      </c>
      <c r="AI421" s="202" t="s">
        <v>1711</v>
      </c>
      <c r="AJ421" s="202"/>
      <c r="AK421" s="202" t="s">
        <v>1713</v>
      </c>
      <c r="AL421" s="208">
        <f>(B421-DATE(1970,1,1))*86400</f>
        <v>1736726400</v>
      </c>
      <c r="AM421" s="208">
        <f>(C421-DATE(1970,1,1))*86400</f>
        <v>1736899200</v>
      </c>
      <c r="AN421" s="208">
        <f>AVERAGE(AL421:AM421)</f>
        <v>1736812800</v>
      </c>
    </row>
    <row r="422" spans="1:65" ht="15.75" customHeight="1" x14ac:dyDescent="0.2">
      <c r="A422" s="279" t="s">
        <v>123</v>
      </c>
      <c r="B422" s="14">
        <v>45663</v>
      </c>
      <c r="C422" s="14">
        <v>45665</v>
      </c>
      <c r="D422" s="13" t="s">
        <v>124</v>
      </c>
      <c r="E422" s="324" t="s">
        <v>125</v>
      </c>
      <c r="F422" s="13" t="s">
        <v>140</v>
      </c>
      <c r="G422" s="13" t="s">
        <v>126</v>
      </c>
      <c r="H422" s="349">
        <v>1000</v>
      </c>
      <c r="I422" s="15"/>
      <c r="J422" s="15"/>
      <c r="K422" s="15"/>
      <c r="L422" s="15"/>
      <c r="M422" s="15"/>
      <c r="N422" s="15"/>
      <c r="O422" s="15"/>
      <c r="P422" s="15"/>
      <c r="Q422" s="15"/>
      <c r="R422" s="15"/>
      <c r="S422" s="15"/>
      <c r="T422" s="15"/>
      <c r="U422" s="15"/>
      <c r="V422" s="15"/>
      <c r="W422" s="15"/>
      <c r="X422" s="15"/>
      <c r="Y422" s="15"/>
      <c r="Z422" s="15"/>
      <c r="AA422" s="15"/>
      <c r="AB422" s="16" t="e">
        <f>100/(SUM(I422:Z422))</f>
        <v>#DIV/0!</v>
      </c>
      <c r="AC422" s="259">
        <f>SUM(I422:AA422)</f>
        <v>0</v>
      </c>
      <c r="AD422" s="15"/>
      <c r="AE422" s="15"/>
      <c r="AF422" s="15"/>
      <c r="AG422" s="17" t="s">
        <v>127</v>
      </c>
      <c r="AH422" s="18" t="s">
        <v>1702</v>
      </c>
      <c r="AI422" s="18" t="s">
        <v>1703</v>
      </c>
      <c r="AJ422" s="18" t="s">
        <v>1704</v>
      </c>
      <c r="AK422" s="13" t="s">
        <v>1705</v>
      </c>
      <c r="AL422" s="17">
        <f>(B422-DATE(1970,1,1))*86400</f>
        <v>1736121600</v>
      </c>
      <c r="AM422" s="17">
        <f>(C422-DATE(1970,1,1))*86400</f>
        <v>1736294400</v>
      </c>
      <c r="AN422" s="17">
        <f>AVERAGE(AL422:AM422)</f>
        <v>1736208000</v>
      </c>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row>
    <row r="423" spans="1:65" x14ac:dyDescent="0.2">
      <c r="A423" s="284" t="s">
        <v>133</v>
      </c>
      <c r="B423" s="20">
        <v>45657</v>
      </c>
      <c r="C423" s="20">
        <v>45667</v>
      </c>
      <c r="D423" s="19" t="s">
        <v>134</v>
      </c>
      <c r="E423" s="332" t="s">
        <v>125</v>
      </c>
      <c r="F423" s="19"/>
      <c r="G423" s="19" t="s">
        <v>135</v>
      </c>
      <c r="H423" s="332">
        <v>1500</v>
      </c>
      <c r="I423" s="21">
        <v>26</v>
      </c>
      <c r="J423" s="21">
        <v>0</v>
      </c>
      <c r="K423" s="21">
        <v>0</v>
      </c>
      <c r="L423" s="21">
        <v>0</v>
      </c>
      <c r="M423" s="21">
        <v>4</v>
      </c>
      <c r="N423" s="21"/>
      <c r="O423" s="21">
        <v>0</v>
      </c>
      <c r="P423" s="21">
        <v>1</v>
      </c>
      <c r="Q423" s="21"/>
      <c r="R423" s="22"/>
      <c r="S423" s="21">
        <v>0</v>
      </c>
      <c r="T423" s="21">
        <v>1</v>
      </c>
      <c r="U423" s="21"/>
      <c r="V423" s="21">
        <v>2</v>
      </c>
      <c r="W423" s="21">
        <v>1</v>
      </c>
      <c r="X423" s="21">
        <v>5</v>
      </c>
      <c r="Y423" s="21">
        <v>33</v>
      </c>
      <c r="Z423" s="21">
        <v>1</v>
      </c>
      <c r="AA423" s="21">
        <v>26</v>
      </c>
      <c r="AB423" s="23">
        <f>100/(SUM(I423:Z423))</f>
        <v>1.3513513513513513</v>
      </c>
      <c r="AC423" s="259">
        <f>SUM(I423:AA423)</f>
        <v>100</v>
      </c>
      <c r="AD423" s="21"/>
      <c r="AE423" s="24"/>
      <c r="AF423" s="24"/>
      <c r="AG423" s="25" t="s">
        <v>136</v>
      </c>
      <c r="AH423" s="26" t="s">
        <v>1715</v>
      </c>
      <c r="AI423" s="26"/>
      <c r="AJ423" s="26"/>
      <c r="AK423" s="19"/>
      <c r="AL423" s="25">
        <f>(B423-DATE(1970,1,1))*86400</f>
        <v>1735603200</v>
      </c>
      <c r="AM423" s="25">
        <f>(C423-DATE(1970,1,1))*86400</f>
        <v>1736467200</v>
      </c>
      <c r="AN423" s="25">
        <f>AVERAGE(AL423:AM423)</f>
        <v>1736035200</v>
      </c>
    </row>
    <row r="424" spans="1:65" ht="15.75" customHeight="1" x14ac:dyDescent="0.2">
      <c r="A424" s="284" t="s">
        <v>123</v>
      </c>
      <c r="B424" s="20">
        <v>45657</v>
      </c>
      <c r="C424" s="20">
        <v>45667</v>
      </c>
      <c r="D424" s="19" t="s">
        <v>134</v>
      </c>
      <c r="E424" s="332" t="s">
        <v>125</v>
      </c>
      <c r="F424" s="19"/>
      <c r="G424" s="19" t="s">
        <v>135</v>
      </c>
      <c r="H424" s="332">
        <v>1500</v>
      </c>
      <c r="I424" s="21">
        <v>36</v>
      </c>
      <c r="J424" s="21">
        <v>0</v>
      </c>
      <c r="K424" s="21">
        <v>0</v>
      </c>
      <c r="L424" s="21">
        <v>0</v>
      </c>
      <c r="M424" s="21">
        <v>5</v>
      </c>
      <c r="N424" s="21"/>
      <c r="O424" s="21">
        <v>0</v>
      </c>
      <c r="P424" s="21">
        <v>1</v>
      </c>
      <c r="Q424" s="21"/>
      <c r="R424" s="22"/>
      <c r="S424" s="21">
        <v>0</v>
      </c>
      <c r="T424" s="21">
        <v>1</v>
      </c>
      <c r="U424" s="21"/>
      <c r="V424" s="21">
        <v>3</v>
      </c>
      <c r="W424" s="21">
        <v>1</v>
      </c>
      <c r="X424" s="21">
        <v>7</v>
      </c>
      <c r="Y424" s="21">
        <v>45</v>
      </c>
      <c r="Z424" s="21">
        <v>1</v>
      </c>
      <c r="AA424" s="21">
        <v>0</v>
      </c>
      <c r="AB424" s="23">
        <f>100/(SUM(I424:Z424))</f>
        <v>1</v>
      </c>
      <c r="AC424" s="259">
        <f>SUM(I424:AA424)</f>
        <v>100</v>
      </c>
      <c r="AD424" s="24"/>
      <c r="AE424" s="24"/>
      <c r="AF424" s="24"/>
      <c r="AG424" s="25" t="s">
        <v>136</v>
      </c>
      <c r="AH424" s="26" t="s">
        <v>1715</v>
      </c>
      <c r="AI424" s="26"/>
      <c r="AJ424" s="26"/>
      <c r="AK424" s="19"/>
      <c r="AL424" s="25">
        <f>(B424-DATE(1970,1,1))*86400</f>
        <v>1735603200</v>
      </c>
      <c r="AM424" s="25">
        <f>(C424-DATE(1970,1,1))*86400</f>
        <v>1736467200</v>
      </c>
      <c r="AN424" s="25">
        <f>AVERAGE(AL424:AM424)</f>
        <v>1736035200</v>
      </c>
    </row>
    <row r="425" spans="1:65" ht="15.75" customHeight="1" x14ac:dyDescent="0.2">
      <c r="A425" s="291" t="s">
        <v>133</v>
      </c>
      <c r="B425" s="191">
        <v>45642</v>
      </c>
      <c r="C425" s="191">
        <v>45644</v>
      </c>
      <c r="D425" s="47" t="s">
        <v>152</v>
      </c>
      <c r="E425" s="337" t="s">
        <v>125</v>
      </c>
      <c r="F425" s="47" t="s">
        <v>140</v>
      </c>
      <c r="G425" s="47" t="s">
        <v>126</v>
      </c>
      <c r="H425" s="356">
        <v>1000</v>
      </c>
      <c r="I425" s="49"/>
      <c r="J425" s="49"/>
      <c r="K425" s="49"/>
      <c r="L425" s="49"/>
      <c r="M425" s="49"/>
      <c r="N425" s="49"/>
      <c r="O425" s="49"/>
      <c r="P425" s="49"/>
      <c r="Q425" s="49"/>
      <c r="R425" s="49"/>
      <c r="S425" s="49"/>
      <c r="T425" s="49"/>
      <c r="U425" s="49"/>
      <c r="V425" s="49"/>
      <c r="W425" s="49"/>
      <c r="X425" s="49"/>
      <c r="Y425" s="49"/>
      <c r="Z425" s="49"/>
      <c r="AA425" s="49"/>
      <c r="AB425" s="50" t="e">
        <f>100/(SUM(I425:Z425))</f>
        <v>#DIV/0!</v>
      </c>
      <c r="AC425" s="259">
        <f>SUM(I425:AA425)</f>
        <v>0</v>
      </c>
      <c r="AD425" s="49"/>
      <c r="AE425" s="49"/>
      <c r="AF425" s="49"/>
      <c r="AG425" s="51" t="s">
        <v>127</v>
      </c>
      <c r="AH425" s="193" t="s">
        <v>1688</v>
      </c>
      <c r="AI425" s="192" t="s">
        <v>1687</v>
      </c>
      <c r="AJ425" s="193" t="s">
        <v>1689</v>
      </c>
      <c r="AK425" s="47" t="s">
        <v>1691</v>
      </c>
      <c r="AL425" s="51">
        <f>(B425-DATE(1970,1,1))*86400</f>
        <v>1734307200</v>
      </c>
      <c r="AM425" s="51">
        <f>(C425-DATE(1970,1,1))*86400</f>
        <v>1734480000</v>
      </c>
      <c r="AN425" s="51">
        <f>AVERAGE(AL425:AM425)</f>
        <v>1734393600</v>
      </c>
    </row>
    <row r="426" spans="1:65" x14ac:dyDescent="0.2">
      <c r="A426" s="291" t="s">
        <v>123</v>
      </c>
      <c r="B426" s="191">
        <v>45642</v>
      </c>
      <c r="C426" s="191">
        <v>45644</v>
      </c>
      <c r="D426" s="47" t="s">
        <v>152</v>
      </c>
      <c r="E426" s="337" t="s">
        <v>125</v>
      </c>
      <c r="F426" s="47"/>
      <c r="G426" s="47" t="s">
        <v>126</v>
      </c>
      <c r="H426" s="356">
        <v>1000</v>
      </c>
      <c r="I426" s="49">
        <v>49</v>
      </c>
      <c r="J426" s="49"/>
      <c r="K426" s="49"/>
      <c r="L426" s="49"/>
      <c r="M426" s="49">
        <v>4</v>
      </c>
      <c r="N426" s="49"/>
      <c r="O426" s="49"/>
      <c r="P426" s="49">
        <v>1</v>
      </c>
      <c r="Q426" s="49"/>
      <c r="R426" s="49"/>
      <c r="S426" s="49"/>
      <c r="T426" s="49"/>
      <c r="U426" s="49"/>
      <c r="V426" s="49">
        <v>5</v>
      </c>
      <c r="W426" s="49"/>
      <c r="X426" s="49">
        <v>5</v>
      </c>
      <c r="Y426" s="49">
        <v>34</v>
      </c>
      <c r="Z426" s="49">
        <v>2</v>
      </c>
      <c r="AA426" s="49">
        <v>0</v>
      </c>
      <c r="AB426" s="50">
        <f>100/(SUM(I426:Z426))</f>
        <v>1</v>
      </c>
      <c r="AC426" s="259">
        <f>SUM(I426:AA426)</f>
        <v>100</v>
      </c>
      <c r="AD426" s="49"/>
      <c r="AE426" s="49"/>
      <c r="AF426" s="49"/>
      <c r="AG426" s="51" t="s">
        <v>127</v>
      </c>
      <c r="AH426" s="193" t="s">
        <v>1688</v>
      </c>
      <c r="AI426" s="52" t="s">
        <v>1687</v>
      </c>
      <c r="AJ426" s="192" t="s">
        <v>1690</v>
      </c>
      <c r="AK426" s="47" t="s">
        <v>1692</v>
      </c>
      <c r="AL426" s="51">
        <f>(B426-DATE(1970,1,1))*86400</f>
        <v>1734307200</v>
      </c>
      <c r="AM426" s="51">
        <f>(C426-DATE(1970,1,1))*86400</f>
        <v>1734480000</v>
      </c>
      <c r="AN426" s="51">
        <f>AVERAGE(AL426:AM426)</f>
        <v>1734393600</v>
      </c>
    </row>
    <row r="427" spans="1:65" x14ac:dyDescent="0.2">
      <c r="A427" s="281" t="s">
        <v>133</v>
      </c>
      <c r="B427" s="54">
        <v>45637</v>
      </c>
      <c r="C427" s="54">
        <v>45643</v>
      </c>
      <c r="D427" s="53" t="s">
        <v>154</v>
      </c>
      <c r="E427" s="323" t="s">
        <v>125</v>
      </c>
      <c r="F427" s="53"/>
      <c r="G427" s="53" t="s">
        <v>126</v>
      </c>
      <c r="H427" s="357">
        <v>1000</v>
      </c>
      <c r="I427" s="55">
        <v>24</v>
      </c>
      <c r="J427" s="55">
        <v>2</v>
      </c>
      <c r="K427" s="55">
        <v>0</v>
      </c>
      <c r="L427" s="55">
        <v>0</v>
      </c>
      <c r="M427" s="55">
        <v>6</v>
      </c>
      <c r="N427" s="55"/>
      <c r="O427" s="55">
        <v>0</v>
      </c>
      <c r="P427" s="55">
        <v>1</v>
      </c>
      <c r="Q427" s="55"/>
      <c r="R427" s="56"/>
      <c r="S427" s="55"/>
      <c r="T427" s="55"/>
      <c r="U427" s="55">
        <v>1</v>
      </c>
      <c r="V427" s="55">
        <v>2</v>
      </c>
      <c r="W427" s="55"/>
      <c r="X427" s="55">
        <v>4</v>
      </c>
      <c r="Y427" s="55">
        <v>27</v>
      </c>
      <c r="Z427" s="55">
        <v>0</v>
      </c>
      <c r="AA427" s="55">
        <v>33</v>
      </c>
      <c r="AB427" s="57">
        <f>100/(SUM(I427:Z427))</f>
        <v>1.4925373134328359</v>
      </c>
      <c r="AC427" s="259">
        <f>SUM(I427:AA427)</f>
        <v>100</v>
      </c>
      <c r="AD427" s="55"/>
      <c r="AE427" s="55"/>
      <c r="AF427" s="55"/>
      <c r="AG427" s="58" t="s">
        <v>155</v>
      </c>
      <c r="AH427" s="59" t="s">
        <v>1701</v>
      </c>
      <c r="AI427" s="186" t="s">
        <v>1700</v>
      </c>
      <c r="AJ427" s="59"/>
      <c r="AK427" s="53"/>
      <c r="AL427" s="58">
        <f>(B427-DATE(1970,1,1))*86400</f>
        <v>1733875200</v>
      </c>
      <c r="AM427" s="58">
        <f>(C427-DATE(1970,1,1))*86400</f>
        <v>1734393600</v>
      </c>
      <c r="AN427" s="58">
        <f>AVERAGE(AL427:AM427)</f>
        <v>1734134400</v>
      </c>
    </row>
    <row r="428" spans="1:65" x14ac:dyDescent="0.2">
      <c r="A428" s="281" t="s">
        <v>123</v>
      </c>
      <c r="B428" s="54">
        <v>45637</v>
      </c>
      <c r="C428" s="54">
        <v>45643</v>
      </c>
      <c r="D428" s="53" t="s">
        <v>154</v>
      </c>
      <c r="E428" s="323" t="s">
        <v>125</v>
      </c>
      <c r="F428" s="53"/>
      <c r="G428" s="53" t="s">
        <v>126</v>
      </c>
      <c r="H428" s="357">
        <v>1000</v>
      </c>
      <c r="I428" s="55">
        <v>36</v>
      </c>
      <c r="J428" s="55">
        <v>2</v>
      </c>
      <c r="K428" s="55">
        <v>0</v>
      </c>
      <c r="L428" s="55">
        <v>0</v>
      </c>
      <c r="M428" s="55">
        <v>9</v>
      </c>
      <c r="N428" s="55"/>
      <c r="O428" s="55">
        <v>0</v>
      </c>
      <c r="P428" s="55">
        <v>1</v>
      </c>
      <c r="Q428" s="55"/>
      <c r="R428" s="56"/>
      <c r="S428" s="55"/>
      <c r="T428" s="55"/>
      <c r="U428" s="55">
        <v>1</v>
      </c>
      <c r="V428" s="55">
        <v>3</v>
      </c>
      <c r="W428" s="55"/>
      <c r="X428" s="55">
        <v>5</v>
      </c>
      <c r="Y428" s="55">
        <v>42</v>
      </c>
      <c r="Z428" s="55">
        <v>0</v>
      </c>
      <c r="AA428" s="55">
        <v>0</v>
      </c>
      <c r="AB428" s="57">
        <f>100/(SUM(I428:Z428))</f>
        <v>1.0101010101010102</v>
      </c>
      <c r="AC428" s="259">
        <f>SUM(I428:AA428)</f>
        <v>99</v>
      </c>
      <c r="AD428" s="55"/>
      <c r="AE428" s="55"/>
      <c r="AF428" s="55"/>
      <c r="AG428" s="58" t="s">
        <v>155</v>
      </c>
      <c r="AH428" s="186" t="s">
        <v>1701</v>
      </c>
      <c r="AI428" s="186" t="s">
        <v>1700</v>
      </c>
      <c r="AJ428" s="186"/>
      <c r="AK428" s="53"/>
      <c r="AL428" s="58">
        <f>(B428-DATE(1970,1,1))*86400</f>
        <v>1733875200</v>
      </c>
      <c r="AM428" s="58">
        <f>(C428-DATE(1970,1,1))*86400</f>
        <v>1734393600</v>
      </c>
      <c r="AN428" s="58">
        <f>AVERAGE(AL428:AM428)</f>
        <v>1734134400</v>
      </c>
    </row>
    <row r="429" spans="1:65" x14ac:dyDescent="0.2">
      <c r="A429" s="279" t="s">
        <v>133</v>
      </c>
      <c r="B429" s="14">
        <v>45635</v>
      </c>
      <c r="C429" s="14">
        <v>45637</v>
      </c>
      <c r="D429" s="13" t="s">
        <v>124</v>
      </c>
      <c r="E429" s="324" t="s">
        <v>125</v>
      </c>
      <c r="F429" s="13"/>
      <c r="G429" s="13" t="s">
        <v>126</v>
      </c>
      <c r="H429" s="349">
        <v>1000</v>
      </c>
      <c r="I429" s="15">
        <v>38</v>
      </c>
      <c r="J429" s="15"/>
      <c r="K429" s="15"/>
      <c r="L429" s="15"/>
      <c r="M429" s="15">
        <v>3</v>
      </c>
      <c r="N429" s="15"/>
      <c r="O429" s="15"/>
      <c r="P429" s="15">
        <v>1</v>
      </c>
      <c r="Q429" s="15"/>
      <c r="R429" s="15"/>
      <c r="S429" s="15"/>
      <c r="T429" s="15"/>
      <c r="U429" s="15"/>
      <c r="V429" s="15">
        <v>4</v>
      </c>
      <c r="W429" s="15"/>
      <c r="X429" s="15">
        <v>4</v>
      </c>
      <c r="Y429" s="15">
        <v>25</v>
      </c>
      <c r="Z429" s="15">
        <v>4</v>
      </c>
      <c r="AA429" s="15">
        <v>21</v>
      </c>
      <c r="AB429" s="16">
        <f>100/(SUM(I429:Z429))</f>
        <v>1.2658227848101267</v>
      </c>
      <c r="AC429" s="259">
        <f>SUM(I429:AA429)</f>
        <v>100</v>
      </c>
      <c r="AD429" s="15">
        <v>73</v>
      </c>
      <c r="AE429" s="15"/>
      <c r="AF429" s="15"/>
      <c r="AG429" s="17" t="s">
        <v>127</v>
      </c>
      <c r="AH429" s="201" t="s">
        <v>1678</v>
      </c>
      <c r="AI429" s="18" t="s">
        <v>1677</v>
      </c>
      <c r="AJ429" s="18" t="s">
        <v>1676</v>
      </c>
      <c r="AK429" s="13" t="s">
        <v>1693</v>
      </c>
      <c r="AL429" s="17">
        <f>(B429-DATE(1970,1,1))*86400</f>
        <v>1733702400</v>
      </c>
      <c r="AM429" s="17">
        <f>(C429-DATE(1970,1,1))*86400</f>
        <v>1733875200</v>
      </c>
      <c r="AN429" s="17">
        <f>AVERAGE(AL429:AM429)</f>
        <v>1733788800</v>
      </c>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row>
    <row r="430" spans="1:65" x14ac:dyDescent="0.2">
      <c r="A430" s="279" t="s">
        <v>123</v>
      </c>
      <c r="B430" s="14">
        <v>45635</v>
      </c>
      <c r="C430" s="14">
        <v>45637</v>
      </c>
      <c r="D430" s="13" t="s">
        <v>124</v>
      </c>
      <c r="E430" s="324" t="s">
        <v>125</v>
      </c>
      <c r="F430" s="13"/>
      <c r="G430" s="13" t="s">
        <v>126</v>
      </c>
      <c r="H430" s="349">
        <v>1000</v>
      </c>
      <c r="I430" s="15">
        <v>47</v>
      </c>
      <c r="J430" s="15"/>
      <c r="K430" s="15"/>
      <c r="L430" s="15"/>
      <c r="M430" s="15">
        <v>5</v>
      </c>
      <c r="N430" s="15"/>
      <c r="O430" s="15"/>
      <c r="P430" s="15">
        <v>1</v>
      </c>
      <c r="Q430" s="15"/>
      <c r="R430" s="15"/>
      <c r="S430" s="15"/>
      <c r="T430" s="15"/>
      <c r="U430" s="15"/>
      <c r="V430" s="15">
        <v>3</v>
      </c>
      <c r="W430" s="15"/>
      <c r="X430" s="15">
        <v>4</v>
      </c>
      <c r="Y430" s="15">
        <v>37</v>
      </c>
      <c r="Z430" s="15">
        <v>3</v>
      </c>
      <c r="AA430" s="15">
        <v>0</v>
      </c>
      <c r="AB430" s="16">
        <f>100/(SUM(I430:Z430))</f>
        <v>1</v>
      </c>
      <c r="AC430" s="259">
        <f>SUM(I430:AA430)</f>
        <v>100</v>
      </c>
      <c r="AD430" s="15"/>
      <c r="AE430" s="15"/>
      <c r="AF430" s="15"/>
      <c r="AG430" s="17" t="s">
        <v>127</v>
      </c>
      <c r="AH430" s="18" t="s">
        <v>1678</v>
      </c>
      <c r="AI430" s="18" t="s">
        <v>1677</v>
      </c>
      <c r="AJ430" s="18" t="s">
        <v>1676</v>
      </c>
      <c r="AK430" s="13" t="s">
        <v>1723</v>
      </c>
      <c r="AL430" s="17">
        <f>(B430-DATE(1970,1,1))*86400</f>
        <v>1733702400</v>
      </c>
      <c r="AM430" s="17">
        <f>(C430-DATE(1970,1,1))*86400</f>
        <v>1733875200</v>
      </c>
      <c r="AN430" s="17">
        <f>AVERAGE(AL430:AM430)</f>
        <v>1733788800</v>
      </c>
    </row>
    <row r="431" spans="1:65" x14ac:dyDescent="0.2">
      <c r="A431" s="280" t="s">
        <v>123</v>
      </c>
      <c r="B431" s="108">
        <v>45627</v>
      </c>
      <c r="C431" s="108">
        <v>45638</v>
      </c>
      <c r="D431" s="76" t="s">
        <v>200</v>
      </c>
      <c r="E431" s="320" t="s">
        <v>125</v>
      </c>
      <c r="F431" s="76"/>
      <c r="G431" s="76" t="s">
        <v>126</v>
      </c>
      <c r="H431" s="350">
        <v>1000</v>
      </c>
      <c r="I431" s="78">
        <v>40</v>
      </c>
      <c r="J431" s="78">
        <v>1</v>
      </c>
      <c r="K431" s="78"/>
      <c r="L431" s="78"/>
      <c r="M431" s="78">
        <v>4</v>
      </c>
      <c r="N431" s="78"/>
      <c r="O431" s="78"/>
      <c r="P431" s="78">
        <v>3</v>
      </c>
      <c r="Q431" s="78"/>
      <c r="R431" s="78"/>
      <c r="S431" s="78"/>
      <c r="T431" s="78"/>
      <c r="U431" s="78"/>
      <c r="V431" s="78">
        <v>7</v>
      </c>
      <c r="W431" s="78"/>
      <c r="X431" s="78">
        <v>6</v>
      </c>
      <c r="Y431" s="78">
        <v>31</v>
      </c>
      <c r="Z431" s="78">
        <v>1</v>
      </c>
      <c r="AA431" s="78">
        <v>7</v>
      </c>
      <c r="AB431" s="79">
        <f>100/(SUM(I431:Z431))</f>
        <v>1.075268817204301</v>
      </c>
      <c r="AC431" s="259">
        <f>SUM(I431:AA431)</f>
        <v>100</v>
      </c>
      <c r="AD431" s="78"/>
      <c r="AE431" s="78"/>
      <c r="AF431" s="78"/>
      <c r="AG431" s="80" t="s">
        <v>127</v>
      </c>
      <c r="AH431" s="195" t="s">
        <v>1672</v>
      </c>
      <c r="AI431" s="195" t="s">
        <v>1673</v>
      </c>
      <c r="AJ431" s="194" t="s">
        <v>1674</v>
      </c>
      <c r="AK431" s="76" t="s">
        <v>2084</v>
      </c>
      <c r="AL431" s="80">
        <f>(B431-DATE(1970,1,1))*86400</f>
        <v>1733011200</v>
      </c>
      <c r="AM431" s="80">
        <f>(C431-DATE(1970,1,1))*86400</f>
        <v>1733961600</v>
      </c>
      <c r="AN431" s="80">
        <f>AVERAGE(AL431:AM431)</f>
        <v>1733486400</v>
      </c>
    </row>
    <row r="432" spans="1:65" ht="15.75" customHeight="1" x14ac:dyDescent="0.2">
      <c r="A432" s="280" t="s">
        <v>123</v>
      </c>
      <c r="B432" s="108">
        <v>45627</v>
      </c>
      <c r="C432" s="108">
        <v>45638</v>
      </c>
      <c r="D432" s="76" t="s">
        <v>200</v>
      </c>
      <c r="E432" s="320" t="s">
        <v>125</v>
      </c>
      <c r="F432" s="76"/>
      <c r="G432" s="76" t="s">
        <v>126</v>
      </c>
      <c r="H432" s="350">
        <v>1000</v>
      </c>
      <c r="I432" s="78">
        <v>42</v>
      </c>
      <c r="J432" s="78">
        <v>1</v>
      </c>
      <c r="K432" s="78"/>
      <c r="L432" s="78"/>
      <c r="M432" s="78">
        <v>5</v>
      </c>
      <c r="N432" s="78"/>
      <c r="O432" s="78"/>
      <c r="P432" s="78">
        <v>3</v>
      </c>
      <c r="Q432" s="78"/>
      <c r="R432" s="78"/>
      <c r="S432" s="78"/>
      <c r="T432" s="78"/>
      <c r="U432" s="78"/>
      <c r="V432" s="78">
        <v>7</v>
      </c>
      <c r="W432" s="78"/>
      <c r="X432" s="78">
        <v>7</v>
      </c>
      <c r="Y432" s="78">
        <v>34</v>
      </c>
      <c r="Z432" s="78">
        <v>1</v>
      </c>
      <c r="AA432" s="78">
        <v>0</v>
      </c>
      <c r="AB432" s="79">
        <f>100/(SUM(I432:Z432))</f>
        <v>1</v>
      </c>
      <c r="AC432" s="259">
        <f>SUM(I432:AA432)</f>
        <v>100</v>
      </c>
      <c r="AD432" s="78"/>
      <c r="AE432" s="78"/>
      <c r="AF432" s="78"/>
      <c r="AG432" s="80" t="s">
        <v>127</v>
      </c>
      <c r="AH432" s="195" t="s">
        <v>1672</v>
      </c>
      <c r="AI432" s="195" t="s">
        <v>1673</v>
      </c>
      <c r="AJ432" s="194" t="s">
        <v>1674</v>
      </c>
      <c r="AK432" s="76" t="s">
        <v>1675</v>
      </c>
      <c r="AL432" s="80">
        <f>(B432-DATE(1970,1,1))*86400</f>
        <v>1733011200</v>
      </c>
      <c r="AM432" s="80">
        <f>(C432-DATE(1970,1,1))*86400</f>
        <v>1733961600</v>
      </c>
      <c r="AN432" s="80">
        <f>AVERAGE(AL432:AM432)</f>
        <v>1733486400</v>
      </c>
    </row>
    <row r="433" spans="1:65" x14ac:dyDescent="0.2">
      <c r="A433" s="284" t="s">
        <v>133</v>
      </c>
      <c r="B433" s="20">
        <v>45625</v>
      </c>
      <c r="C433" s="20">
        <v>45632</v>
      </c>
      <c r="D433" s="19" t="s">
        <v>134</v>
      </c>
      <c r="E433" s="332" t="s">
        <v>125</v>
      </c>
      <c r="F433" s="19"/>
      <c r="G433" s="19" t="s">
        <v>135</v>
      </c>
      <c r="H433" s="332">
        <v>1500</v>
      </c>
      <c r="I433" s="21">
        <v>27</v>
      </c>
      <c r="J433" s="21">
        <v>0</v>
      </c>
      <c r="K433" s="21">
        <v>0</v>
      </c>
      <c r="L433" s="21">
        <v>0</v>
      </c>
      <c r="M433" s="21">
        <v>4</v>
      </c>
      <c r="N433" s="21"/>
      <c r="O433" s="21">
        <v>0</v>
      </c>
      <c r="P433" s="21">
        <v>1</v>
      </c>
      <c r="Q433" s="21"/>
      <c r="R433" s="22"/>
      <c r="S433" s="21">
        <v>1</v>
      </c>
      <c r="T433" s="21">
        <v>1</v>
      </c>
      <c r="U433" s="21"/>
      <c r="V433" s="21">
        <v>2</v>
      </c>
      <c r="W433" s="21">
        <v>1</v>
      </c>
      <c r="X433" s="21">
        <v>5</v>
      </c>
      <c r="Y433" s="21">
        <v>33</v>
      </c>
      <c r="Z433" s="21">
        <v>1</v>
      </c>
      <c r="AA433" s="21">
        <v>24</v>
      </c>
      <c r="AB433" s="23">
        <f>100/(SUM(I433:Z433))</f>
        <v>1.3157894736842106</v>
      </c>
      <c r="AC433" s="259">
        <f>SUM(I433:AA433)</f>
        <v>100</v>
      </c>
      <c r="AD433" s="21"/>
      <c r="AE433" s="24"/>
      <c r="AF433" s="24"/>
      <c r="AG433" s="25" t="s">
        <v>136</v>
      </c>
      <c r="AH433" s="26" t="s">
        <v>1684</v>
      </c>
      <c r="AI433" s="26" t="s">
        <v>1670</v>
      </c>
      <c r="AJ433" s="26" t="s">
        <v>1671</v>
      </c>
      <c r="AK433" s="19" t="s">
        <v>1694</v>
      </c>
      <c r="AL433" s="25">
        <f>(B433-DATE(1970,1,1))*86400</f>
        <v>1732838400</v>
      </c>
      <c r="AM433" s="25">
        <f>(C433-DATE(1970,1,1))*86400</f>
        <v>1733443200</v>
      </c>
      <c r="AN433" s="25">
        <f>AVERAGE(AL433:AM433)</f>
        <v>1733140800</v>
      </c>
    </row>
    <row r="434" spans="1:65" x14ac:dyDescent="0.2">
      <c r="A434" s="284" t="s">
        <v>123</v>
      </c>
      <c r="B434" s="20">
        <v>45625</v>
      </c>
      <c r="C434" s="20">
        <v>45632</v>
      </c>
      <c r="D434" s="19" t="s">
        <v>134</v>
      </c>
      <c r="E434" s="332" t="s">
        <v>125</v>
      </c>
      <c r="F434" s="19"/>
      <c r="G434" s="19" t="s">
        <v>135</v>
      </c>
      <c r="H434" s="332">
        <v>1500</v>
      </c>
      <c r="I434" s="21">
        <v>37</v>
      </c>
      <c r="J434" s="21">
        <v>0</v>
      </c>
      <c r="K434" s="21">
        <v>0</v>
      </c>
      <c r="L434" s="21">
        <v>0</v>
      </c>
      <c r="M434" s="21">
        <v>5</v>
      </c>
      <c r="N434" s="21"/>
      <c r="O434" s="21">
        <v>0</v>
      </c>
      <c r="P434" s="21">
        <v>1</v>
      </c>
      <c r="Q434" s="21"/>
      <c r="R434" s="22"/>
      <c r="S434" s="21">
        <v>1</v>
      </c>
      <c r="T434" s="21">
        <v>2</v>
      </c>
      <c r="U434" s="21"/>
      <c r="V434" s="21">
        <v>3</v>
      </c>
      <c r="W434" s="21">
        <v>1</v>
      </c>
      <c r="X434" s="21">
        <v>6</v>
      </c>
      <c r="Y434" s="21">
        <v>43</v>
      </c>
      <c r="Z434" s="21">
        <v>1</v>
      </c>
      <c r="AA434" s="21">
        <v>0</v>
      </c>
      <c r="AB434" s="23">
        <f>100/(SUM(I434:Z434))</f>
        <v>1</v>
      </c>
      <c r="AC434" s="259">
        <f>SUM(I434:AA434)</f>
        <v>100</v>
      </c>
      <c r="AD434" s="24"/>
      <c r="AE434" s="24"/>
      <c r="AF434" s="24"/>
      <c r="AG434" s="25" t="s">
        <v>136</v>
      </c>
      <c r="AH434" s="26" t="s">
        <v>1684</v>
      </c>
      <c r="AI434" s="26" t="s">
        <v>1670</v>
      </c>
      <c r="AJ434" s="26" t="s">
        <v>1671</v>
      </c>
      <c r="AK434" s="19"/>
      <c r="AL434" s="25">
        <f>(B434-DATE(1970,1,1))*86400</f>
        <v>1732838400</v>
      </c>
      <c r="AM434" s="25">
        <f>(C434-DATE(1970,1,1))*86400</f>
        <v>1733443200</v>
      </c>
      <c r="AN434" s="25">
        <f>AVERAGE(AL434:AM434)</f>
        <v>1733140800</v>
      </c>
    </row>
    <row r="435" spans="1:65" x14ac:dyDescent="0.2">
      <c r="A435" s="288" t="s">
        <v>133</v>
      </c>
      <c r="B435" s="60">
        <v>45624</v>
      </c>
      <c r="C435" s="60">
        <v>45631</v>
      </c>
      <c r="D435" s="61" t="s">
        <v>168</v>
      </c>
      <c r="E435" s="334" t="s">
        <v>125</v>
      </c>
      <c r="F435" s="62"/>
      <c r="G435" s="61" t="s">
        <v>126</v>
      </c>
      <c r="H435" s="334">
        <v>1000</v>
      </c>
      <c r="I435" s="63">
        <v>25</v>
      </c>
      <c r="J435" s="63">
        <v>2</v>
      </c>
      <c r="K435" s="63">
        <v>1</v>
      </c>
      <c r="L435" s="63">
        <v>1</v>
      </c>
      <c r="M435" s="63">
        <v>5</v>
      </c>
      <c r="N435" s="63"/>
      <c r="O435" s="63">
        <v>1</v>
      </c>
      <c r="P435" s="63">
        <v>3</v>
      </c>
      <c r="Q435" s="63"/>
      <c r="R435" s="64"/>
      <c r="S435" s="63"/>
      <c r="T435" s="63"/>
      <c r="U435" s="63"/>
      <c r="V435" s="63">
        <v>4</v>
      </c>
      <c r="W435" s="63"/>
      <c r="X435" s="63">
        <v>6</v>
      </c>
      <c r="Y435" s="63">
        <v>27</v>
      </c>
      <c r="Z435" s="63">
        <v>1</v>
      </c>
      <c r="AA435" s="63">
        <v>24</v>
      </c>
      <c r="AB435" s="65">
        <f>100/(SUM(I435:Z435))</f>
        <v>1.3157894736842106</v>
      </c>
      <c r="AC435" s="259">
        <f>SUM(I435:AA435)</f>
        <v>100</v>
      </c>
      <c r="AD435" s="63">
        <v>60</v>
      </c>
      <c r="AE435" s="64"/>
      <c r="AF435" s="64"/>
      <c r="AG435" s="66" t="s">
        <v>127</v>
      </c>
      <c r="AH435" s="67" t="s">
        <v>1679</v>
      </c>
      <c r="AI435" s="67" t="s">
        <v>1680</v>
      </c>
      <c r="AJ435" s="67" t="s">
        <v>1681</v>
      </c>
      <c r="AK435" s="61" t="s">
        <v>1682</v>
      </c>
      <c r="AL435" s="66">
        <f>(B435-DATE(1970,1,1))*86400</f>
        <v>1732752000</v>
      </c>
      <c r="AM435" s="66">
        <f>(C435-DATE(1970,1,1))*86400</f>
        <v>1733356800</v>
      </c>
      <c r="AN435" s="66">
        <f>AVERAGE(AL435:AM435)</f>
        <v>1733054400</v>
      </c>
    </row>
    <row r="436" spans="1:65" x14ac:dyDescent="0.2">
      <c r="A436" s="288" t="s">
        <v>133</v>
      </c>
      <c r="B436" s="60">
        <v>45624</v>
      </c>
      <c r="C436" s="60">
        <v>45631</v>
      </c>
      <c r="D436" s="61" t="s">
        <v>168</v>
      </c>
      <c r="E436" s="334" t="s">
        <v>125</v>
      </c>
      <c r="F436" s="62"/>
      <c r="G436" s="61" t="s">
        <v>126</v>
      </c>
      <c r="H436" s="334">
        <v>1000</v>
      </c>
      <c r="I436" s="63">
        <v>32</v>
      </c>
      <c r="J436" s="63">
        <v>3</v>
      </c>
      <c r="K436" s="63">
        <v>1</v>
      </c>
      <c r="L436" s="63">
        <v>1</v>
      </c>
      <c r="M436" s="63">
        <v>7</v>
      </c>
      <c r="N436" s="63"/>
      <c r="O436" s="63">
        <v>1</v>
      </c>
      <c r="P436" s="63">
        <v>4</v>
      </c>
      <c r="Q436" s="63"/>
      <c r="R436" s="64"/>
      <c r="S436" s="63"/>
      <c r="T436" s="63"/>
      <c r="U436" s="63"/>
      <c r="V436" s="63">
        <v>5</v>
      </c>
      <c r="W436" s="63"/>
      <c r="X436" s="63">
        <v>8</v>
      </c>
      <c r="Y436" s="63">
        <v>35</v>
      </c>
      <c r="Z436" s="63">
        <v>1</v>
      </c>
      <c r="AA436" s="63">
        <v>0</v>
      </c>
      <c r="AB436" s="65">
        <f>100/(SUM(I436:Z436))</f>
        <v>1.0204081632653061</v>
      </c>
      <c r="AC436" s="259">
        <f>SUM(I436:AA436)</f>
        <v>98</v>
      </c>
      <c r="AD436" s="63"/>
      <c r="AE436" s="64"/>
      <c r="AF436" s="64"/>
      <c r="AG436" s="66" t="s">
        <v>127</v>
      </c>
      <c r="AH436" s="67" t="s">
        <v>1679</v>
      </c>
      <c r="AI436" s="67" t="s">
        <v>1680</v>
      </c>
      <c r="AJ436" s="67" t="s">
        <v>1708</v>
      </c>
      <c r="AK436" s="61" t="s">
        <v>1712</v>
      </c>
      <c r="AL436" s="66">
        <f>(B436-DATE(1970,1,1))*86400</f>
        <v>1732752000</v>
      </c>
      <c r="AM436" s="66">
        <f>(C436-DATE(1970,1,1))*86400</f>
        <v>1733356800</v>
      </c>
      <c r="AN436" s="66">
        <f>AVERAGE(AL436:AM436)</f>
        <v>1733054400</v>
      </c>
    </row>
    <row r="437" spans="1:65" x14ac:dyDescent="0.2">
      <c r="A437" s="288" t="s">
        <v>123</v>
      </c>
      <c r="B437" s="60">
        <v>45624</v>
      </c>
      <c r="C437" s="60">
        <v>45631</v>
      </c>
      <c r="D437" s="61" t="s">
        <v>168</v>
      </c>
      <c r="E437" s="334" t="s">
        <v>125</v>
      </c>
      <c r="F437" s="62"/>
      <c r="G437" s="61" t="s">
        <v>126</v>
      </c>
      <c r="H437" s="334">
        <v>1000</v>
      </c>
      <c r="I437" s="63">
        <v>31</v>
      </c>
      <c r="J437" s="63">
        <v>3</v>
      </c>
      <c r="K437" s="63">
        <v>2</v>
      </c>
      <c r="L437" s="63">
        <v>1</v>
      </c>
      <c r="M437" s="63">
        <v>7</v>
      </c>
      <c r="N437" s="63"/>
      <c r="O437" s="63">
        <v>1</v>
      </c>
      <c r="P437" s="63">
        <v>4</v>
      </c>
      <c r="Q437" s="63"/>
      <c r="R437" s="64"/>
      <c r="S437" s="63"/>
      <c r="T437" s="63"/>
      <c r="U437" s="63"/>
      <c r="V437" s="63">
        <v>5</v>
      </c>
      <c r="W437" s="63"/>
      <c r="X437" s="63">
        <v>8</v>
      </c>
      <c r="Y437" s="63">
        <v>37</v>
      </c>
      <c r="Z437" s="63">
        <v>1</v>
      </c>
      <c r="AA437" s="63">
        <v>0</v>
      </c>
      <c r="AB437" s="65">
        <f>100/(SUM(I437:Z437))</f>
        <v>1</v>
      </c>
      <c r="AC437" s="259">
        <f>SUM(I437:AA437)</f>
        <v>100</v>
      </c>
      <c r="AD437" s="63"/>
      <c r="AE437" s="64"/>
      <c r="AF437" s="64"/>
      <c r="AG437" s="66" t="s">
        <v>127</v>
      </c>
      <c r="AH437" s="67" t="s">
        <v>1679</v>
      </c>
      <c r="AI437" s="67" t="s">
        <v>1680</v>
      </c>
      <c r="AJ437" s="67" t="s">
        <v>1681</v>
      </c>
      <c r="AK437" s="61" t="s">
        <v>138</v>
      </c>
      <c r="AL437" s="66">
        <f>(B437-DATE(1970,1,1))*86400</f>
        <v>1732752000</v>
      </c>
      <c r="AM437" s="66">
        <f>(C437-DATE(1970,1,1))*86400</f>
        <v>1733356800</v>
      </c>
      <c r="AN437" s="66">
        <f>AVERAGE(AL437:AM437)</f>
        <v>1733054400</v>
      </c>
    </row>
    <row r="438" spans="1:65" x14ac:dyDescent="0.2">
      <c r="A438" s="281" t="s">
        <v>133</v>
      </c>
      <c r="B438" s="54">
        <v>45624</v>
      </c>
      <c r="C438" s="54">
        <v>45630</v>
      </c>
      <c r="D438" s="53" t="s">
        <v>154</v>
      </c>
      <c r="E438" s="323" t="s">
        <v>125</v>
      </c>
      <c r="F438" s="53" t="s">
        <v>2509</v>
      </c>
      <c r="G438" s="53" t="s">
        <v>126</v>
      </c>
      <c r="H438" s="357">
        <v>1000</v>
      </c>
      <c r="I438" s="55"/>
      <c r="J438" s="55"/>
      <c r="K438" s="55"/>
      <c r="L438" s="55"/>
      <c r="M438" s="55"/>
      <c r="N438" s="55"/>
      <c r="O438" s="55"/>
      <c r="P438" s="55"/>
      <c r="Q438" s="55"/>
      <c r="R438" s="56"/>
      <c r="S438" s="55"/>
      <c r="T438" s="55"/>
      <c r="U438" s="55"/>
      <c r="V438" s="55"/>
      <c r="W438" s="55"/>
      <c r="X438" s="55"/>
      <c r="Y438" s="55"/>
      <c r="Z438" s="55"/>
      <c r="AA438" s="55"/>
      <c r="AB438" s="57" t="e">
        <f>100/(SUM(I438:Z438))</f>
        <v>#DIV/0!</v>
      </c>
      <c r="AC438" s="259">
        <f>SUM(I438:AA438)</f>
        <v>0</v>
      </c>
      <c r="AD438" s="55"/>
      <c r="AE438" s="55"/>
      <c r="AF438" s="55"/>
      <c r="AG438" s="58" t="s">
        <v>136</v>
      </c>
      <c r="AH438" s="59" t="s">
        <v>1686</v>
      </c>
      <c r="AI438" s="59"/>
      <c r="AJ438" s="59"/>
      <c r="AK438" s="53" t="s">
        <v>1692</v>
      </c>
      <c r="AL438" s="58">
        <f>(B438-DATE(1970,1,1))*86400</f>
        <v>1732752000</v>
      </c>
      <c r="AM438" s="58">
        <f>(C438-DATE(1970,1,1))*86400</f>
        <v>1733270400</v>
      </c>
      <c r="AN438" s="58">
        <f>AVERAGE(AL438:AM438)</f>
        <v>1733011200</v>
      </c>
    </row>
    <row r="439" spans="1:65" ht="15.75" customHeight="1" x14ac:dyDescent="0.2">
      <c r="A439" s="283" t="s">
        <v>123</v>
      </c>
      <c r="B439" s="28">
        <v>45621</v>
      </c>
      <c r="C439" s="28">
        <v>45623</v>
      </c>
      <c r="D439" s="27" t="s">
        <v>139</v>
      </c>
      <c r="E439" s="331" t="s">
        <v>125</v>
      </c>
      <c r="F439" s="27"/>
      <c r="G439" s="27" t="s">
        <v>126</v>
      </c>
      <c r="H439" s="352">
        <v>1000</v>
      </c>
      <c r="I439" s="29">
        <v>44</v>
      </c>
      <c r="J439" s="29"/>
      <c r="K439" s="29"/>
      <c r="L439" s="29"/>
      <c r="M439" s="29">
        <v>5</v>
      </c>
      <c r="N439" s="29"/>
      <c r="O439" s="29"/>
      <c r="P439" s="29">
        <v>1</v>
      </c>
      <c r="Q439" s="29"/>
      <c r="R439" s="29"/>
      <c r="S439" s="29"/>
      <c r="T439" s="29"/>
      <c r="U439" s="29"/>
      <c r="V439" s="29">
        <v>3</v>
      </c>
      <c r="W439" s="29"/>
      <c r="X439" s="29">
        <v>7</v>
      </c>
      <c r="Y439" s="29">
        <v>36</v>
      </c>
      <c r="Z439" s="29">
        <v>4</v>
      </c>
      <c r="AA439" s="29">
        <v>0</v>
      </c>
      <c r="AB439" s="30">
        <f>100/(SUM(I439:Z439))</f>
        <v>1</v>
      </c>
      <c r="AC439" s="259">
        <f>SUM(I439:AA439)</f>
        <v>100</v>
      </c>
      <c r="AD439" s="29"/>
      <c r="AE439" s="29"/>
      <c r="AF439" s="29"/>
      <c r="AG439" s="31" t="s">
        <v>127</v>
      </c>
      <c r="AH439" s="198" t="s">
        <v>1665</v>
      </c>
      <c r="AI439" s="32" t="s">
        <v>213</v>
      </c>
      <c r="AJ439" s="32"/>
      <c r="AK439" s="27" t="s">
        <v>1666</v>
      </c>
      <c r="AL439" s="31">
        <f>(B439-DATE(1970,1,1))*86400</f>
        <v>1732492800</v>
      </c>
      <c r="AM439" s="31">
        <f>(C439-DATE(1970,1,1))*86400</f>
        <v>1732665600</v>
      </c>
      <c r="AN439" s="31">
        <f>AVERAGE(AL439:AM439)</f>
        <v>1732579200</v>
      </c>
    </row>
    <row r="440" spans="1:65" x14ac:dyDescent="0.2">
      <c r="A440" s="286" t="s">
        <v>133</v>
      </c>
      <c r="B440" s="41">
        <v>45616</v>
      </c>
      <c r="C440" s="41">
        <v>45626</v>
      </c>
      <c r="D440" s="40" t="s">
        <v>148</v>
      </c>
      <c r="E440" s="325" t="s">
        <v>125</v>
      </c>
      <c r="F440" s="40"/>
      <c r="G440" s="40" t="s">
        <v>149</v>
      </c>
      <c r="H440" s="325">
        <v>1000</v>
      </c>
      <c r="I440" s="42">
        <v>24</v>
      </c>
      <c r="J440" s="42">
        <v>1</v>
      </c>
      <c r="K440" s="42">
        <v>0</v>
      </c>
      <c r="L440" s="42">
        <v>1</v>
      </c>
      <c r="M440" s="42">
        <v>5</v>
      </c>
      <c r="N440" s="42"/>
      <c r="O440" s="42">
        <v>1</v>
      </c>
      <c r="P440" s="42">
        <v>2</v>
      </c>
      <c r="Q440" s="42"/>
      <c r="R440" s="43"/>
      <c r="S440" s="42">
        <v>1</v>
      </c>
      <c r="T440" s="42"/>
      <c r="U440" s="42"/>
      <c r="V440" s="42">
        <v>3</v>
      </c>
      <c r="W440" s="42">
        <v>1</v>
      </c>
      <c r="X440" s="42">
        <v>5</v>
      </c>
      <c r="Y440" s="42">
        <v>26</v>
      </c>
      <c r="Z440" s="42">
        <v>1</v>
      </c>
      <c r="AA440" s="42">
        <v>29</v>
      </c>
      <c r="AB440" s="44">
        <f>100/(SUM(I440:Z440))</f>
        <v>1.408450704225352</v>
      </c>
      <c r="AC440" s="259">
        <f>SUM(I440:AA440)</f>
        <v>100</v>
      </c>
      <c r="AD440" s="42"/>
      <c r="AE440" s="43"/>
      <c r="AF440" s="43"/>
      <c r="AG440" s="45"/>
      <c r="AH440" s="46" t="s">
        <v>1669</v>
      </c>
      <c r="AI440" s="46"/>
      <c r="AJ440" s="46"/>
      <c r="AK440" s="40" t="s">
        <v>151</v>
      </c>
      <c r="AL440" s="45">
        <f>(B440-DATE(1970,1,1))*86400</f>
        <v>1732060800</v>
      </c>
      <c r="AM440" s="45">
        <f>(C440-DATE(1970,1,1))*86400</f>
        <v>1732924800</v>
      </c>
      <c r="AN440" s="45">
        <f>AVERAGE(AL440:AM440)</f>
        <v>1732492800</v>
      </c>
    </row>
    <row r="441" spans="1:65" x14ac:dyDescent="0.2">
      <c r="A441" s="286" t="s">
        <v>123</v>
      </c>
      <c r="B441" s="41">
        <v>45616</v>
      </c>
      <c r="C441" s="41">
        <v>45626</v>
      </c>
      <c r="D441" s="40" t="s">
        <v>148</v>
      </c>
      <c r="E441" s="325" t="s">
        <v>125</v>
      </c>
      <c r="F441" s="40"/>
      <c r="G441" s="40" t="s">
        <v>149</v>
      </c>
      <c r="H441" s="325">
        <v>1000</v>
      </c>
      <c r="I441" s="42">
        <v>35</v>
      </c>
      <c r="J441" s="42">
        <v>2</v>
      </c>
      <c r="K441" s="42">
        <v>0</v>
      </c>
      <c r="L441" s="42">
        <v>0</v>
      </c>
      <c r="M441" s="42">
        <v>6</v>
      </c>
      <c r="N441" s="42"/>
      <c r="O441" s="42">
        <v>1</v>
      </c>
      <c r="P441" s="42">
        <v>3</v>
      </c>
      <c r="Q441" s="42"/>
      <c r="R441" s="43"/>
      <c r="S441" s="42">
        <v>1</v>
      </c>
      <c r="T441" s="42"/>
      <c r="U441" s="42"/>
      <c r="V441" s="42">
        <v>4</v>
      </c>
      <c r="W441" s="42">
        <v>1</v>
      </c>
      <c r="X441" s="42">
        <v>7</v>
      </c>
      <c r="Y441" s="42">
        <v>39</v>
      </c>
      <c r="Z441" s="42">
        <v>1</v>
      </c>
      <c r="AA441" s="42">
        <v>0</v>
      </c>
      <c r="AB441" s="44">
        <f>100/(SUM(I441:Z441))</f>
        <v>1</v>
      </c>
      <c r="AC441" s="259">
        <f>SUM(I441:AA441)</f>
        <v>100</v>
      </c>
      <c r="AD441" s="42"/>
      <c r="AE441" s="43"/>
      <c r="AF441" s="43"/>
      <c r="AG441" s="45"/>
      <c r="AH441" s="46" t="s">
        <v>1669</v>
      </c>
      <c r="AI441" s="46"/>
      <c r="AJ441" s="46"/>
      <c r="AK441" s="40" t="s">
        <v>1695</v>
      </c>
      <c r="AL441" s="45">
        <f>(B441-DATE(1970,1,1))*86400</f>
        <v>1732060800</v>
      </c>
      <c r="AM441" s="45">
        <f>(C441-DATE(1970,1,1))*86400</f>
        <v>1732924800</v>
      </c>
      <c r="AN441" s="45">
        <f>AVERAGE(AL441:AM441)</f>
        <v>1732492800</v>
      </c>
    </row>
    <row r="442" spans="1:65" x14ac:dyDescent="0.2">
      <c r="A442" s="285" t="s">
        <v>133</v>
      </c>
      <c r="B442" s="34">
        <v>45616</v>
      </c>
      <c r="C442" s="34">
        <v>45622</v>
      </c>
      <c r="D442" s="33" t="s">
        <v>143</v>
      </c>
      <c r="E442" s="319" t="s">
        <v>125</v>
      </c>
      <c r="F442" s="33"/>
      <c r="G442" s="33" t="s">
        <v>126</v>
      </c>
      <c r="H442" s="353">
        <v>1200</v>
      </c>
      <c r="I442" s="35">
        <v>27</v>
      </c>
      <c r="J442" s="35"/>
      <c r="K442" s="35">
        <v>1</v>
      </c>
      <c r="L442" s="35"/>
      <c r="M442" s="35">
        <v>3</v>
      </c>
      <c r="N442" s="35"/>
      <c r="O442" s="35"/>
      <c r="P442" s="35">
        <v>1</v>
      </c>
      <c r="Q442" s="35"/>
      <c r="R442" s="36"/>
      <c r="S442" s="35"/>
      <c r="T442" s="35"/>
      <c r="U442" s="35"/>
      <c r="V442" s="35">
        <v>3</v>
      </c>
      <c r="W442" s="35">
        <v>1</v>
      </c>
      <c r="X442" s="35">
        <v>5</v>
      </c>
      <c r="Y442" s="35">
        <v>34</v>
      </c>
      <c r="Z442" s="35">
        <v>1</v>
      </c>
      <c r="AA442" s="35">
        <v>24</v>
      </c>
      <c r="AB442" s="37">
        <f>100/(SUM(I442:Z442))</f>
        <v>1.3157894736842106</v>
      </c>
      <c r="AC442" s="259">
        <f>SUM(I442:AA442)</f>
        <v>100</v>
      </c>
      <c r="AD442" s="35"/>
      <c r="AE442" s="35"/>
      <c r="AF442" s="35"/>
      <c r="AG442" s="33" t="s">
        <v>144</v>
      </c>
      <c r="AH442" s="190" t="s">
        <v>1660</v>
      </c>
      <c r="AI442" s="196"/>
      <c r="AJ442" s="190" t="s">
        <v>1658</v>
      </c>
      <c r="AK442" s="33"/>
      <c r="AL442" s="39">
        <f>(B442-DATE(1970,1,1))*86400</f>
        <v>1732060800</v>
      </c>
      <c r="AM442" s="39">
        <f>(C442-DATE(1970,1,1))*86400</f>
        <v>1732579200</v>
      </c>
      <c r="AN442" s="39">
        <f>AVERAGE(AL442:AM442)</f>
        <v>1732320000</v>
      </c>
    </row>
    <row r="443" spans="1:65" ht="15.75" customHeight="1" x14ac:dyDescent="0.2">
      <c r="A443" s="285" t="s">
        <v>133</v>
      </c>
      <c r="B443" s="34">
        <v>45616</v>
      </c>
      <c r="C443" s="34">
        <v>45622</v>
      </c>
      <c r="D443" s="33" t="s">
        <v>143</v>
      </c>
      <c r="E443" s="319" t="s">
        <v>125</v>
      </c>
      <c r="F443" s="33"/>
      <c r="G443" s="33" t="s">
        <v>126</v>
      </c>
      <c r="H443" s="353">
        <v>1200</v>
      </c>
      <c r="I443" s="35">
        <v>36</v>
      </c>
      <c r="J443" s="35"/>
      <c r="K443" s="35">
        <v>1</v>
      </c>
      <c r="L443" s="35"/>
      <c r="M443" s="35">
        <v>4</v>
      </c>
      <c r="N443" s="35"/>
      <c r="O443" s="35"/>
      <c r="P443" s="35">
        <v>2</v>
      </c>
      <c r="Q443" s="35"/>
      <c r="R443" s="36"/>
      <c r="S443" s="35"/>
      <c r="T443" s="35"/>
      <c r="U443" s="35"/>
      <c r="V443" s="35">
        <v>4</v>
      </c>
      <c r="W443" s="35">
        <v>1</v>
      </c>
      <c r="X443" s="35">
        <v>7</v>
      </c>
      <c r="Y443" s="35">
        <v>44</v>
      </c>
      <c r="Z443" s="35">
        <v>1</v>
      </c>
      <c r="AA443" s="35">
        <v>0</v>
      </c>
      <c r="AB443" s="37">
        <f>100/(SUM(I443:Z443))</f>
        <v>1</v>
      </c>
      <c r="AC443" s="259">
        <f>SUM(I443:AA443)</f>
        <v>100</v>
      </c>
      <c r="AD443" s="35"/>
      <c r="AE443" s="35"/>
      <c r="AF443" s="35"/>
      <c r="AG443" s="33" t="s">
        <v>144</v>
      </c>
      <c r="AH443" s="190" t="s">
        <v>1660</v>
      </c>
      <c r="AI443" s="38"/>
      <c r="AJ443" s="190" t="s">
        <v>1658</v>
      </c>
      <c r="AK443" s="33"/>
      <c r="AL443" s="39">
        <f>(B443-DATE(1970,1,1))*86400</f>
        <v>1732060800</v>
      </c>
      <c r="AM443" s="39">
        <f>(C443-DATE(1970,1,1))*86400</f>
        <v>1732579200</v>
      </c>
      <c r="AN443" s="39">
        <f>AVERAGE(AL443:AM443)</f>
        <v>1732320000</v>
      </c>
    </row>
    <row r="444" spans="1:65" x14ac:dyDescent="0.2">
      <c r="A444" s="285" t="s">
        <v>123</v>
      </c>
      <c r="B444" s="34">
        <v>45616</v>
      </c>
      <c r="C444" s="34">
        <v>45622</v>
      </c>
      <c r="D444" s="33" t="s">
        <v>143</v>
      </c>
      <c r="E444" s="319" t="s">
        <v>125</v>
      </c>
      <c r="F444" s="33"/>
      <c r="G444" s="33" t="s">
        <v>126</v>
      </c>
      <c r="H444" s="353">
        <v>1200</v>
      </c>
      <c r="I444" s="35">
        <v>36</v>
      </c>
      <c r="J444" s="35"/>
      <c r="K444" s="35">
        <v>0</v>
      </c>
      <c r="L444" s="35"/>
      <c r="M444" s="35">
        <v>4</v>
      </c>
      <c r="N444" s="35"/>
      <c r="O444" s="35"/>
      <c r="P444" s="35">
        <v>1</v>
      </c>
      <c r="Q444" s="35"/>
      <c r="R444" s="36"/>
      <c r="S444" s="35"/>
      <c r="T444" s="35"/>
      <c r="U444" s="35"/>
      <c r="V444" s="35">
        <v>4</v>
      </c>
      <c r="W444" s="35">
        <v>1</v>
      </c>
      <c r="X444" s="35">
        <v>6</v>
      </c>
      <c r="Y444" s="35">
        <v>47</v>
      </c>
      <c r="Z444" s="35">
        <v>1</v>
      </c>
      <c r="AA444" s="35">
        <v>0</v>
      </c>
      <c r="AB444" s="37">
        <f>100/(SUM(I444:Z444))</f>
        <v>1</v>
      </c>
      <c r="AC444" s="259">
        <f>SUM(I444:AA444)</f>
        <v>100</v>
      </c>
      <c r="AD444" s="35"/>
      <c r="AE444" s="35"/>
      <c r="AF444" s="35"/>
      <c r="AG444" s="33" t="s">
        <v>144</v>
      </c>
      <c r="AH444" s="190" t="s">
        <v>1660</v>
      </c>
      <c r="AI444" s="38"/>
      <c r="AJ444" s="190" t="s">
        <v>1658</v>
      </c>
      <c r="AK444" s="33" t="s">
        <v>1696</v>
      </c>
      <c r="AL444" s="39">
        <f>(B444-DATE(1970,1,1))*86400</f>
        <v>1732060800</v>
      </c>
      <c r="AM444" s="39">
        <f>(C444-DATE(1970,1,1))*86400</f>
        <v>1732579200</v>
      </c>
      <c r="AN444" s="39">
        <f>AVERAGE(AL444:AM444)</f>
        <v>1732320000</v>
      </c>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row>
    <row r="445" spans="1:65" ht="15.75" customHeight="1" x14ac:dyDescent="0.2">
      <c r="A445" s="291" t="s">
        <v>133</v>
      </c>
      <c r="B445" s="191">
        <v>45615</v>
      </c>
      <c r="C445" s="191">
        <v>45618</v>
      </c>
      <c r="D445" s="47" t="s">
        <v>152</v>
      </c>
      <c r="E445" s="337" t="s">
        <v>125</v>
      </c>
      <c r="F445" s="47"/>
      <c r="G445" s="47" t="s">
        <v>126</v>
      </c>
      <c r="H445" s="356">
        <v>1000</v>
      </c>
      <c r="I445" s="49">
        <v>38</v>
      </c>
      <c r="J445" s="49"/>
      <c r="K445" s="49"/>
      <c r="L445" s="49"/>
      <c r="M445" s="49">
        <v>3</v>
      </c>
      <c r="N445" s="49"/>
      <c r="O445" s="49"/>
      <c r="P445" s="49">
        <v>1</v>
      </c>
      <c r="Q445" s="49"/>
      <c r="R445" s="49"/>
      <c r="S445" s="49"/>
      <c r="T445" s="49"/>
      <c r="U445" s="49"/>
      <c r="V445" s="49">
        <v>5</v>
      </c>
      <c r="W445" s="49"/>
      <c r="X445" s="49">
        <v>5</v>
      </c>
      <c r="Y445" s="49">
        <v>26</v>
      </c>
      <c r="Z445" s="49">
        <v>4</v>
      </c>
      <c r="AA445" s="49">
        <v>18</v>
      </c>
      <c r="AB445" s="50">
        <f>100/(SUM(I445:Z445))</f>
        <v>1.2195121951219512</v>
      </c>
      <c r="AC445" s="259">
        <f>SUM(I445:AA445)</f>
        <v>100</v>
      </c>
      <c r="AD445" s="49"/>
      <c r="AE445" s="49"/>
      <c r="AF445" s="49"/>
      <c r="AG445" s="51" t="s">
        <v>127</v>
      </c>
      <c r="AH445" s="193" t="s">
        <v>1661</v>
      </c>
      <c r="AI445" s="192"/>
      <c r="AJ445" s="52"/>
      <c r="AK445" s="47" t="s">
        <v>1698</v>
      </c>
      <c r="AL445" s="51">
        <f>(B445-DATE(1970,1,1))*86400</f>
        <v>1731974400</v>
      </c>
      <c r="AM445" s="51">
        <f>(C445-DATE(1970,1,1))*86400</f>
        <v>1732233600</v>
      </c>
      <c r="AN445" s="51">
        <f>AVERAGE(AL445:AM445)</f>
        <v>1732104000</v>
      </c>
    </row>
    <row r="446" spans="1:65" ht="15.75" customHeight="1" x14ac:dyDescent="0.2">
      <c r="A446" s="291" t="s">
        <v>123</v>
      </c>
      <c r="B446" s="191">
        <v>45615</v>
      </c>
      <c r="C446" s="191">
        <v>45618</v>
      </c>
      <c r="D446" s="47" t="s">
        <v>152</v>
      </c>
      <c r="E446" s="337" t="s">
        <v>125</v>
      </c>
      <c r="F446" s="47"/>
      <c r="G446" s="47" t="s">
        <v>126</v>
      </c>
      <c r="H446" s="356">
        <v>1000</v>
      </c>
      <c r="I446" s="49">
        <v>45</v>
      </c>
      <c r="J446" s="49"/>
      <c r="K446" s="49"/>
      <c r="L446" s="49"/>
      <c r="M446" s="49">
        <v>2</v>
      </c>
      <c r="N446" s="49"/>
      <c r="O446" s="49"/>
      <c r="P446" s="49">
        <v>1</v>
      </c>
      <c r="Q446" s="49"/>
      <c r="R446" s="49"/>
      <c r="S446" s="49"/>
      <c r="T446" s="49"/>
      <c r="U446" s="49"/>
      <c r="V446" s="49">
        <v>6</v>
      </c>
      <c r="W446" s="49"/>
      <c r="X446" s="49">
        <v>6</v>
      </c>
      <c r="Y446" s="49">
        <v>37</v>
      </c>
      <c r="Z446" s="49">
        <v>3</v>
      </c>
      <c r="AA446" s="49">
        <v>0</v>
      </c>
      <c r="AB446" s="50">
        <f>100/(SUM(I446:Z446))</f>
        <v>1</v>
      </c>
      <c r="AC446" s="259">
        <f>SUM(I446:AA446)</f>
        <v>100</v>
      </c>
      <c r="AD446" s="49"/>
      <c r="AE446" s="49"/>
      <c r="AF446" s="49"/>
      <c r="AG446" s="51" t="s">
        <v>127</v>
      </c>
      <c r="AH446" s="193" t="s">
        <v>1661</v>
      </c>
      <c r="AI446" s="52"/>
      <c r="AJ446" s="52"/>
      <c r="AK446" s="47" t="s">
        <v>1699</v>
      </c>
      <c r="AL446" s="51">
        <f>(B446-DATE(1970,1,1))*86400</f>
        <v>1731974400</v>
      </c>
      <c r="AM446" s="51">
        <f>(C446-DATE(1970,1,1))*86400</f>
        <v>1732233600</v>
      </c>
      <c r="AN446" s="51">
        <f>AVERAGE(AL446:AM446)</f>
        <v>1732104000</v>
      </c>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row>
    <row r="447" spans="1:65" x14ac:dyDescent="0.2">
      <c r="A447" s="279" t="s">
        <v>133</v>
      </c>
      <c r="B447" s="14">
        <v>45614</v>
      </c>
      <c r="C447" s="14">
        <v>45616</v>
      </c>
      <c r="D447" s="13" t="s">
        <v>124</v>
      </c>
      <c r="E447" s="324" t="s">
        <v>125</v>
      </c>
      <c r="F447" s="13" t="s">
        <v>140</v>
      </c>
      <c r="G447" s="13" t="s">
        <v>126</v>
      </c>
      <c r="H447" s="349">
        <v>1000</v>
      </c>
      <c r="I447" s="15"/>
      <c r="J447" s="15"/>
      <c r="K447" s="15"/>
      <c r="L447" s="15"/>
      <c r="M447" s="15"/>
      <c r="N447" s="15"/>
      <c r="O447" s="15"/>
      <c r="P447" s="15"/>
      <c r="Q447" s="15"/>
      <c r="R447" s="15"/>
      <c r="S447" s="15"/>
      <c r="T447" s="15"/>
      <c r="U447" s="15"/>
      <c r="V447" s="15"/>
      <c r="W447" s="15"/>
      <c r="X447" s="15"/>
      <c r="Y447" s="15"/>
      <c r="Z447" s="15"/>
      <c r="AA447" s="15"/>
      <c r="AB447" s="16" t="e">
        <f>100/(SUM(I447:Z447))</f>
        <v>#DIV/0!</v>
      </c>
      <c r="AC447" s="259">
        <f>SUM(I447:AA447)</f>
        <v>0</v>
      </c>
      <c r="AD447" s="15"/>
      <c r="AE447" s="15"/>
      <c r="AF447" s="15"/>
      <c r="AG447" s="17" t="s">
        <v>127</v>
      </c>
      <c r="AH447" s="18" t="s">
        <v>1654</v>
      </c>
      <c r="AI447" s="18"/>
      <c r="AJ447" s="18"/>
      <c r="AK447" s="13" t="s">
        <v>1655</v>
      </c>
      <c r="AL447" s="17">
        <f>(B447-DATE(1970,1,1))*86400</f>
        <v>1731888000</v>
      </c>
      <c r="AM447" s="17">
        <f>(C447-DATE(1970,1,1))*86400</f>
        <v>1732060800</v>
      </c>
      <c r="AN447" s="17">
        <f>AVERAGE(AL447:AM447)</f>
        <v>1731974400</v>
      </c>
    </row>
    <row r="448" spans="1:65" x14ac:dyDescent="0.2">
      <c r="A448" s="281" t="s">
        <v>133</v>
      </c>
      <c r="B448" s="54">
        <v>45610</v>
      </c>
      <c r="C448" s="54">
        <v>45615</v>
      </c>
      <c r="D448" s="53" t="s">
        <v>154</v>
      </c>
      <c r="E448" s="323" t="s">
        <v>125</v>
      </c>
      <c r="F448" s="53"/>
      <c r="G448" s="53" t="s">
        <v>126</v>
      </c>
      <c r="H448" s="357">
        <v>1000</v>
      </c>
      <c r="I448" s="55">
        <v>24</v>
      </c>
      <c r="J448" s="55">
        <v>2</v>
      </c>
      <c r="K448" s="55">
        <v>0</v>
      </c>
      <c r="L448" s="55">
        <v>0</v>
      </c>
      <c r="M448" s="55">
        <v>6</v>
      </c>
      <c r="N448" s="55"/>
      <c r="O448" s="55">
        <v>0</v>
      </c>
      <c r="P448" s="55">
        <v>1</v>
      </c>
      <c r="Q448" s="55"/>
      <c r="R448" s="56"/>
      <c r="S448" s="55"/>
      <c r="T448" s="55"/>
      <c r="U448" s="55">
        <v>1</v>
      </c>
      <c r="V448" s="55">
        <v>2</v>
      </c>
      <c r="W448" s="55"/>
      <c r="X448" s="55">
        <v>3</v>
      </c>
      <c r="Y448" s="55">
        <v>25</v>
      </c>
      <c r="Z448" s="55">
        <v>0</v>
      </c>
      <c r="AA448" s="55">
        <v>36</v>
      </c>
      <c r="AB448" s="57">
        <f>100/(SUM(I448:Z448))</f>
        <v>1.5625</v>
      </c>
      <c r="AC448" s="259">
        <f>SUM(I448:AA448)</f>
        <v>100</v>
      </c>
      <c r="AD448" s="55"/>
      <c r="AE448" s="55"/>
      <c r="AF448" s="55"/>
      <c r="AG448" s="58" t="s">
        <v>155</v>
      </c>
      <c r="AH448" s="59" t="s">
        <v>1653</v>
      </c>
      <c r="AI448" s="186" t="s">
        <v>1651</v>
      </c>
      <c r="AJ448" s="59" t="s">
        <v>1652</v>
      </c>
      <c r="AK448" s="53" t="s">
        <v>1656</v>
      </c>
      <c r="AL448" s="58">
        <f>(B448-DATE(1970,1,1))*86400</f>
        <v>1731542400</v>
      </c>
      <c r="AM448" s="58">
        <f>(C448-DATE(1970,1,1))*86400</f>
        <v>1731974400</v>
      </c>
      <c r="AN448" s="58">
        <f>AVERAGE(AL448:AM448)</f>
        <v>1731758400</v>
      </c>
    </row>
    <row r="449" spans="1:65" ht="15.75" customHeight="1" x14ac:dyDescent="0.2">
      <c r="A449" s="281" t="s">
        <v>123</v>
      </c>
      <c r="B449" s="54">
        <v>45610</v>
      </c>
      <c r="C449" s="54">
        <v>45615</v>
      </c>
      <c r="D449" s="53" t="s">
        <v>154</v>
      </c>
      <c r="E449" s="323" t="s">
        <v>125</v>
      </c>
      <c r="F449" s="53"/>
      <c r="G449" s="53" t="s">
        <v>126</v>
      </c>
      <c r="H449" s="357">
        <v>1000</v>
      </c>
      <c r="I449" s="55">
        <v>27</v>
      </c>
      <c r="J449" s="55">
        <v>3</v>
      </c>
      <c r="K449" s="55">
        <v>0</v>
      </c>
      <c r="L449" s="55">
        <v>0</v>
      </c>
      <c r="M449" s="55">
        <v>8</v>
      </c>
      <c r="N449" s="55"/>
      <c r="O449" s="55">
        <v>0</v>
      </c>
      <c r="P449" s="55">
        <v>1</v>
      </c>
      <c r="Q449" s="55"/>
      <c r="R449" s="56"/>
      <c r="S449" s="55"/>
      <c r="T449" s="55"/>
      <c r="U449" s="55">
        <v>1</v>
      </c>
      <c r="V449" s="55">
        <v>2</v>
      </c>
      <c r="W449" s="55"/>
      <c r="X449" s="55">
        <v>4</v>
      </c>
      <c r="Y449" s="55">
        <v>28</v>
      </c>
      <c r="Z449" s="55">
        <v>0</v>
      </c>
      <c r="AA449" s="55">
        <v>26</v>
      </c>
      <c r="AB449" s="57">
        <f>100/(SUM(I449:Z449))</f>
        <v>1.3513513513513513</v>
      </c>
      <c r="AC449" s="259">
        <f>SUM(I449:AA449)</f>
        <v>100</v>
      </c>
      <c r="AD449" s="55"/>
      <c r="AE449" s="55"/>
      <c r="AF449" s="55"/>
      <c r="AG449" s="58" t="s">
        <v>155</v>
      </c>
      <c r="AH449" s="186" t="s">
        <v>1653</v>
      </c>
      <c r="AI449" s="186" t="s">
        <v>1651</v>
      </c>
      <c r="AJ449" s="186" t="s">
        <v>1652</v>
      </c>
      <c r="AK449" s="53" t="s">
        <v>1697</v>
      </c>
      <c r="AL449" s="58">
        <f>(B449-DATE(1970,1,1))*86400</f>
        <v>1731542400</v>
      </c>
      <c r="AM449" s="58">
        <f>(C449-DATE(1970,1,1))*86400</f>
        <v>1731974400</v>
      </c>
      <c r="AN449" s="58">
        <f>AVERAGE(AL449:AM449)</f>
        <v>1731758400</v>
      </c>
    </row>
    <row r="450" spans="1:65" x14ac:dyDescent="0.2">
      <c r="A450" s="281" t="s">
        <v>123</v>
      </c>
      <c r="B450" s="54">
        <v>45610</v>
      </c>
      <c r="C450" s="54">
        <v>45615</v>
      </c>
      <c r="D450" s="53" t="s">
        <v>154</v>
      </c>
      <c r="E450" s="323" t="s">
        <v>125</v>
      </c>
      <c r="F450" s="53"/>
      <c r="G450" s="53" t="s">
        <v>126</v>
      </c>
      <c r="H450" s="357">
        <v>1000</v>
      </c>
      <c r="I450" s="55">
        <v>38</v>
      </c>
      <c r="J450" s="55">
        <v>3</v>
      </c>
      <c r="K450" s="55">
        <v>0</v>
      </c>
      <c r="L450" s="55">
        <v>0</v>
      </c>
      <c r="M450" s="55">
        <v>9</v>
      </c>
      <c r="N450" s="55"/>
      <c r="O450" s="55">
        <v>0</v>
      </c>
      <c r="P450" s="55">
        <v>2</v>
      </c>
      <c r="Q450" s="55"/>
      <c r="R450" s="56"/>
      <c r="S450" s="55"/>
      <c r="T450" s="55"/>
      <c r="U450" s="55">
        <v>1</v>
      </c>
      <c r="V450" s="55">
        <v>3</v>
      </c>
      <c r="W450" s="55"/>
      <c r="X450" s="55">
        <v>5</v>
      </c>
      <c r="Y450" s="55">
        <v>39</v>
      </c>
      <c r="Z450" s="55">
        <v>0</v>
      </c>
      <c r="AA450" s="55">
        <v>0</v>
      </c>
      <c r="AB450" s="57">
        <f>100/(SUM(I450:Z450))</f>
        <v>1</v>
      </c>
      <c r="AC450" s="259">
        <f>SUM(I450:AA450)</f>
        <v>100</v>
      </c>
      <c r="AD450" s="55"/>
      <c r="AE450" s="55"/>
      <c r="AF450" s="55"/>
      <c r="AG450" s="58" t="s">
        <v>155</v>
      </c>
      <c r="AH450" s="59" t="s">
        <v>1653</v>
      </c>
      <c r="AI450" s="186" t="s">
        <v>1651</v>
      </c>
      <c r="AJ450" s="59" t="s">
        <v>1652</v>
      </c>
      <c r="AK450" s="53" t="s">
        <v>1657</v>
      </c>
      <c r="AL450" s="58">
        <f>(B450-DATE(1970,1,1))*86400</f>
        <v>1731542400</v>
      </c>
      <c r="AM450" s="58">
        <f>(C450-DATE(1970,1,1))*86400</f>
        <v>1731974400</v>
      </c>
      <c r="AN450" s="58">
        <f>AVERAGE(AL450:AM450)</f>
        <v>1731758400</v>
      </c>
    </row>
    <row r="451" spans="1:65" x14ac:dyDescent="0.2">
      <c r="A451" s="280" t="s">
        <v>123</v>
      </c>
      <c r="B451" s="197">
        <v>45610</v>
      </c>
      <c r="C451" s="197">
        <v>45615</v>
      </c>
      <c r="D451" s="76" t="s">
        <v>200</v>
      </c>
      <c r="E451" s="320" t="s">
        <v>125</v>
      </c>
      <c r="F451" s="76"/>
      <c r="G451" s="76" t="s">
        <v>126</v>
      </c>
      <c r="H451" s="350">
        <v>1000</v>
      </c>
      <c r="I451" s="78">
        <v>38</v>
      </c>
      <c r="J451" s="78">
        <v>1</v>
      </c>
      <c r="K451" s="78"/>
      <c r="L451" s="78"/>
      <c r="M451" s="78">
        <v>5</v>
      </c>
      <c r="N451" s="78"/>
      <c r="O451" s="78"/>
      <c r="P451" s="78">
        <v>2</v>
      </c>
      <c r="Q451" s="78"/>
      <c r="R451" s="78"/>
      <c r="S451" s="78"/>
      <c r="T451" s="78"/>
      <c r="U451" s="78"/>
      <c r="V451" s="78">
        <v>9</v>
      </c>
      <c r="W451" s="78"/>
      <c r="X451" s="78">
        <v>6</v>
      </c>
      <c r="Y451" s="78">
        <v>32</v>
      </c>
      <c r="Z451" s="78">
        <v>1</v>
      </c>
      <c r="AA451" s="78">
        <v>6</v>
      </c>
      <c r="AB451" s="79">
        <f>100/(SUM(I451:Z451))</f>
        <v>1.0638297872340425</v>
      </c>
      <c r="AC451" s="259">
        <f>SUM(I451:AA451)</f>
        <v>100</v>
      </c>
      <c r="AD451" s="78"/>
      <c r="AE451" s="78"/>
      <c r="AF451" s="78"/>
      <c r="AG451" s="80" t="s">
        <v>127</v>
      </c>
      <c r="AH451" s="81" t="s">
        <v>1659</v>
      </c>
      <c r="AI451" s="195" t="s">
        <v>1662</v>
      </c>
      <c r="AJ451" s="194"/>
      <c r="AK451" s="76" t="s">
        <v>1663</v>
      </c>
      <c r="AL451" s="80">
        <f>(B451-DATE(1970,1,1))*86400</f>
        <v>1731542400</v>
      </c>
      <c r="AM451" s="80">
        <f>(C451-DATE(1970,1,1))*86400</f>
        <v>1731974400</v>
      </c>
      <c r="AN451" s="80">
        <f>AVERAGE(AL451:AM451)</f>
        <v>1731758400</v>
      </c>
    </row>
    <row r="452" spans="1:65" x14ac:dyDescent="0.2">
      <c r="A452" s="280" t="s">
        <v>123</v>
      </c>
      <c r="B452" s="197">
        <v>45610</v>
      </c>
      <c r="C452" s="197">
        <v>45615</v>
      </c>
      <c r="D452" s="76" t="s">
        <v>200</v>
      </c>
      <c r="E452" s="320" t="s">
        <v>125</v>
      </c>
      <c r="F452" s="76"/>
      <c r="G452" s="76" t="s">
        <v>126</v>
      </c>
      <c r="H452" s="350">
        <v>1000</v>
      </c>
      <c r="I452" s="78">
        <v>40</v>
      </c>
      <c r="J452" s="78">
        <v>1</v>
      </c>
      <c r="K452" s="78"/>
      <c r="L452" s="78"/>
      <c r="M452" s="78">
        <v>5</v>
      </c>
      <c r="N452" s="78"/>
      <c r="O452" s="78"/>
      <c r="P452" s="78">
        <v>2</v>
      </c>
      <c r="Q452" s="78"/>
      <c r="R452" s="78"/>
      <c r="S452" s="78"/>
      <c r="T452" s="78"/>
      <c r="U452" s="78"/>
      <c r="V452" s="78">
        <v>9</v>
      </c>
      <c r="W452" s="78"/>
      <c r="X452" s="78">
        <v>7</v>
      </c>
      <c r="Y452" s="78">
        <v>35</v>
      </c>
      <c r="Z452" s="78">
        <v>1</v>
      </c>
      <c r="AA452" s="78">
        <v>0</v>
      </c>
      <c r="AB452" s="79">
        <f>100/(SUM(I452:Z452))</f>
        <v>1</v>
      </c>
      <c r="AC452" s="259">
        <f>SUM(I452:AA452)</f>
        <v>100</v>
      </c>
      <c r="AD452" s="78"/>
      <c r="AE452" s="78"/>
      <c r="AF452" s="78"/>
      <c r="AG452" s="80" t="s">
        <v>127</v>
      </c>
      <c r="AH452" s="81" t="s">
        <v>1659</v>
      </c>
      <c r="AI452" s="195" t="s">
        <v>1662</v>
      </c>
      <c r="AJ452" s="81"/>
      <c r="AK452" s="76" t="s">
        <v>381</v>
      </c>
      <c r="AL452" s="80">
        <f>(B452-DATE(1970,1,1))*86400</f>
        <v>1731542400</v>
      </c>
      <c r="AM452" s="80">
        <f>(C452-DATE(1970,1,1))*86400</f>
        <v>1731974400</v>
      </c>
      <c r="AN452" s="80">
        <f>AVERAGE(AL452:AM452)</f>
        <v>1731758400</v>
      </c>
    </row>
    <row r="453" spans="1:65" x14ac:dyDescent="0.2">
      <c r="A453" s="279" t="s">
        <v>133</v>
      </c>
      <c r="B453" s="14">
        <v>45607</v>
      </c>
      <c r="C453" s="14">
        <v>45609</v>
      </c>
      <c r="D453" s="13" t="s">
        <v>124</v>
      </c>
      <c r="E453" s="324" t="s">
        <v>125</v>
      </c>
      <c r="F453" s="13"/>
      <c r="G453" s="13" t="s">
        <v>126</v>
      </c>
      <c r="H453" s="349">
        <v>1000</v>
      </c>
      <c r="I453" s="15">
        <v>38</v>
      </c>
      <c r="J453" s="15"/>
      <c r="K453" s="15"/>
      <c r="L453" s="15"/>
      <c r="M453" s="15">
        <v>3</v>
      </c>
      <c r="N453" s="15"/>
      <c r="O453" s="15"/>
      <c r="P453" s="15">
        <v>1</v>
      </c>
      <c r="Q453" s="15"/>
      <c r="R453" s="15"/>
      <c r="S453" s="15"/>
      <c r="T453" s="15"/>
      <c r="U453" s="15"/>
      <c r="V453" s="15">
        <v>4</v>
      </c>
      <c r="W453" s="15"/>
      <c r="X453" s="15">
        <v>5</v>
      </c>
      <c r="Y453" s="15">
        <v>25</v>
      </c>
      <c r="Z453" s="15">
        <v>4</v>
      </c>
      <c r="AA453" s="15">
        <v>20</v>
      </c>
      <c r="AB453" s="16">
        <f>100/(SUM(I453:Z453))</f>
        <v>1.25</v>
      </c>
      <c r="AC453" s="259">
        <f>SUM(I453:AA453)</f>
        <v>100</v>
      </c>
      <c r="AD453" s="15"/>
      <c r="AE453" s="15"/>
      <c r="AF453" s="15"/>
      <c r="AG453" s="17" t="s">
        <v>127</v>
      </c>
      <c r="AH453" s="18" t="s">
        <v>1648</v>
      </c>
      <c r="AI453" s="18" t="s">
        <v>1649</v>
      </c>
      <c r="AJ453" s="18" t="s">
        <v>1650</v>
      </c>
      <c r="AK453" s="13"/>
      <c r="AL453" s="17">
        <f>(B453-DATE(1970,1,1))*86400</f>
        <v>1731283200</v>
      </c>
      <c r="AM453" s="17">
        <f>(C453-DATE(1970,1,1))*86400</f>
        <v>1731456000</v>
      </c>
      <c r="AN453" s="17">
        <f>AVERAGE(AL453:AM453)</f>
        <v>1731369600</v>
      </c>
    </row>
    <row r="454" spans="1:65" x14ac:dyDescent="0.2">
      <c r="A454" s="279" t="s">
        <v>123</v>
      </c>
      <c r="B454" s="14">
        <v>45607</v>
      </c>
      <c r="C454" s="14">
        <v>45609</v>
      </c>
      <c r="D454" s="13" t="s">
        <v>124</v>
      </c>
      <c r="E454" s="324" t="s">
        <v>125</v>
      </c>
      <c r="F454" s="13"/>
      <c r="G454" s="13" t="s">
        <v>126</v>
      </c>
      <c r="H454" s="349">
        <v>1000</v>
      </c>
      <c r="I454" s="15">
        <v>46</v>
      </c>
      <c r="J454" s="15"/>
      <c r="K454" s="15"/>
      <c r="L454" s="15"/>
      <c r="M454" s="15">
        <v>5</v>
      </c>
      <c r="N454" s="15"/>
      <c r="O454" s="15"/>
      <c r="P454" s="15">
        <v>1</v>
      </c>
      <c r="Q454" s="15"/>
      <c r="R454" s="15"/>
      <c r="S454" s="15"/>
      <c r="T454" s="15"/>
      <c r="U454" s="15"/>
      <c r="V454" s="15">
        <v>4</v>
      </c>
      <c r="W454" s="15"/>
      <c r="X454" s="15">
        <v>8</v>
      </c>
      <c r="Y454" s="15">
        <v>34</v>
      </c>
      <c r="Z454" s="15">
        <v>2</v>
      </c>
      <c r="AA454" s="15">
        <v>0</v>
      </c>
      <c r="AB454" s="16">
        <f>100/(SUM(I454:Z454))</f>
        <v>1</v>
      </c>
      <c r="AC454" s="259">
        <f>SUM(I454:AA454)</f>
        <v>100</v>
      </c>
      <c r="AD454" s="15"/>
      <c r="AE454" s="15"/>
      <c r="AF454" s="15"/>
      <c r="AG454" s="17" t="s">
        <v>127</v>
      </c>
      <c r="AH454" s="18" t="s">
        <v>1648</v>
      </c>
      <c r="AI454" s="18" t="s">
        <v>1649</v>
      </c>
      <c r="AJ454" s="18" t="s">
        <v>1650</v>
      </c>
      <c r="AK454" s="13" t="s">
        <v>1647</v>
      </c>
      <c r="AL454" s="17">
        <f>(B454-DATE(1970,1,1))*86400</f>
        <v>1731283200</v>
      </c>
      <c r="AM454" s="17">
        <f>(C454-DATE(1970,1,1))*86400</f>
        <v>1731456000</v>
      </c>
      <c r="AN454" s="17">
        <f>AVERAGE(AL454:AM454)</f>
        <v>1731369600</v>
      </c>
    </row>
    <row r="455" spans="1:65" x14ac:dyDescent="0.2">
      <c r="A455" s="287" t="s">
        <v>133</v>
      </c>
      <c r="B455" s="70">
        <v>45602</v>
      </c>
      <c r="C455" s="70">
        <v>45610</v>
      </c>
      <c r="D455" s="69" t="s">
        <v>183</v>
      </c>
      <c r="E455" s="333" t="s">
        <v>125</v>
      </c>
      <c r="F455" s="69" t="s">
        <v>140</v>
      </c>
      <c r="G455" s="69" t="s">
        <v>597</v>
      </c>
      <c r="H455" s="360">
        <v>1000</v>
      </c>
      <c r="I455" s="71"/>
      <c r="J455" s="71"/>
      <c r="K455" s="71"/>
      <c r="L455" s="71"/>
      <c r="M455" s="71"/>
      <c r="N455" s="71"/>
      <c r="O455" s="71"/>
      <c r="P455" s="71"/>
      <c r="Q455" s="71"/>
      <c r="R455" s="72"/>
      <c r="S455" s="71"/>
      <c r="T455" s="71"/>
      <c r="U455" s="71"/>
      <c r="V455" s="71"/>
      <c r="W455" s="71"/>
      <c r="X455" s="71"/>
      <c r="Y455" s="71"/>
      <c r="Z455" s="71"/>
      <c r="AA455" s="71"/>
      <c r="AB455" s="73" t="e">
        <f>100/(SUM(I455:Z455))</f>
        <v>#DIV/0!</v>
      </c>
      <c r="AC455" s="259">
        <f>SUM(I455:AA455)</f>
        <v>0</v>
      </c>
      <c r="AD455" s="71"/>
      <c r="AE455" s="71"/>
      <c r="AF455" s="71"/>
      <c r="AG455" s="74" t="s">
        <v>1668</v>
      </c>
      <c r="AH455" s="199" t="s">
        <v>1667</v>
      </c>
      <c r="AI455" s="75"/>
      <c r="AJ455" s="75"/>
      <c r="AK455" s="69" t="s">
        <v>1666</v>
      </c>
      <c r="AL455" s="74">
        <f>(B455-DATE(1970,1,1))*86400</f>
        <v>1730851200</v>
      </c>
      <c r="AM455" s="74">
        <f>(C455-DATE(1970,1,1))*86400</f>
        <v>1731542400</v>
      </c>
      <c r="AN455" s="74">
        <f>AVERAGE(AL455:AM455)</f>
        <v>1731196800</v>
      </c>
    </row>
    <row r="456" spans="1:65" x14ac:dyDescent="0.2">
      <c r="A456" s="287" t="s">
        <v>133</v>
      </c>
      <c r="B456" s="70">
        <v>45603</v>
      </c>
      <c r="C456" s="70">
        <v>45607</v>
      </c>
      <c r="D456" s="69" t="s">
        <v>183</v>
      </c>
      <c r="E456" s="333" t="s">
        <v>125</v>
      </c>
      <c r="F456" s="69" t="s">
        <v>140</v>
      </c>
      <c r="G456" s="69" t="s">
        <v>135</v>
      </c>
      <c r="H456" s="360">
        <v>1000</v>
      </c>
      <c r="I456" s="71"/>
      <c r="J456" s="71"/>
      <c r="K456" s="71"/>
      <c r="L456" s="71"/>
      <c r="M456" s="71"/>
      <c r="N456" s="71"/>
      <c r="O456" s="71"/>
      <c r="P456" s="71"/>
      <c r="Q456" s="71"/>
      <c r="R456" s="72"/>
      <c r="S456" s="71"/>
      <c r="T456" s="71"/>
      <c r="U456" s="71"/>
      <c r="V456" s="71"/>
      <c r="W456" s="71"/>
      <c r="X456" s="71"/>
      <c r="Y456" s="71"/>
      <c r="Z456" s="71"/>
      <c r="AA456" s="71">
        <v>17.399999999999999</v>
      </c>
      <c r="AB456" s="73" t="e">
        <f>100/(SUM(I456:Z456))</f>
        <v>#DIV/0!</v>
      </c>
      <c r="AC456" s="259">
        <f>SUM(I456:AA456)</f>
        <v>17.399999999999999</v>
      </c>
      <c r="AD456" s="71"/>
      <c r="AE456" s="71"/>
      <c r="AF456" s="71"/>
      <c r="AG456" s="74" t="s">
        <v>557</v>
      </c>
      <c r="AH456" s="75"/>
      <c r="AI456" s="75"/>
      <c r="AJ456" s="75" t="s">
        <v>1664</v>
      </c>
      <c r="AK456" s="69" t="s">
        <v>138</v>
      </c>
      <c r="AL456" s="74">
        <f>(B456-DATE(1970,1,1))*86400</f>
        <v>1730937600</v>
      </c>
      <c r="AM456" s="74">
        <f>(C456-DATE(1970,1,1))*86400</f>
        <v>1731283200</v>
      </c>
      <c r="AN456" s="74">
        <f>AVERAGE(AL456:AM456)</f>
        <v>1731110400</v>
      </c>
    </row>
    <row r="457" spans="1:65" x14ac:dyDescent="0.2">
      <c r="A457" s="284" t="s">
        <v>133</v>
      </c>
      <c r="B457" s="20">
        <v>45596</v>
      </c>
      <c r="C457" s="20">
        <v>45604</v>
      </c>
      <c r="D457" s="19" t="s">
        <v>134</v>
      </c>
      <c r="E457" s="332" t="s">
        <v>125</v>
      </c>
      <c r="F457" s="19"/>
      <c r="G457" s="19" t="s">
        <v>135</v>
      </c>
      <c r="H457" s="332">
        <v>1500</v>
      </c>
      <c r="I457" s="21">
        <v>28</v>
      </c>
      <c r="J457" s="21">
        <v>0</v>
      </c>
      <c r="K457" s="21">
        <v>1</v>
      </c>
      <c r="L457" s="21">
        <v>0</v>
      </c>
      <c r="M457" s="21">
        <v>4</v>
      </c>
      <c r="N457" s="21"/>
      <c r="O457" s="21">
        <v>0</v>
      </c>
      <c r="P457" s="21">
        <v>1</v>
      </c>
      <c r="Q457" s="21"/>
      <c r="R457" s="22"/>
      <c r="S457" s="21">
        <v>0</v>
      </c>
      <c r="T457" s="21">
        <v>1</v>
      </c>
      <c r="U457" s="21"/>
      <c r="V457" s="21">
        <v>2</v>
      </c>
      <c r="W457" s="21">
        <v>1</v>
      </c>
      <c r="X457" s="21">
        <v>5</v>
      </c>
      <c r="Y457" s="21">
        <v>30</v>
      </c>
      <c r="Z457" s="21">
        <v>1</v>
      </c>
      <c r="AA457" s="21">
        <v>26</v>
      </c>
      <c r="AB457" s="23">
        <f>100/(SUM(I457:Z457))</f>
        <v>1.3513513513513513</v>
      </c>
      <c r="AC457" s="259">
        <f>SUM(I457:AA457)</f>
        <v>100</v>
      </c>
      <c r="AD457" s="21"/>
      <c r="AE457" s="24"/>
      <c r="AF457" s="24"/>
      <c r="AG457" s="25" t="s">
        <v>136</v>
      </c>
      <c r="AH457" s="26"/>
      <c r="AI457" s="26" t="s">
        <v>1645</v>
      </c>
      <c r="AJ457" s="26" t="s">
        <v>1646</v>
      </c>
      <c r="AK457" s="19" t="s">
        <v>1685</v>
      </c>
      <c r="AL457" s="25">
        <f>(B457-DATE(1970,1,1))*86400</f>
        <v>1730332800</v>
      </c>
      <c r="AM457" s="25">
        <f>(C457-DATE(1970,1,1))*86400</f>
        <v>1731024000</v>
      </c>
      <c r="AN457" s="25">
        <f>AVERAGE(AL457:AM457)</f>
        <v>1730678400</v>
      </c>
    </row>
    <row r="458" spans="1:65" x14ac:dyDescent="0.2">
      <c r="A458" s="284" t="s">
        <v>123</v>
      </c>
      <c r="B458" s="20">
        <v>45596</v>
      </c>
      <c r="C458" s="20">
        <v>45604</v>
      </c>
      <c r="D458" s="19" t="s">
        <v>134</v>
      </c>
      <c r="E458" s="332" t="s">
        <v>125</v>
      </c>
      <c r="F458" s="19"/>
      <c r="G458" s="19" t="s">
        <v>135</v>
      </c>
      <c r="H458" s="332">
        <v>1500</v>
      </c>
      <c r="I458" s="21">
        <v>38</v>
      </c>
      <c r="J458" s="21">
        <v>0</v>
      </c>
      <c r="K458" s="21">
        <v>0</v>
      </c>
      <c r="L458" s="21">
        <v>0</v>
      </c>
      <c r="M458" s="21">
        <v>6</v>
      </c>
      <c r="N458" s="21"/>
      <c r="O458" s="21">
        <v>0</v>
      </c>
      <c r="P458" s="21">
        <v>1</v>
      </c>
      <c r="Q458" s="21"/>
      <c r="R458" s="22"/>
      <c r="S458" s="21">
        <v>0</v>
      </c>
      <c r="T458" s="21">
        <v>2</v>
      </c>
      <c r="U458" s="21"/>
      <c r="V458" s="21">
        <v>3</v>
      </c>
      <c r="W458" s="21">
        <v>1</v>
      </c>
      <c r="X458" s="21">
        <v>7</v>
      </c>
      <c r="Y458" s="21">
        <v>41</v>
      </c>
      <c r="Z458" s="21">
        <v>1</v>
      </c>
      <c r="AA458" s="21">
        <v>0</v>
      </c>
      <c r="AB458" s="23">
        <f>100/(SUM(I458:Z458))</f>
        <v>1</v>
      </c>
      <c r="AC458" s="259">
        <f>SUM(I458:AA458)</f>
        <v>100</v>
      </c>
      <c r="AD458" s="24"/>
      <c r="AE458" s="24"/>
      <c r="AF458" s="24"/>
      <c r="AG458" s="25" t="s">
        <v>136</v>
      </c>
      <c r="AH458" s="26"/>
      <c r="AI458" s="26" t="s">
        <v>1645</v>
      </c>
      <c r="AJ458" s="26" t="s">
        <v>1646</v>
      </c>
      <c r="AK458" s="19" t="s">
        <v>1685</v>
      </c>
      <c r="AL458" s="25">
        <f>(B458-DATE(1970,1,1))*86400</f>
        <v>1730332800</v>
      </c>
      <c r="AM458" s="25">
        <f>(C458-DATE(1970,1,1))*86400</f>
        <v>1731024000</v>
      </c>
      <c r="AN458" s="25">
        <f>AVERAGE(AL458:AM458)</f>
        <v>1730678400</v>
      </c>
    </row>
    <row r="459" spans="1:65" ht="15.75" customHeight="1" x14ac:dyDescent="0.2">
      <c r="A459" s="285" t="s">
        <v>133</v>
      </c>
      <c r="B459" s="34">
        <v>45593</v>
      </c>
      <c r="C459" s="34">
        <v>45600</v>
      </c>
      <c r="D459" s="33" t="s">
        <v>143</v>
      </c>
      <c r="E459" s="319" t="s">
        <v>125</v>
      </c>
      <c r="F459" s="33"/>
      <c r="G459" s="33" t="s">
        <v>126</v>
      </c>
      <c r="H459" s="353">
        <v>1000</v>
      </c>
      <c r="I459" s="35">
        <v>32</v>
      </c>
      <c r="J459" s="35">
        <v>1</v>
      </c>
      <c r="K459" s="35">
        <v>1</v>
      </c>
      <c r="L459" s="35"/>
      <c r="M459" s="35">
        <v>2</v>
      </c>
      <c r="N459" s="35"/>
      <c r="O459" s="35"/>
      <c r="P459" s="35">
        <v>1</v>
      </c>
      <c r="Q459" s="35"/>
      <c r="R459" s="36"/>
      <c r="S459" s="35"/>
      <c r="T459" s="35"/>
      <c r="U459" s="35"/>
      <c r="V459" s="35">
        <v>3</v>
      </c>
      <c r="W459" s="35"/>
      <c r="X459" s="35">
        <v>5</v>
      </c>
      <c r="Y459" s="35">
        <v>34</v>
      </c>
      <c r="Z459" s="35">
        <v>1</v>
      </c>
      <c r="AA459" s="35">
        <v>20</v>
      </c>
      <c r="AB459" s="37">
        <f>100/(SUM(I459:Z459))</f>
        <v>1.25</v>
      </c>
      <c r="AC459" s="259">
        <f>SUM(I459:AA459)</f>
        <v>100</v>
      </c>
      <c r="AD459" s="35"/>
      <c r="AE459" s="35"/>
      <c r="AF459" s="35"/>
      <c r="AG459" s="33" t="s">
        <v>144</v>
      </c>
      <c r="AH459" s="38" t="s">
        <v>1643</v>
      </c>
      <c r="AI459" s="38" t="s">
        <v>1644</v>
      </c>
      <c r="AJ459" s="33"/>
      <c r="AK459" s="33"/>
      <c r="AL459" s="39">
        <f>(B459-DATE(1970,1,1))*86400</f>
        <v>1730073600</v>
      </c>
      <c r="AM459" s="39">
        <f>(C459-DATE(1970,1,1))*86400</f>
        <v>1730678400</v>
      </c>
      <c r="AN459" s="39">
        <f>AVERAGE(AL459:AM459)</f>
        <v>1730376000</v>
      </c>
    </row>
    <row r="460" spans="1:65" ht="15.75" customHeight="1" x14ac:dyDescent="0.2">
      <c r="A460" s="285" t="s">
        <v>133</v>
      </c>
      <c r="B460" s="34">
        <v>45593</v>
      </c>
      <c r="C460" s="34">
        <v>45600</v>
      </c>
      <c r="D460" s="33" t="s">
        <v>143</v>
      </c>
      <c r="E460" s="319" t="s">
        <v>125</v>
      </c>
      <c r="F460" s="33"/>
      <c r="G460" s="33" t="s">
        <v>126</v>
      </c>
      <c r="H460" s="353">
        <v>1000</v>
      </c>
      <c r="I460" s="35">
        <v>39</v>
      </c>
      <c r="J460" s="35">
        <v>1</v>
      </c>
      <c r="K460" s="35">
        <v>2</v>
      </c>
      <c r="L460" s="35"/>
      <c r="M460" s="35">
        <v>3</v>
      </c>
      <c r="N460" s="35"/>
      <c r="O460" s="35"/>
      <c r="P460" s="35">
        <v>1</v>
      </c>
      <c r="Q460" s="35"/>
      <c r="R460" s="36"/>
      <c r="S460" s="35"/>
      <c r="T460" s="35"/>
      <c r="U460" s="35"/>
      <c r="V460" s="35">
        <v>4</v>
      </c>
      <c r="W460" s="35"/>
      <c r="X460" s="35">
        <v>5</v>
      </c>
      <c r="Y460" s="35">
        <v>43</v>
      </c>
      <c r="Z460" s="35">
        <v>2</v>
      </c>
      <c r="AA460" s="35">
        <v>0</v>
      </c>
      <c r="AB460" s="37">
        <f>100/(SUM(I460:Z460))</f>
        <v>1</v>
      </c>
      <c r="AC460" s="259">
        <f>SUM(I460:AA460)</f>
        <v>100</v>
      </c>
      <c r="AD460" s="35"/>
      <c r="AE460" s="35"/>
      <c r="AF460" s="35"/>
      <c r="AG460" s="33" t="s">
        <v>144</v>
      </c>
      <c r="AH460" s="38" t="s">
        <v>1643</v>
      </c>
      <c r="AI460" s="38" t="s">
        <v>1644</v>
      </c>
      <c r="AJ460" s="33"/>
      <c r="AK460" s="33"/>
      <c r="AL460" s="39">
        <f>(B460-DATE(1970,1,1))*86400</f>
        <v>1730073600</v>
      </c>
      <c r="AM460" s="39">
        <f>(C460-DATE(1970,1,1))*86400</f>
        <v>1730678400</v>
      </c>
      <c r="AN460" s="39">
        <f>AVERAGE(AL460:AM460)</f>
        <v>1730376000</v>
      </c>
    </row>
    <row r="461" spans="1:65" ht="15.75" customHeight="1" x14ac:dyDescent="0.2">
      <c r="A461" s="285" t="s">
        <v>123</v>
      </c>
      <c r="B461" s="34">
        <v>45593</v>
      </c>
      <c r="C461" s="34">
        <v>45600</v>
      </c>
      <c r="D461" s="33" t="s">
        <v>143</v>
      </c>
      <c r="E461" s="319" t="s">
        <v>125</v>
      </c>
      <c r="F461" s="33"/>
      <c r="G461" s="33" t="s">
        <v>126</v>
      </c>
      <c r="H461" s="353">
        <v>1000</v>
      </c>
      <c r="I461" s="35">
        <v>39</v>
      </c>
      <c r="J461" s="35">
        <v>1</v>
      </c>
      <c r="K461" s="35">
        <v>1</v>
      </c>
      <c r="L461" s="35"/>
      <c r="M461" s="35">
        <v>3</v>
      </c>
      <c r="N461" s="35"/>
      <c r="O461" s="35"/>
      <c r="P461" s="35">
        <v>1</v>
      </c>
      <c r="Q461" s="35"/>
      <c r="R461" s="36"/>
      <c r="S461" s="35"/>
      <c r="T461" s="35"/>
      <c r="U461" s="35"/>
      <c r="V461" s="35">
        <v>3</v>
      </c>
      <c r="W461" s="35"/>
      <c r="X461" s="35">
        <v>6</v>
      </c>
      <c r="Y461" s="35">
        <v>46</v>
      </c>
      <c r="Z461" s="35">
        <v>0</v>
      </c>
      <c r="AA461" s="35">
        <v>0</v>
      </c>
      <c r="AB461" s="37">
        <f>100/(SUM(I461:Z461))</f>
        <v>1</v>
      </c>
      <c r="AC461" s="259">
        <f>SUM(I461:AA461)</f>
        <v>100</v>
      </c>
      <c r="AD461" s="35"/>
      <c r="AE461" s="35"/>
      <c r="AF461" s="35"/>
      <c r="AG461" s="33" t="s">
        <v>144</v>
      </c>
      <c r="AH461" s="38" t="s">
        <v>1643</v>
      </c>
      <c r="AI461" s="38" t="s">
        <v>1644</v>
      </c>
      <c r="AJ461" s="33"/>
      <c r="AK461" s="33"/>
      <c r="AL461" s="39">
        <f>(B461-DATE(1970,1,1))*86400</f>
        <v>1730073600</v>
      </c>
      <c r="AM461" s="39">
        <f>(C461-DATE(1970,1,1))*86400</f>
        <v>1730678400</v>
      </c>
      <c r="AN461" s="39">
        <f>AVERAGE(AL461:AM461)</f>
        <v>1730376000</v>
      </c>
    </row>
    <row r="462" spans="1:65" x14ac:dyDescent="0.2">
      <c r="A462" s="283" t="s">
        <v>133</v>
      </c>
      <c r="B462" s="28">
        <v>45593</v>
      </c>
      <c r="C462" s="28">
        <v>45595</v>
      </c>
      <c r="D462" s="27" t="s">
        <v>139</v>
      </c>
      <c r="E462" s="331" t="s">
        <v>125</v>
      </c>
      <c r="F462" s="27"/>
      <c r="G462" s="27" t="s">
        <v>126</v>
      </c>
      <c r="H462" s="352">
        <v>1000</v>
      </c>
      <c r="I462" s="29">
        <v>38</v>
      </c>
      <c r="J462" s="29"/>
      <c r="K462" s="29"/>
      <c r="L462" s="29"/>
      <c r="M462" s="29">
        <v>3</v>
      </c>
      <c r="N462" s="29"/>
      <c r="O462" s="29"/>
      <c r="P462" s="29">
        <v>2</v>
      </c>
      <c r="Q462" s="29"/>
      <c r="R462" s="29"/>
      <c r="S462" s="29"/>
      <c r="T462" s="29"/>
      <c r="U462" s="29"/>
      <c r="V462" s="29">
        <v>4</v>
      </c>
      <c r="W462" s="29"/>
      <c r="X462" s="29">
        <v>4</v>
      </c>
      <c r="Y462" s="29">
        <v>25</v>
      </c>
      <c r="Z462" s="29">
        <v>4</v>
      </c>
      <c r="AA462" s="29">
        <v>19</v>
      </c>
      <c r="AB462" s="30">
        <f>100/(SUM(I462:Z462))</f>
        <v>1.25</v>
      </c>
      <c r="AC462" s="259">
        <f>SUM(I462:AA462)</f>
        <v>99</v>
      </c>
      <c r="AD462" s="29"/>
      <c r="AE462" s="29"/>
      <c r="AF462" s="29"/>
      <c r="AG462" s="31" t="s">
        <v>127</v>
      </c>
      <c r="AH462" s="32" t="s">
        <v>1639</v>
      </c>
      <c r="AI462" s="32" t="s">
        <v>1640</v>
      </c>
      <c r="AJ462" s="32"/>
      <c r="AK462" s="27"/>
      <c r="AL462" s="31">
        <f>(B462-DATE(1970,1,1))*86400</f>
        <v>1730073600</v>
      </c>
      <c r="AM462" s="31">
        <f>(C462-DATE(1970,1,1))*86400</f>
        <v>1730246400</v>
      </c>
      <c r="AN462" s="31">
        <f>AVERAGE(AL462:AM462)</f>
        <v>1730160000</v>
      </c>
    </row>
    <row r="463" spans="1:65" x14ac:dyDescent="0.2">
      <c r="A463" s="283" t="s">
        <v>123</v>
      </c>
      <c r="B463" s="28">
        <v>45593</v>
      </c>
      <c r="C463" s="28">
        <v>45595</v>
      </c>
      <c r="D463" s="27" t="s">
        <v>139</v>
      </c>
      <c r="E463" s="331" t="s">
        <v>125</v>
      </c>
      <c r="F463" s="27"/>
      <c r="G463" s="27" t="s">
        <v>126</v>
      </c>
      <c r="H463" s="352">
        <v>1000</v>
      </c>
      <c r="I463" s="29">
        <v>44</v>
      </c>
      <c r="J463" s="29"/>
      <c r="K463" s="29"/>
      <c r="L463" s="29"/>
      <c r="M463" s="29">
        <v>6</v>
      </c>
      <c r="N463" s="29"/>
      <c r="O463" s="29"/>
      <c r="P463" s="29">
        <v>1</v>
      </c>
      <c r="Q463" s="29"/>
      <c r="R463" s="29"/>
      <c r="S463" s="29"/>
      <c r="T463" s="29"/>
      <c r="U463" s="29"/>
      <c r="V463" s="29">
        <v>4</v>
      </c>
      <c r="W463" s="29"/>
      <c r="X463" s="29">
        <v>7</v>
      </c>
      <c r="Y463" s="29">
        <v>35</v>
      </c>
      <c r="Z463" s="29">
        <v>3</v>
      </c>
      <c r="AA463" s="29">
        <v>0</v>
      </c>
      <c r="AB463" s="30">
        <f>100/(SUM(I463:Z463))</f>
        <v>1</v>
      </c>
      <c r="AC463" s="259">
        <f>SUM(I463:AA463)</f>
        <v>100</v>
      </c>
      <c r="AD463" s="29"/>
      <c r="AE463" s="29"/>
      <c r="AF463" s="29"/>
      <c r="AG463" s="31" t="s">
        <v>127</v>
      </c>
      <c r="AH463" s="32" t="s">
        <v>1639</v>
      </c>
      <c r="AI463" s="32" t="s">
        <v>1640</v>
      </c>
      <c r="AJ463" s="32"/>
      <c r="AK463" s="27"/>
      <c r="AL463" s="31">
        <f>(B463-DATE(1970,1,1))*86400</f>
        <v>1730073600</v>
      </c>
      <c r="AM463" s="31">
        <f>(C463-DATE(1970,1,1))*86400</f>
        <v>1730246400</v>
      </c>
      <c r="AN463" s="31">
        <f>AVERAGE(AL463:AM463)</f>
        <v>1730160000</v>
      </c>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row>
    <row r="464" spans="1:65" ht="15.75" customHeight="1" x14ac:dyDescent="0.2">
      <c r="A464" s="288" t="s">
        <v>133</v>
      </c>
      <c r="B464" s="60">
        <v>45589</v>
      </c>
      <c r="C464" s="60">
        <v>45594</v>
      </c>
      <c r="D464" s="61" t="s">
        <v>168</v>
      </c>
      <c r="E464" s="334" t="s">
        <v>125</v>
      </c>
      <c r="F464" s="62"/>
      <c r="G464" s="61" t="s">
        <v>126</v>
      </c>
      <c r="H464" s="334">
        <v>1000</v>
      </c>
      <c r="I464" s="63">
        <v>26</v>
      </c>
      <c r="J464" s="63">
        <v>2</v>
      </c>
      <c r="K464" s="63">
        <v>1</v>
      </c>
      <c r="L464" s="63">
        <v>1</v>
      </c>
      <c r="M464" s="63">
        <v>5</v>
      </c>
      <c r="N464" s="63"/>
      <c r="O464" s="63">
        <v>1</v>
      </c>
      <c r="P464" s="63">
        <v>3</v>
      </c>
      <c r="Q464" s="63"/>
      <c r="R464" s="64"/>
      <c r="S464" s="63">
        <v>0</v>
      </c>
      <c r="T464" s="63">
        <v>0</v>
      </c>
      <c r="U464" s="63"/>
      <c r="V464" s="63">
        <v>4</v>
      </c>
      <c r="W464" s="63">
        <v>0</v>
      </c>
      <c r="X464" s="63">
        <v>5</v>
      </c>
      <c r="Y464" s="63">
        <v>24</v>
      </c>
      <c r="Z464" s="63">
        <v>0</v>
      </c>
      <c r="AA464" s="63">
        <v>29</v>
      </c>
      <c r="AB464" s="65">
        <f>100/(SUM(I464:Z464))</f>
        <v>1.3888888888888888</v>
      </c>
      <c r="AC464" s="259">
        <f>SUM(I464:AA464)</f>
        <v>101</v>
      </c>
      <c r="AD464" s="63">
        <v>63</v>
      </c>
      <c r="AE464" s="64"/>
      <c r="AF464" s="64"/>
      <c r="AG464" s="66" t="s">
        <v>127</v>
      </c>
      <c r="AH464" s="67" t="s">
        <v>1641</v>
      </c>
      <c r="AI464" s="67"/>
      <c r="AJ464" s="67"/>
      <c r="AK464" s="61" t="s">
        <v>1642</v>
      </c>
      <c r="AL464" s="66">
        <f>(B464-DATE(1970,1,1))*86400</f>
        <v>1729728000</v>
      </c>
      <c r="AM464" s="66">
        <f>(C464-DATE(1970,1,1))*86400</f>
        <v>1730160000</v>
      </c>
      <c r="AN464" s="66">
        <f>AVERAGE(AL464:AM464)</f>
        <v>1729944000</v>
      </c>
    </row>
    <row r="465" spans="1:40" ht="15.75" customHeight="1" x14ac:dyDescent="0.2">
      <c r="A465" s="288" t="s">
        <v>133</v>
      </c>
      <c r="B465" s="60">
        <v>45589</v>
      </c>
      <c r="C465" s="60">
        <v>45594</v>
      </c>
      <c r="D465" s="61" t="s">
        <v>168</v>
      </c>
      <c r="E465" s="334" t="s">
        <v>125</v>
      </c>
      <c r="F465" s="62"/>
      <c r="G465" s="61" t="s">
        <v>126</v>
      </c>
      <c r="H465" s="334">
        <v>1000</v>
      </c>
      <c r="I465" s="63">
        <v>36</v>
      </c>
      <c r="J465" s="63">
        <v>3</v>
      </c>
      <c r="K465" s="63">
        <v>1</v>
      </c>
      <c r="L465" s="63">
        <v>1</v>
      </c>
      <c r="M465" s="63">
        <v>7</v>
      </c>
      <c r="N465" s="63"/>
      <c r="O465" s="63">
        <v>1</v>
      </c>
      <c r="P465" s="63">
        <v>4</v>
      </c>
      <c r="Q465" s="63"/>
      <c r="R465" s="64"/>
      <c r="S465" s="63">
        <v>0</v>
      </c>
      <c r="T465" s="63">
        <v>0</v>
      </c>
      <c r="U465" s="63"/>
      <c r="V465" s="63">
        <v>5</v>
      </c>
      <c r="W465" s="63">
        <v>0</v>
      </c>
      <c r="X465" s="63">
        <v>7</v>
      </c>
      <c r="Y465" s="63">
        <v>34</v>
      </c>
      <c r="Z465" s="63">
        <v>0</v>
      </c>
      <c r="AA465" s="63">
        <v>0</v>
      </c>
      <c r="AB465" s="65">
        <f>100/(SUM(I465:Z465))</f>
        <v>1.0101010101010102</v>
      </c>
      <c r="AC465" s="259">
        <f>SUM(I465:AA465)</f>
        <v>99</v>
      </c>
      <c r="AD465" s="63"/>
      <c r="AE465" s="64"/>
      <c r="AF465" s="64"/>
      <c r="AG465" s="66" t="s">
        <v>127</v>
      </c>
      <c r="AH465" s="67" t="s">
        <v>1641</v>
      </c>
      <c r="AI465" s="67"/>
      <c r="AJ465" s="67"/>
      <c r="AK465" s="61" t="s">
        <v>1642</v>
      </c>
      <c r="AL465" s="66">
        <f>(B465-DATE(1970,1,1))*86400</f>
        <v>1729728000</v>
      </c>
      <c r="AM465" s="66">
        <f>(C465-DATE(1970,1,1))*86400</f>
        <v>1730160000</v>
      </c>
      <c r="AN465" s="66">
        <f>AVERAGE(AL465:AM465)</f>
        <v>1729944000</v>
      </c>
    </row>
    <row r="466" spans="1:40" x14ac:dyDescent="0.2">
      <c r="A466" s="288" t="s">
        <v>123</v>
      </c>
      <c r="B466" s="60">
        <v>45589</v>
      </c>
      <c r="C466" s="60">
        <v>45594</v>
      </c>
      <c r="D466" s="61" t="s">
        <v>168</v>
      </c>
      <c r="E466" s="334" t="s">
        <v>125</v>
      </c>
      <c r="F466" s="62"/>
      <c r="G466" s="61" t="s">
        <v>126</v>
      </c>
      <c r="H466" s="334">
        <v>1000</v>
      </c>
      <c r="I466" s="63">
        <v>37</v>
      </c>
      <c r="J466" s="63">
        <v>3</v>
      </c>
      <c r="K466" s="63">
        <v>1</v>
      </c>
      <c r="L466" s="63">
        <v>0</v>
      </c>
      <c r="M466" s="63">
        <v>7</v>
      </c>
      <c r="N466" s="63"/>
      <c r="O466" s="63">
        <v>1</v>
      </c>
      <c r="P466" s="63">
        <v>5</v>
      </c>
      <c r="Q466" s="63"/>
      <c r="R466" s="64"/>
      <c r="S466" s="63">
        <v>0</v>
      </c>
      <c r="T466" s="63">
        <v>0</v>
      </c>
      <c r="U466" s="63"/>
      <c r="V466" s="63">
        <v>3</v>
      </c>
      <c r="W466" s="63">
        <v>0</v>
      </c>
      <c r="X466" s="63">
        <v>8</v>
      </c>
      <c r="Y466" s="63">
        <v>36</v>
      </c>
      <c r="Z466" s="63">
        <v>0</v>
      </c>
      <c r="AA466" s="63">
        <v>0</v>
      </c>
      <c r="AB466" s="65">
        <f>100/(SUM(I466:Z466))</f>
        <v>0.99009900990099009</v>
      </c>
      <c r="AC466" s="259">
        <f>SUM(I466:AA466)</f>
        <v>101</v>
      </c>
      <c r="AD466" s="63"/>
      <c r="AE466" s="64"/>
      <c r="AF466" s="64"/>
      <c r="AG466" s="66" t="s">
        <v>127</v>
      </c>
      <c r="AH466" s="67" t="s">
        <v>1641</v>
      </c>
      <c r="AI466" s="67"/>
      <c r="AJ466" s="67"/>
      <c r="AK466" s="61" t="s">
        <v>1642</v>
      </c>
      <c r="AL466" s="66">
        <f>(B466-DATE(1970,1,1))*86400</f>
        <v>1729728000</v>
      </c>
      <c r="AM466" s="66">
        <f>(C466-DATE(1970,1,1))*86400</f>
        <v>1730160000</v>
      </c>
      <c r="AN466" s="66">
        <f>AVERAGE(AL466:AM466)</f>
        <v>1729944000</v>
      </c>
    </row>
    <row r="467" spans="1:40" x14ac:dyDescent="0.2">
      <c r="A467" s="279" t="s">
        <v>133</v>
      </c>
      <c r="B467" s="14">
        <v>45579</v>
      </c>
      <c r="C467" s="14">
        <v>45582</v>
      </c>
      <c r="D467" s="13" t="s">
        <v>124</v>
      </c>
      <c r="E467" s="324" t="s">
        <v>125</v>
      </c>
      <c r="F467" s="13"/>
      <c r="G467" s="13" t="s">
        <v>126</v>
      </c>
      <c r="H467" s="349">
        <v>1000</v>
      </c>
      <c r="I467" s="15">
        <v>36</v>
      </c>
      <c r="J467" s="15"/>
      <c r="K467" s="15"/>
      <c r="L467" s="15"/>
      <c r="M467" s="15">
        <v>3</v>
      </c>
      <c r="N467" s="15"/>
      <c r="O467" s="15"/>
      <c r="P467" s="15">
        <v>1</v>
      </c>
      <c r="Q467" s="15"/>
      <c r="R467" s="15"/>
      <c r="S467" s="15"/>
      <c r="T467" s="15"/>
      <c r="U467" s="15"/>
      <c r="V467" s="15">
        <v>4</v>
      </c>
      <c r="W467" s="15"/>
      <c r="X467" s="15">
        <v>5</v>
      </c>
      <c r="Y467" s="15">
        <v>25</v>
      </c>
      <c r="Z467" s="15">
        <v>4</v>
      </c>
      <c r="AA467" s="15">
        <v>22</v>
      </c>
      <c r="AB467" s="16">
        <f>100/(SUM(I467:Z467))</f>
        <v>1.2820512820512822</v>
      </c>
      <c r="AC467" s="259">
        <f>SUM(I467:AA467)</f>
        <v>100</v>
      </c>
      <c r="AD467" s="15"/>
      <c r="AE467" s="15"/>
      <c r="AF467" s="15"/>
      <c r="AG467" s="17" t="s">
        <v>127</v>
      </c>
      <c r="AH467" s="18" t="s">
        <v>1636</v>
      </c>
      <c r="AI467" s="18"/>
      <c r="AJ467" s="18"/>
      <c r="AK467" s="13"/>
      <c r="AL467" s="17">
        <f>(B467-DATE(1970,1,1))*86400</f>
        <v>1728864000</v>
      </c>
      <c r="AM467" s="17">
        <f>(C467-DATE(1970,1,1))*86400</f>
        <v>1729123200</v>
      </c>
      <c r="AN467" s="17">
        <f>AVERAGE(AL467:AM467)</f>
        <v>1728993600</v>
      </c>
    </row>
    <row r="468" spans="1:40" x14ac:dyDescent="0.2">
      <c r="A468" s="279" t="s">
        <v>123</v>
      </c>
      <c r="B468" s="14">
        <v>45579</v>
      </c>
      <c r="C468" s="14">
        <v>45582</v>
      </c>
      <c r="D468" s="13" t="s">
        <v>124</v>
      </c>
      <c r="E468" s="324" t="s">
        <v>125</v>
      </c>
      <c r="F468" s="13"/>
      <c r="G468" s="13" t="s">
        <v>126</v>
      </c>
      <c r="H468" s="349">
        <v>1000</v>
      </c>
      <c r="I468" s="15">
        <v>49</v>
      </c>
      <c r="J468" s="15"/>
      <c r="K468" s="15"/>
      <c r="L468" s="15"/>
      <c r="M468" s="15">
        <v>3</v>
      </c>
      <c r="N468" s="15"/>
      <c r="O468" s="15"/>
      <c r="P468" s="15">
        <v>1</v>
      </c>
      <c r="Q468" s="15"/>
      <c r="R468" s="15"/>
      <c r="S468" s="15"/>
      <c r="T468" s="15"/>
      <c r="U468" s="15"/>
      <c r="V468" s="15">
        <v>4</v>
      </c>
      <c r="W468" s="15"/>
      <c r="X468" s="15">
        <v>5</v>
      </c>
      <c r="Y468" s="15">
        <v>34</v>
      </c>
      <c r="Z468" s="15">
        <v>4</v>
      </c>
      <c r="AA468" s="15">
        <v>0</v>
      </c>
      <c r="AB468" s="16">
        <f>100/(SUM(I468:Z468))</f>
        <v>1</v>
      </c>
      <c r="AC468" s="259">
        <f>SUM(I468:AA468)</f>
        <v>100</v>
      </c>
      <c r="AD468" s="15"/>
      <c r="AE468" s="15"/>
      <c r="AF468" s="15"/>
      <c r="AG468" s="17" t="s">
        <v>127</v>
      </c>
      <c r="AH468" s="18" t="s">
        <v>1636</v>
      </c>
      <c r="AI468" s="18"/>
      <c r="AJ468" s="18"/>
      <c r="AK468" s="13"/>
      <c r="AL468" s="17">
        <f>(B468-DATE(1970,1,1))*86400</f>
        <v>1728864000</v>
      </c>
      <c r="AM468" s="17">
        <f>(C468-DATE(1970,1,1))*86400</f>
        <v>1729123200</v>
      </c>
      <c r="AN468" s="17">
        <f>AVERAGE(AL468:AM468)</f>
        <v>1728993600</v>
      </c>
    </row>
    <row r="469" spans="1:40" ht="15.75" customHeight="1" x14ac:dyDescent="0.2">
      <c r="A469" s="279" t="s">
        <v>123</v>
      </c>
      <c r="B469" s="14">
        <v>45579</v>
      </c>
      <c r="C469" s="14">
        <v>45582</v>
      </c>
      <c r="D469" s="13" t="s">
        <v>124</v>
      </c>
      <c r="E469" s="324" t="s">
        <v>125</v>
      </c>
      <c r="F469" s="13"/>
      <c r="G469" s="13" t="s">
        <v>126</v>
      </c>
      <c r="H469" s="349">
        <v>1000</v>
      </c>
      <c r="I469" s="15">
        <v>46</v>
      </c>
      <c r="J469" s="15"/>
      <c r="K469" s="15"/>
      <c r="L469" s="15"/>
      <c r="M469" s="15">
        <v>5</v>
      </c>
      <c r="N469" s="15"/>
      <c r="O469" s="15"/>
      <c r="P469" s="15">
        <v>1</v>
      </c>
      <c r="Q469" s="15"/>
      <c r="R469" s="15"/>
      <c r="S469" s="15"/>
      <c r="T469" s="15"/>
      <c r="U469" s="15"/>
      <c r="V469" s="15">
        <v>3</v>
      </c>
      <c r="W469" s="15"/>
      <c r="X469" s="15">
        <v>6</v>
      </c>
      <c r="Y469" s="15">
        <v>35</v>
      </c>
      <c r="Z469" s="15">
        <v>3</v>
      </c>
      <c r="AA469" s="15">
        <v>0</v>
      </c>
      <c r="AB469" s="16">
        <f>100/(SUM(I469:Z469))</f>
        <v>1.0101010101010102</v>
      </c>
      <c r="AC469" s="259">
        <f>SUM(I469:AA469)</f>
        <v>99</v>
      </c>
      <c r="AD469" s="15"/>
      <c r="AE469" s="15"/>
      <c r="AF469" s="15"/>
      <c r="AG469" s="17" t="s">
        <v>127</v>
      </c>
      <c r="AH469" s="18" t="s">
        <v>1636</v>
      </c>
      <c r="AI469" s="18"/>
      <c r="AJ469" s="18"/>
      <c r="AK469" s="13" t="s">
        <v>1637</v>
      </c>
      <c r="AL469" s="17">
        <f>(B469-DATE(1970,1,1))*86400</f>
        <v>1728864000</v>
      </c>
      <c r="AM469" s="17">
        <f>(C469-DATE(1970,1,1))*86400</f>
        <v>1729123200</v>
      </c>
      <c r="AN469" s="17">
        <f>AVERAGE(AL469:AM469)</f>
        <v>1728993600</v>
      </c>
    </row>
    <row r="470" spans="1:40" ht="15.75" customHeight="1" x14ac:dyDescent="0.2">
      <c r="A470" s="281" t="s">
        <v>133</v>
      </c>
      <c r="B470" s="54">
        <v>45576</v>
      </c>
      <c r="C470" s="54">
        <v>45583</v>
      </c>
      <c r="D470" s="53" t="s">
        <v>154</v>
      </c>
      <c r="E470" s="323" t="s">
        <v>125</v>
      </c>
      <c r="F470" s="53"/>
      <c r="G470" s="53" t="s">
        <v>126</v>
      </c>
      <c r="H470" s="357">
        <v>1000</v>
      </c>
      <c r="I470" s="55">
        <v>23</v>
      </c>
      <c r="J470" s="55">
        <v>2</v>
      </c>
      <c r="K470" s="55">
        <v>1</v>
      </c>
      <c r="L470" s="55">
        <v>0</v>
      </c>
      <c r="M470" s="55">
        <v>5</v>
      </c>
      <c r="N470" s="55"/>
      <c r="O470" s="55">
        <v>0</v>
      </c>
      <c r="P470" s="55">
        <v>1</v>
      </c>
      <c r="Q470" s="55"/>
      <c r="R470" s="56"/>
      <c r="S470" s="55">
        <v>0</v>
      </c>
      <c r="T470" s="55">
        <v>0</v>
      </c>
      <c r="U470" s="55">
        <v>1</v>
      </c>
      <c r="V470" s="55">
        <v>2</v>
      </c>
      <c r="W470" s="55">
        <v>0</v>
      </c>
      <c r="X470" s="55">
        <v>3</v>
      </c>
      <c r="Y470" s="55">
        <v>24</v>
      </c>
      <c r="Z470" s="55">
        <v>0</v>
      </c>
      <c r="AA470" s="55">
        <v>38</v>
      </c>
      <c r="AB470" s="57">
        <f>100/(SUM(I470:Z470))</f>
        <v>1.6129032258064515</v>
      </c>
      <c r="AC470" s="259">
        <f>SUM(I470:AA470)</f>
        <v>100</v>
      </c>
      <c r="AD470" s="55"/>
      <c r="AE470" s="55"/>
      <c r="AF470" s="55"/>
      <c r="AG470" s="58" t="s">
        <v>155</v>
      </c>
      <c r="AH470" s="59" t="s">
        <v>1634</v>
      </c>
      <c r="AI470" s="186" t="s">
        <v>1635</v>
      </c>
      <c r="AJ470" s="59" t="s">
        <v>1623</v>
      </c>
      <c r="AK470" s="53" t="s">
        <v>1633</v>
      </c>
      <c r="AL470" s="58">
        <f>(B470-DATE(1970,1,1))*86400</f>
        <v>1728604800</v>
      </c>
      <c r="AM470" s="58">
        <f>(C470-DATE(1970,1,1))*86400</f>
        <v>1729209600</v>
      </c>
      <c r="AN470" s="58">
        <f>AVERAGE(AL470:AM470)</f>
        <v>1728907200</v>
      </c>
    </row>
    <row r="471" spans="1:40" ht="15.75" customHeight="1" x14ac:dyDescent="0.2">
      <c r="A471" s="281" t="s">
        <v>123</v>
      </c>
      <c r="B471" s="54">
        <v>45576</v>
      </c>
      <c r="C471" s="54">
        <v>45583</v>
      </c>
      <c r="D471" s="53" t="s">
        <v>154</v>
      </c>
      <c r="E471" s="323" t="s">
        <v>125</v>
      </c>
      <c r="F471" s="53"/>
      <c r="G471" s="53" t="s">
        <v>126</v>
      </c>
      <c r="H471" s="357">
        <v>1000</v>
      </c>
      <c r="I471" s="55">
        <v>26</v>
      </c>
      <c r="J471" s="55">
        <v>2</v>
      </c>
      <c r="K471" s="55">
        <v>1</v>
      </c>
      <c r="L471" s="55">
        <v>0</v>
      </c>
      <c r="M471" s="55">
        <v>7</v>
      </c>
      <c r="N471" s="55"/>
      <c r="O471" s="55">
        <v>0</v>
      </c>
      <c r="P471" s="55">
        <v>1</v>
      </c>
      <c r="Q471" s="55"/>
      <c r="R471" s="56"/>
      <c r="S471" s="55">
        <v>0</v>
      </c>
      <c r="T471" s="55">
        <v>0</v>
      </c>
      <c r="U471" s="55">
        <v>2</v>
      </c>
      <c r="V471" s="55">
        <v>3</v>
      </c>
      <c r="W471" s="55">
        <v>0</v>
      </c>
      <c r="X471" s="55">
        <v>3</v>
      </c>
      <c r="Y471" s="55">
        <v>27</v>
      </c>
      <c r="Z471" s="55">
        <v>0</v>
      </c>
      <c r="AA471" s="55">
        <v>28</v>
      </c>
      <c r="AB471" s="57">
        <f>100/(SUM(I471:Z471))</f>
        <v>1.3888888888888888</v>
      </c>
      <c r="AC471" s="259">
        <f>SUM(I471:AA471)</f>
        <v>100</v>
      </c>
      <c r="AD471" s="55"/>
      <c r="AE471" s="55"/>
      <c r="AF471" s="55"/>
      <c r="AG471" s="58" t="s">
        <v>155</v>
      </c>
      <c r="AH471" s="186" t="s">
        <v>1634</v>
      </c>
      <c r="AI471" s="186" t="s">
        <v>1635</v>
      </c>
      <c r="AJ471" s="59" t="s">
        <v>1623</v>
      </c>
      <c r="AK471" s="53" t="s">
        <v>138</v>
      </c>
      <c r="AL471" s="58">
        <f>(B471-DATE(1970,1,1))*86400</f>
        <v>1728604800</v>
      </c>
      <c r="AM471" s="58">
        <f>(C471-DATE(1970,1,1))*86400</f>
        <v>1729209600</v>
      </c>
      <c r="AN471" s="58">
        <f>AVERAGE(AL471:AM471)</f>
        <v>1728907200</v>
      </c>
    </row>
    <row r="472" spans="1:40" x14ac:dyDescent="0.2">
      <c r="A472" s="281" t="s">
        <v>123</v>
      </c>
      <c r="B472" s="54">
        <v>45576</v>
      </c>
      <c r="C472" s="54">
        <v>45583</v>
      </c>
      <c r="D472" s="53" t="s">
        <v>154</v>
      </c>
      <c r="E472" s="323" t="s">
        <v>125</v>
      </c>
      <c r="F472" s="53"/>
      <c r="G472" s="53" t="s">
        <v>126</v>
      </c>
      <c r="H472" s="357">
        <v>1000</v>
      </c>
      <c r="I472" s="55">
        <v>37</v>
      </c>
      <c r="J472" s="55">
        <v>2</v>
      </c>
      <c r="K472" s="55">
        <v>1</v>
      </c>
      <c r="L472" s="55">
        <v>1</v>
      </c>
      <c r="M472" s="55">
        <v>8</v>
      </c>
      <c r="N472" s="55"/>
      <c r="O472" s="55">
        <v>0</v>
      </c>
      <c r="P472" s="55">
        <v>2</v>
      </c>
      <c r="Q472" s="55"/>
      <c r="R472" s="56"/>
      <c r="S472" s="55">
        <v>0</v>
      </c>
      <c r="T472" s="55">
        <v>0</v>
      </c>
      <c r="U472" s="55">
        <v>2</v>
      </c>
      <c r="V472" s="55">
        <v>4</v>
      </c>
      <c r="W472" s="55">
        <v>0</v>
      </c>
      <c r="X472" s="55">
        <v>4</v>
      </c>
      <c r="Y472" s="55">
        <v>39</v>
      </c>
      <c r="Z472" s="55">
        <v>0</v>
      </c>
      <c r="AA472" s="55">
        <v>0</v>
      </c>
      <c r="AB472" s="57">
        <f>100/(SUM(I472:Z472))</f>
        <v>1</v>
      </c>
      <c r="AC472" s="259">
        <f>SUM(I472:AA472)</f>
        <v>100</v>
      </c>
      <c r="AD472" s="55"/>
      <c r="AE472" s="55"/>
      <c r="AF472" s="55"/>
      <c r="AG472" s="58" t="s">
        <v>155</v>
      </c>
      <c r="AH472" s="59" t="s">
        <v>1634</v>
      </c>
      <c r="AI472" s="186" t="s">
        <v>1635</v>
      </c>
      <c r="AJ472" s="59" t="s">
        <v>1623</v>
      </c>
      <c r="AK472" s="53" t="s">
        <v>138</v>
      </c>
      <c r="AL472" s="58">
        <f>(B472-DATE(1970,1,1))*86400</f>
        <v>1728604800</v>
      </c>
      <c r="AM472" s="58">
        <f>(C472-DATE(1970,1,1))*86400</f>
        <v>1729209600</v>
      </c>
      <c r="AN472" s="58">
        <f>AVERAGE(AL472:AM472)</f>
        <v>1728907200</v>
      </c>
    </row>
    <row r="473" spans="1:40" x14ac:dyDescent="0.2">
      <c r="A473" s="280" t="s">
        <v>123</v>
      </c>
      <c r="B473" s="108">
        <v>45566</v>
      </c>
      <c r="C473" s="108">
        <v>45591</v>
      </c>
      <c r="D473" s="76" t="s">
        <v>200</v>
      </c>
      <c r="E473" s="320" t="s">
        <v>125</v>
      </c>
      <c r="F473" s="76"/>
      <c r="G473" s="76" t="s">
        <v>126</v>
      </c>
      <c r="H473" s="350">
        <v>1000</v>
      </c>
      <c r="I473" s="78">
        <v>40</v>
      </c>
      <c r="J473" s="78">
        <v>2</v>
      </c>
      <c r="K473" s="78"/>
      <c r="L473" s="78"/>
      <c r="M473" s="78">
        <v>4</v>
      </c>
      <c r="N473" s="78"/>
      <c r="O473" s="78"/>
      <c r="P473" s="78">
        <v>2</v>
      </c>
      <c r="Q473" s="78"/>
      <c r="R473" s="78"/>
      <c r="S473" s="78"/>
      <c r="T473" s="78"/>
      <c r="U473" s="78"/>
      <c r="V473" s="78">
        <v>6</v>
      </c>
      <c r="W473" s="78"/>
      <c r="X473" s="78">
        <v>6</v>
      </c>
      <c r="Y473" s="78">
        <v>31</v>
      </c>
      <c r="Z473" s="78">
        <v>1</v>
      </c>
      <c r="AA473" s="78">
        <v>8</v>
      </c>
      <c r="AB473" s="79">
        <f>100/(SUM(I473:Z473))</f>
        <v>1.0869565217391304</v>
      </c>
      <c r="AC473" s="259">
        <f>SUM(I473:AA473)</f>
        <v>100</v>
      </c>
      <c r="AD473" s="78"/>
      <c r="AE473" s="78"/>
      <c r="AF473" s="78"/>
      <c r="AG473" s="80" t="s">
        <v>127</v>
      </c>
      <c r="AH473" s="81" t="s">
        <v>1638</v>
      </c>
      <c r="AI473" s="81"/>
      <c r="AJ473" s="81"/>
      <c r="AK473" s="76"/>
      <c r="AL473" s="80">
        <f>(B473-DATE(1970,1,1))*86400</f>
        <v>1727740800</v>
      </c>
      <c r="AM473" s="80">
        <f>(C473-DATE(1970,1,1))*86400</f>
        <v>1729900800</v>
      </c>
      <c r="AN473" s="80">
        <f>AVERAGE(AL473:AM473)</f>
        <v>1728820800</v>
      </c>
    </row>
    <row r="474" spans="1:40" x14ac:dyDescent="0.2">
      <c r="A474" s="280" t="s">
        <v>123</v>
      </c>
      <c r="B474" s="108">
        <v>45566</v>
      </c>
      <c r="C474" s="108">
        <v>45591</v>
      </c>
      <c r="D474" s="76" t="s">
        <v>200</v>
      </c>
      <c r="E474" s="320" t="s">
        <v>125</v>
      </c>
      <c r="F474" s="76"/>
      <c r="G474" s="76" t="s">
        <v>126</v>
      </c>
      <c r="H474" s="350">
        <v>1000</v>
      </c>
      <c r="I474" s="78">
        <v>43</v>
      </c>
      <c r="J474" s="78">
        <v>2</v>
      </c>
      <c r="K474" s="78"/>
      <c r="L474" s="78"/>
      <c r="M474" s="78">
        <v>4</v>
      </c>
      <c r="N474" s="78"/>
      <c r="O474" s="78"/>
      <c r="P474" s="78">
        <v>2</v>
      </c>
      <c r="Q474" s="78"/>
      <c r="R474" s="78"/>
      <c r="S474" s="78"/>
      <c r="T474" s="78"/>
      <c r="U474" s="78"/>
      <c r="V474" s="78">
        <v>7</v>
      </c>
      <c r="W474" s="78"/>
      <c r="X474" s="78">
        <v>7</v>
      </c>
      <c r="Y474" s="78">
        <v>34</v>
      </c>
      <c r="Z474" s="78">
        <v>1</v>
      </c>
      <c r="AA474" s="78">
        <v>0</v>
      </c>
      <c r="AB474" s="79">
        <f>100/(SUM(I474:Z474))</f>
        <v>1</v>
      </c>
      <c r="AC474" s="259">
        <f>SUM(I474:AA474)</f>
        <v>100</v>
      </c>
      <c r="AD474" s="78"/>
      <c r="AE474" s="78"/>
      <c r="AF474" s="78"/>
      <c r="AG474" s="80" t="s">
        <v>127</v>
      </c>
      <c r="AH474" s="81" t="s">
        <v>1638</v>
      </c>
      <c r="AI474" s="81"/>
      <c r="AJ474" s="81"/>
      <c r="AK474" s="76" t="s">
        <v>381</v>
      </c>
      <c r="AL474" s="80">
        <f>(B474-DATE(1970,1,1))*86400</f>
        <v>1727740800</v>
      </c>
      <c r="AM474" s="80">
        <f>(C474-DATE(1970,1,1))*86400</f>
        <v>1729900800</v>
      </c>
      <c r="AN474" s="80">
        <f>AVERAGE(AL474:AM474)</f>
        <v>1728820800</v>
      </c>
    </row>
    <row r="475" spans="1:40" x14ac:dyDescent="0.2">
      <c r="A475" s="287" t="s">
        <v>133</v>
      </c>
      <c r="B475" s="70">
        <v>45574</v>
      </c>
      <c r="C475" s="70">
        <v>45580</v>
      </c>
      <c r="D475" s="69" t="s">
        <v>183</v>
      </c>
      <c r="E475" s="333" t="s">
        <v>125</v>
      </c>
      <c r="F475" s="69"/>
      <c r="G475" s="69" t="s">
        <v>597</v>
      </c>
      <c r="H475" s="360">
        <v>1000</v>
      </c>
      <c r="I475" s="71">
        <v>29</v>
      </c>
      <c r="J475" s="71">
        <v>1</v>
      </c>
      <c r="K475" s="71">
        <v>2</v>
      </c>
      <c r="L475" s="71"/>
      <c r="M475" s="71">
        <v>3</v>
      </c>
      <c r="N475" s="71"/>
      <c r="O475" s="71"/>
      <c r="P475" s="71">
        <v>2</v>
      </c>
      <c r="Q475" s="71"/>
      <c r="R475" s="72"/>
      <c r="S475" s="71"/>
      <c r="T475" s="71"/>
      <c r="U475" s="71"/>
      <c r="V475" s="71">
        <v>3</v>
      </c>
      <c r="W475" s="71"/>
      <c r="X475" s="71">
        <v>5</v>
      </c>
      <c r="Y475" s="71">
        <v>26</v>
      </c>
      <c r="Z475" s="71">
        <v>1</v>
      </c>
      <c r="AA475" s="71">
        <v>28</v>
      </c>
      <c r="AB475" s="73">
        <f>100/(SUM(I475:Z475))</f>
        <v>1.3888888888888888</v>
      </c>
      <c r="AC475" s="259">
        <f>SUM(I475:AA475)</f>
        <v>100</v>
      </c>
      <c r="AD475" s="71"/>
      <c r="AE475" s="71">
        <v>15</v>
      </c>
      <c r="AF475" s="71">
        <v>3</v>
      </c>
      <c r="AG475" s="74" t="s">
        <v>1625</v>
      </c>
      <c r="AH475" s="75" t="s">
        <v>1626</v>
      </c>
      <c r="AI475" s="75" t="s">
        <v>1627</v>
      </c>
      <c r="AJ475" s="75" t="s">
        <v>1624</v>
      </c>
      <c r="AK475" s="69" t="s">
        <v>138</v>
      </c>
      <c r="AL475" s="74">
        <f>(B475-DATE(1970,1,1))*86400</f>
        <v>1728432000</v>
      </c>
      <c r="AM475" s="74">
        <f>(C475-DATE(1970,1,1))*86400</f>
        <v>1728950400</v>
      </c>
      <c r="AN475" s="74">
        <f>AVERAGE(AL475:AM475)</f>
        <v>1728691200</v>
      </c>
    </row>
    <row r="476" spans="1:40" x14ac:dyDescent="0.2">
      <c r="A476" s="287" t="s">
        <v>133</v>
      </c>
      <c r="B476" s="70">
        <v>45574</v>
      </c>
      <c r="C476" s="70">
        <v>45580</v>
      </c>
      <c r="D476" s="69" t="s">
        <v>183</v>
      </c>
      <c r="E476" s="333" t="s">
        <v>125</v>
      </c>
      <c r="F476" s="69"/>
      <c r="G476" s="69" t="s">
        <v>597</v>
      </c>
      <c r="H476" s="360">
        <v>1000</v>
      </c>
      <c r="I476" s="71">
        <v>40</v>
      </c>
      <c r="J476" s="72">
        <v>1.4</v>
      </c>
      <c r="K476" s="72">
        <v>2.8</v>
      </c>
      <c r="L476" s="71"/>
      <c r="M476" s="71">
        <v>4</v>
      </c>
      <c r="N476" s="71"/>
      <c r="O476" s="71"/>
      <c r="P476" s="72">
        <v>2.8</v>
      </c>
      <c r="Q476" s="71"/>
      <c r="R476" s="72"/>
      <c r="S476" s="71"/>
      <c r="T476" s="71"/>
      <c r="U476" s="71"/>
      <c r="V476" s="71">
        <v>5</v>
      </c>
      <c r="W476" s="71"/>
      <c r="X476" s="71">
        <v>6</v>
      </c>
      <c r="Y476" s="71">
        <v>37</v>
      </c>
      <c r="Z476" s="72">
        <v>1.4</v>
      </c>
      <c r="AA476" s="71">
        <v>0</v>
      </c>
      <c r="AB476" s="73">
        <f>100/(SUM(I476:Z476))</f>
        <v>0.99601593625497997</v>
      </c>
      <c r="AC476" s="259">
        <f>SUM(I476:AA476)</f>
        <v>100.4</v>
      </c>
      <c r="AD476" s="71"/>
      <c r="AE476" s="71"/>
      <c r="AF476" s="71"/>
      <c r="AG476" s="74" t="s">
        <v>1625</v>
      </c>
      <c r="AH476" s="199" t="s">
        <v>1888</v>
      </c>
      <c r="AI476" s="75"/>
      <c r="AJ476" s="75"/>
      <c r="AK476" s="69" t="s">
        <v>1889</v>
      </c>
      <c r="AL476" s="74">
        <f>(B476-DATE(1970,1,1))*86400</f>
        <v>1728432000</v>
      </c>
      <c r="AM476" s="74">
        <f>(C476-DATE(1970,1,1))*86400</f>
        <v>1728950400</v>
      </c>
      <c r="AN476" s="74">
        <f>AVERAGE(AL476:AM476)</f>
        <v>1728691200</v>
      </c>
    </row>
    <row r="477" spans="1:40" x14ac:dyDescent="0.2">
      <c r="A477" s="287" t="s">
        <v>123</v>
      </c>
      <c r="B477" s="70">
        <v>45574</v>
      </c>
      <c r="C477" s="70">
        <v>45580</v>
      </c>
      <c r="D477" s="69" t="s">
        <v>183</v>
      </c>
      <c r="E477" s="333" t="s">
        <v>125</v>
      </c>
      <c r="F477" s="69"/>
      <c r="G477" s="69" t="s">
        <v>597</v>
      </c>
      <c r="H477" s="360">
        <v>1000</v>
      </c>
      <c r="I477" s="71">
        <v>40</v>
      </c>
      <c r="J477" s="71">
        <v>1</v>
      </c>
      <c r="K477" s="71">
        <v>1</v>
      </c>
      <c r="L477" s="71"/>
      <c r="M477" s="71">
        <v>4</v>
      </c>
      <c r="N477" s="71"/>
      <c r="O477" s="71"/>
      <c r="P477" s="71">
        <v>2</v>
      </c>
      <c r="Q477" s="71"/>
      <c r="R477" s="72"/>
      <c r="S477" s="71"/>
      <c r="T477" s="71"/>
      <c r="U477" s="71"/>
      <c r="V477" s="71">
        <v>4</v>
      </c>
      <c r="W477" s="71"/>
      <c r="X477" s="71">
        <v>5</v>
      </c>
      <c r="Y477" s="71">
        <v>42</v>
      </c>
      <c r="Z477" s="71">
        <v>1</v>
      </c>
      <c r="AA477" s="71">
        <v>0</v>
      </c>
      <c r="AB477" s="73">
        <f>100/(SUM(I477:Z477))</f>
        <v>1</v>
      </c>
      <c r="AC477" s="259">
        <f>SUM(I477:AA477)</f>
        <v>100</v>
      </c>
      <c r="AD477" s="71"/>
      <c r="AE477" s="71"/>
      <c r="AF477" s="71"/>
      <c r="AG477" s="74" t="s">
        <v>1625</v>
      </c>
      <c r="AH477" s="75" t="s">
        <v>1626</v>
      </c>
      <c r="AI477" s="75" t="s">
        <v>1627</v>
      </c>
      <c r="AJ477" s="75" t="s">
        <v>1624</v>
      </c>
      <c r="AK477" s="69" t="s">
        <v>138</v>
      </c>
      <c r="AL477" s="74">
        <f>(B477-DATE(1970,1,1))*86400</f>
        <v>1728432000</v>
      </c>
      <c r="AM477" s="74">
        <f>(C477-DATE(1970,1,1))*86400</f>
        <v>1728950400</v>
      </c>
      <c r="AN477" s="74">
        <f>AVERAGE(AL477:AM477)</f>
        <v>1728691200</v>
      </c>
    </row>
    <row r="478" spans="1:40" x14ac:dyDescent="0.2">
      <c r="A478" s="286" t="s">
        <v>133</v>
      </c>
      <c r="B478" s="41">
        <v>45563</v>
      </c>
      <c r="C478" s="41">
        <v>45573</v>
      </c>
      <c r="D478" s="40" t="s">
        <v>148</v>
      </c>
      <c r="E478" s="325" t="s">
        <v>125</v>
      </c>
      <c r="F478" s="40"/>
      <c r="G478" s="40" t="s">
        <v>149</v>
      </c>
      <c r="H478" s="325">
        <v>1000</v>
      </c>
      <c r="I478" s="42">
        <v>25</v>
      </c>
      <c r="J478" s="42">
        <v>2</v>
      </c>
      <c r="K478" s="42">
        <v>2</v>
      </c>
      <c r="L478" s="42">
        <v>1</v>
      </c>
      <c r="M478" s="42">
        <v>5</v>
      </c>
      <c r="N478" s="42"/>
      <c r="O478" s="42"/>
      <c r="P478" s="42">
        <v>2</v>
      </c>
      <c r="Q478" s="42"/>
      <c r="R478" s="43"/>
      <c r="S478" s="42">
        <v>1</v>
      </c>
      <c r="T478" s="42"/>
      <c r="U478" s="42"/>
      <c r="V478" s="42">
        <v>3</v>
      </c>
      <c r="W478" s="42">
        <v>1</v>
      </c>
      <c r="X478" s="42">
        <v>4</v>
      </c>
      <c r="Y478" s="42">
        <v>21</v>
      </c>
      <c r="Z478" s="42">
        <v>1</v>
      </c>
      <c r="AA478" s="42">
        <v>32</v>
      </c>
      <c r="AB478" s="44">
        <f>100/(SUM(I478:Z478))</f>
        <v>1.4705882352941178</v>
      </c>
      <c r="AC478" s="259">
        <f>SUM(I478:AA478)</f>
        <v>100</v>
      </c>
      <c r="AD478" s="42"/>
      <c r="AE478" s="43"/>
      <c r="AF478" s="43"/>
      <c r="AG478" s="45"/>
      <c r="AH478" s="46" t="s">
        <v>1616</v>
      </c>
      <c r="AI478" s="46" t="s">
        <v>1617</v>
      </c>
      <c r="AJ478" s="46" t="s">
        <v>1618</v>
      </c>
      <c r="AK478" s="40" t="s">
        <v>151</v>
      </c>
      <c r="AL478" s="45">
        <f>(B478-DATE(1970,1,1))*86400</f>
        <v>1727481600</v>
      </c>
      <c r="AM478" s="45">
        <f>(C478-DATE(1970,1,1))*86400</f>
        <v>1728345600</v>
      </c>
      <c r="AN478" s="45">
        <f>AVERAGE(AL478:AM478)</f>
        <v>1727913600</v>
      </c>
    </row>
    <row r="479" spans="1:40" x14ac:dyDescent="0.2">
      <c r="A479" s="286" t="s">
        <v>123</v>
      </c>
      <c r="B479" s="41">
        <v>45563</v>
      </c>
      <c r="C479" s="41">
        <v>45573</v>
      </c>
      <c r="D479" s="40" t="s">
        <v>148</v>
      </c>
      <c r="E479" s="325" t="s">
        <v>125</v>
      </c>
      <c r="F479" s="40"/>
      <c r="G479" s="40" t="s">
        <v>149</v>
      </c>
      <c r="H479" s="325">
        <v>1000</v>
      </c>
      <c r="I479" s="42">
        <v>39</v>
      </c>
      <c r="J479" s="42">
        <v>2</v>
      </c>
      <c r="K479" s="42">
        <v>1</v>
      </c>
      <c r="L479" s="42">
        <v>1</v>
      </c>
      <c r="M479" s="42">
        <v>7</v>
      </c>
      <c r="N479" s="42"/>
      <c r="O479" s="42"/>
      <c r="P479" s="42">
        <v>3</v>
      </c>
      <c r="Q479" s="42"/>
      <c r="R479" s="43"/>
      <c r="S479" s="42">
        <v>1</v>
      </c>
      <c r="T479" s="42"/>
      <c r="U479" s="42"/>
      <c r="V479" s="42">
        <v>4</v>
      </c>
      <c r="W479" s="42">
        <v>1</v>
      </c>
      <c r="X479" s="42">
        <v>5</v>
      </c>
      <c r="Y479" s="42">
        <v>35</v>
      </c>
      <c r="Z479" s="42">
        <v>1</v>
      </c>
      <c r="AA479" s="42">
        <v>0</v>
      </c>
      <c r="AB479" s="44">
        <f>100/(SUM(I479:Z479))</f>
        <v>1</v>
      </c>
      <c r="AC479" s="259">
        <f>SUM(I479:AA479)</f>
        <v>100</v>
      </c>
      <c r="AD479" s="42"/>
      <c r="AE479" s="43"/>
      <c r="AF479" s="43"/>
      <c r="AG479" s="45"/>
      <c r="AH479" s="46" t="s">
        <v>1616</v>
      </c>
      <c r="AI479" s="46" t="s">
        <v>1617</v>
      </c>
      <c r="AJ479" s="46" t="s">
        <v>1618</v>
      </c>
      <c r="AK479" s="40" t="s">
        <v>151</v>
      </c>
      <c r="AL479" s="45">
        <f>(B479-DATE(1970,1,1))*86400</f>
        <v>1727481600</v>
      </c>
      <c r="AM479" s="45">
        <f>(C479-DATE(1970,1,1))*86400</f>
        <v>1728345600</v>
      </c>
      <c r="AN479" s="45">
        <f>AVERAGE(AL479:AM479)</f>
        <v>1727913600</v>
      </c>
    </row>
    <row r="480" spans="1:40" x14ac:dyDescent="0.2">
      <c r="A480" s="284" t="s">
        <v>133</v>
      </c>
      <c r="B480" s="20">
        <v>45562</v>
      </c>
      <c r="C480" s="20">
        <v>45572</v>
      </c>
      <c r="D480" s="19" t="s">
        <v>134</v>
      </c>
      <c r="E480" s="332" t="s">
        <v>125</v>
      </c>
      <c r="F480" s="19"/>
      <c r="G480" s="19" t="s">
        <v>135</v>
      </c>
      <c r="H480" s="332">
        <v>1500</v>
      </c>
      <c r="I480" s="21">
        <v>28</v>
      </c>
      <c r="J480" s="21">
        <v>0</v>
      </c>
      <c r="K480" s="21">
        <v>0</v>
      </c>
      <c r="L480" s="21">
        <v>0</v>
      </c>
      <c r="M480" s="21">
        <v>5</v>
      </c>
      <c r="N480" s="21"/>
      <c r="O480" s="21">
        <v>0</v>
      </c>
      <c r="P480" s="21">
        <v>1</v>
      </c>
      <c r="Q480" s="21"/>
      <c r="R480" s="22"/>
      <c r="S480" s="21">
        <v>1</v>
      </c>
      <c r="T480" s="21">
        <v>1</v>
      </c>
      <c r="U480" s="21"/>
      <c r="V480" s="21">
        <v>3</v>
      </c>
      <c r="W480" s="21">
        <v>1</v>
      </c>
      <c r="X480" s="21">
        <v>5</v>
      </c>
      <c r="Y480" s="21">
        <v>26</v>
      </c>
      <c r="Z480" s="21">
        <v>1</v>
      </c>
      <c r="AA480" s="21">
        <v>28</v>
      </c>
      <c r="AB480" s="23">
        <f>100/(SUM(I480:Z480))</f>
        <v>1.3888888888888888</v>
      </c>
      <c r="AC480" s="259">
        <f>SUM(I480:AA480)</f>
        <v>100</v>
      </c>
      <c r="AD480" s="21"/>
      <c r="AE480" s="24"/>
      <c r="AF480" s="24"/>
      <c r="AG480" s="25" t="s">
        <v>136</v>
      </c>
      <c r="AH480" s="26" t="s">
        <v>1621</v>
      </c>
      <c r="AI480" s="26" t="s">
        <v>1619</v>
      </c>
      <c r="AJ480" s="26" t="s">
        <v>1620</v>
      </c>
      <c r="AK480" s="19" t="s">
        <v>1622</v>
      </c>
      <c r="AL480" s="25">
        <f>(B480-DATE(1970,1,1))*86400</f>
        <v>1727395200</v>
      </c>
      <c r="AM480" s="25">
        <f>(C480-DATE(1970,1,1))*86400</f>
        <v>1728259200</v>
      </c>
      <c r="AN480" s="25">
        <f>AVERAGE(AL480:AM480)</f>
        <v>1727827200</v>
      </c>
    </row>
    <row r="481" spans="1:40" x14ac:dyDescent="0.2">
      <c r="A481" s="284" t="s">
        <v>123</v>
      </c>
      <c r="B481" s="20">
        <v>45562</v>
      </c>
      <c r="C481" s="20">
        <v>45572</v>
      </c>
      <c r="D481" s="19" t="s">
        <v>134</v>
      </c>
      <c r="E481" s="332" t="s">
        <v>125</v>
      </c>
      <c r="F481" s="19"/>
      <c r="G481" s="19" t="s">
        <v>135</v>
      </c>
      <c r="H481" s="332">
        <v>1500</v>
      </c>
      <c r="I481" s="21">
        <v>39</v>
      </c>
      <c r="J481" s="21">
        <v>0</v>
      </c>
      <c r="K481" s="21">
        <v>0</v>
      </c>
      <c r="L481" s="21">
        <v>0</v>
      </c>
      <c r="M481" s="21">
        <v>7</v>
      </c>
      <c r="N481" s="21"/>
      <c r="O481" s="21">
        <v>0</v>
      </c>
      <c r="P481" s="21">
        <v>2</v>
      </c>
      <c r="Q481" s="21"/>
      <c r="R481" s="22"/>
      <c r="S481" s="21">
        <v>1</v>
      </c>
      <c r="T481" s="21">
        <v>1</v>
      </c>
      <c r="U481" s="21"/>
      <c r="V481" s="21">
        <v>4</v>
      </c>
      <c r="W481" s="21">
        <v>1</v>
      </c>
      <c r="X481" s="21">
        <v>7</v>
      </c>
      <c r="Y481" s="21">
        <v>37</v>
      </c>
      <c r="Z481" s="21">
        <v>1</v>
      </c>
      <c r="AA481" s="21">
        <v>0</v>
      </c>
      <c r="AB481" s="23">
        <f>100/(SUM(I481:Z481))</f>
        <v>1</v>
      </c>
      <c r="AC481" s="259">
        <f>SUM(I481:AA481)</f>
        <v>100</v>
      </c>
      <c r="AD481" s="24"/>
      <c r="AE481" s="24"/>
      <c r="AF481" s="24"/>
      <c r="AG481" s="25" t="s">
        <v>136</v>
      </c>
      <c r="AH481" s="26" t="s">
        <v>1621</v>
      </c>
      <c r="AI481" s="26" t="s">
        <v>1619</v>
      </c>
      <c r="AJ481" s="26" t="s">
        <v>1620</v>
      </c>
      <c r="AK481" s="19"/>
      <c r="AL481" s="25">
        <f>(B481-DATE(1970,1,1))*86400</f>
        <v>1727395200</v>
      </c>
      <c r="AM481" s="25">
        <f>(C481-DATE(1970,1,1))*86400</f>
        <v>1728259200</v>
      </c>
      <c r="AN481" s="25">
        <f>AVERAGE(AL481:AM481)</f>
        <v>1727827200</v>
      </c>
    </row>
    <row r="482" spans="1:40" x14ac:dyDescent="0.2">
      <c r="A482" s="279" t="s">
        <v>123</v>
      </c>
      <c r="B482" s="14">
        <v>45551</v>
      </c>
      <c r="C482" s="14">
        <v>45553</v>
      </c>
      <c r="D482" s="13" t="s">
        <v>124</v>
      </c>
      <c r="E482" s="324" t="s">
        <v>125</v>
      </c>
      <c r="F482" s="13"/>
      <c r="G482" s="13" t="s">
        <v>126</v>
      </c>
      <c r="H482" s="349">
        <v>1000</v>
      </c>
      <c r="I482" s="15">
        <v>47</v>
      </c>
      <c r="J482" s="15"/>
      <c r="K482" s="15"/>
      <c r="L482" s="15"/>
      <c r="M482" s="15"/>
      <c r="N482" s="15"/>
      <c r="O482" s="15"/>
      <c r="P482" s="15">
        <v>1</v>
      </c>
      <c r="Q482" s="15">
        <v>8</v>
      </c>
      <c r="R482" s="15"/>
      <c r="S482" s="15"/>
      <c r="T482" s="15"/>
      <c r="U482" s="15"/>
      <c r="V482" s="15">
        <v>2</v>
      </c>
      <c r="W482" s="15"/>
      <c r="X482" s="15">
        <v>6</v>
      </c>
      <c r="Y482" s="15">
        <v>33</v>
      </c>
      <c r="Z482" s="15">
        <v>3</v>
      </c>
      <c r="AA482" s="15">
        <v>0</v>
      </c>
      <c r="AB482" s="16">
        <f>100/(SUM(I482:Z482))</f>
        <v>1</v>
      </c>
      <c r="AC482" s="259">
        <f>SUM(I482:AA482)</f>
        <v>100</v>
      </c>
      <c r="AD482" s="15"/>
      <c r="AE482" s="15"/>
      <c r="AF482" s="15"/>
      <c r="AG482" s="17" t="s">
        <v>127</v>
      </c>
      <c r="AH482" s="18" t="s">
        <v>128</v>
      </c>
      <c r="AI482" s="18" t="s">
        <v>129</v>
      </c>
      <c r="AJ482" s="18" t="s">
        <v>130</v>
      </c>
      <c r="AK482" s="13" t="s">
        <v>131</v>
      </c>
      <c r="AL482" s="17">
        <f>(B482-DATE(1970,1,1))*86400</f>
        <v>1726444800</v>
      </c>
      <c r="AM482" s="17">
        <f>(C482-DATE(1970,1,1))*86400</f>
        <v>1726617600</v>
      </c>
      <c r="AN482" s="17">
        <f>AVERAGE(AL482:AM482)</f>
        <v>1726531200</v>
      </c>
    </row>
    <row r="483" spans="1:40" x14ac:dyDescent="0.2">
      <c r="A483" s="280" t="s">
        <v>133</v>
      </c>
      <c r="B483" s="108">
        <v>45474</v>
      </c>
      <c r="C483" s="108">
        <v>45626</v>
      </c>
      <c r="D483" s="76" t="s">
        <v>200</v>
      </c>
      <c r="E483" s="320" t="s">
        <v>125</v>
      </c>
      <c r="F483" s="76" t="s">
        <v>140</v>
      </c>
      <c r="G483" s="76" t="s">
        <v>126</v>
      </c>
      <c r="H483" s="350">
        <v>60000</v>
      </c>
      <c r="I483" s="78"/>
      <c r="J483" s="78"/>
      <c r="K483" s="78"/>
      <c r="L483" s="78"/>
      <c r="M483" s="78"/>
      <c r="N483" s="78"/>
      <c r="O483" s="78"/>
      <c r="P483" s="78"/>
      <c r="Q483" s="78"/>
      <c r="R483" s="78"/>
      <c r="S483" s="78"/>
      <c r="T483" s="78"/>
      <c r="U483" s="78"/>
      <c r="V483" s="78"/>
      <c r="W483" s="78"/>
      <c r="X483" s="78"/>
      <c r="Y483" s="78"/>
      <c r="Z483" s="78"/>
      <c r="AA483" s="78"/>
      <c r="AB483" s="79" t="e">
        <f>100/(SUM(I483:Z483))</f>
        <v>#DIV/0!</v>
      </c>
      <c r="AC483" s="259">
        <f>SUM(I483:AA483)</f>
        <v>0</v>
      </c>
      <c r="AD483" s="78"/>
      <c r="AE483" s="78"/>
      <c r="AF483" s="78"/>
      <c r="AG483" s="80" t="s">
        <v>127</v>
      </c>
      <c r="AH483" s="195" t="s">
        <v>1731</v>
      </c>
      <c r="AI483" s="195"/>
      <c r="AJ483" s="194"/>
      <c r="AK483" s="76" t="s">
        <v>1732</v>
      </c>
      <c r="AL483" s="80">
        <f>(B483-DATE(1970,1,1))*86400</f>
        <v>1719792000</v>
      </c>
      <c r="AM483" s="80">
        <f>(C483-DATE(1970,1,1))*86400</f>
        <v>1732924800</v>
      </c>
      <c r="AN483" s="80">
        <f>AVERAGE(AL483:AM483)</f>
        <v>1726358400</v>
      </c>
    </row>
    <row r="484" spans="1:40" x14ac:dyDescent="0.2">
      <c r="A484" s="279" t="s">
        <v>123</v>
      </c>
      <c r="B484" s="14">
        <v>45544</v>
      </c>
      <c r="C484" s="14">
        <v>45546</v>
      </c>
      <c r="D484" s="13" t="s">
        <v>124</v>
      </c>
      <c r="E484" s="324" t="s">
        <v>125</v>
      </c>
      <c r="F484" s="13"/>
      <c r="G484" s="13" t="s">
        <v>126</v>
      </c>
      <c r="H484" s="349">
        <v>1000</v>
      </c>
      <c r="I484" s="15">
        <v>45</v>
      </c>
      <c r="J484" s="15"/>
      <c r="K484" s="15"/>
      <c r="L484" s="15"/>
      <c r="M484" s="15"/>
      <c r="N484" s="15"/>
      <c r="O484" s="15"/>
      <c r="P484" s="15">
        <v>3</v>
      </c>
      <c r="Q484" s="15">
        <v>6</v>
      </c>
      <c r="R484" s="15"/>
      <c r="S484" s="15"/>
      <c r="T484" s="15"/>
      <c r="U484" s="15"/>
      <c r="V484" s="15">
        <v>4</v>
      </c>
      <c r="W484" s="15"/>
      <c r="X484" s="15">
        <v>5</v>
      </c>
      <c r="Y484" s="15">
        <v>35</v>
      </c>
      <c r="Z484" s="15">
        <v>2</v>
      </c>
      <c r="AA484" s="15">
        <v>0</v>
      </c>
      <c r="AB484" s="16">
        <f>100/(SUM(I484:Z484))</f>
        <v>1</v>
      </c>
      <c r="AC484" s="259">
        <f>SUM(I484:AA484)</f>
        <v>100</v>
      </c>
      <c r="AD484" s="15"/>
      <c r="AE484" s="15"/>
      <c r="AF484" s="15"/>
      <c r="AG484" s="17" t="s">
        <v>127</v>
      </c>
      <c r="AH484" s="18" t="s">
        <v>128</v>
      </c>
      <c r="AI484" s="18" t="s">
        <v>129</v>
      </c>
      <c r="AJ484" s="18" t="s">
        <v>130</v>
      </c>
      <c r="AK484" s="13" t="s">
        <v>132</v>
      </c>
      <c r="AL484" s="17">
        <f>(B484-DATE(1970,1,1))*86400</f>
        <v>1725840000</v>
      </c>
      <c r="AM484" s="17">
        <f>(C484-DATE(1970,1,1))*86400</f>
        <v>1726012800</v>
      </c>
      <c r="AN484" s="17">
        <f>AVERAGE(AL484:AM484)</f>
        <v>1725926400</v>
      </c>
    </row>
    <row r="485" spans="1:40" x14ac:dyDescent="0.2">
      <c r="A485" s="283" t="s">
        <v>123</v>
      </c>
      <c r="B485" s="28">
        <v>45544</v>
      </c>
      <c r="C485" s="28">
        <v>45546</v>
      </c>
      <c r="D485" s="27" t="s">
        <v>139</v>
      </c>
      <c r="E485" s="331" t="s">
        <v>125</v>
      </c>
      <c r="F485" s="27" t="s">
        <v>140</v>
      </c>
      <c r="G485" s="27" t="s">
        <v>126</v>
      </c>
      <c r="H485" s="352">
        <v>1000</v>
      </c>
      <c r="I485" s="29"/>
      <c r="J485" s="29"/>
      <c r="K485" s="29"/>
      <c r="L485" s="29"/>
      <c r="M485" s="29"/>
      <c r="N485" s="29"/>
      <c r="O485" s="29"/>
      <c r="P485" s="29"/>
      <c r="Q485" s="29"/>
      <c r="R485" s="29"/>
      <c r="S485" s="29"/>
      <c r="T485" s="29"/>
      <c r="U485" s="29"/>
      <c r="V485" s="29"/>
      <c r="W485" s="29"/>
      <c r="X485" s="29"/>
      <c r="Y485" s="29"/>
      <c r="Z485" s="29"/>
      <c r="AA485" s="29"/>
      <c r="AB485" s="30" t="e">
        <f>100/(SUM(I485:Z485))</f>
        <v>#DIV/0!</v>
      </c>
      <c r="AC485" s="259">
        <f>SUM(I485:AA485)</f>
        <v>0</v>
      </c>
      <c r="AD485" s="29"/>
      <c r="AE485" s="29"/>
      <c r="AF485" s="29"/>
      <c r="AG485" s="31" t="s">
        <v>127</v>
      </c>
      <c r="AH485" s="32" t="s">
        <v>141</v>
      </c>
      <c r="AI485" s="32" t="s">
        <v>142</v>
      </c>
      <c r="AJ485" s="32"/>
      <c r="AK485" s="27"/>
      <c r="AL485" s="31">
        <f>(B485-DATE(1970,1,1))*86400</f>
        <v>1725840000</v>
      </c>
      <c r="AM485" s="31">
        <f>(C485-DATE(1970,1,1))*86400</f>
        <v>1726012800</v>
      </c>
      <c r="AN485" s="31">
        <f>AVERAGE(AL485:AM485)</f>
        <v>1725926400</v>
      </c>
    </row>
    <row r="486" spans="1:40" x14ac:dyDescent="0.2">
      <c r="A486" s="285" t="s">
        <v>133</v>
      </c>
      <c r="B486" s="34">
        <v>45538</v>
      </c>
      <c r="C486" s="34">
        <v>45545</v>
      </c>
      <c r="D486" s="33" t="s">
        <v>143</v>
      </c>
      <c r="E486" s="319" t="s">
        <v>125</v>
      </c>
      <c r="F486" s="33"/>
      <c r="G486" s="33" t="s">
        <v>126</v>
      </c>
      <c r="H486" s="353">
        <v>1000</v>
      </c>
      <c r="I486" s="35">
        <v>30</v>
      </c>
      <c r="J486" s="35"/>
      <c r="K486" s="35">
        <v>2</v>
      </c>
      <c r="L486" s="35"/>
      <c r="M486" s="35">
        <v>2</v>
      </c>
      <c r="N486" s="35"/>
      <c r="O486" s="35"/>
      <c r="P486" s="35">
        <v>1</v>
      </c>
      <c r="Q486" s="35"/>
      <c r="R486" s="36"/>
      <c r="S486" s="35"/>
      <c r="T486" s="35"/>
      <c r="U486" s="35"/>
      <c r="V486" s="35">
        <v>4</v>
      </c>
      <c r="W486" s="35"/>
      <c r="X486" s="35">
        <v>4</v>
      </c>
      <c r="Y486" s="35">
        <v>25</v>
      </c>
      <c r="Z486" s="35">
        <v>2</v>
      </c>
      <c r="AA486" s="35">
        <v>30</v>
      </c>
      <c r="AB486" s="37">
        <f>100/(SUM(I486:Z486))</f>
        <v>1.4285714285714286</v>
      </c>
      <c r="AC486" s="259">
        <f>SUM(I486:AA486)</f>
        <v>100</v>
      </c>
      <c r="AD486" s="35"/>
      <c r="AE486" s="35"/>
      <c r="AF486" s="35"/>
      <c r="AG486" s="33" t="s">
        <v>144</v>
      </c>
      <c r="AH486" s="38" t="s">
        <v>145</v>
      </c>
      <c r="AI486" s="38"/>
      <c r="AJ486" s="33"/>
      <c r="AK486" s="33"/>
      <c r="AL486" s="39">
        <f>(B486-DATE(1970,1,1))*86400</f>
        <v>1725321600</v>
      </c>
      <c r="AM486" s="39">
        <f>(C486-DATE(1970,1,1))*86400</f>
        <v>1725926400</v>
      </c>
      <c r="AN486" s="39">
        <f>AVERAGE(AL486:AM486)</f>
        <v>1725624000</v>
      </c>
    </row>
    <row r="487" spans="1:40" x14ac:dyDescent="0.2">
      <c r="A487" s="285" t="s">
        <v>133</v>
      </c>
      <c r="B487" s="34">
        <v>45538</v>
      </c>
      <c r="C487" s="34">
        <v>45545</v>
      </c>
      <c r="D487" s="33" t="s">
        <v>143</v>
      </c>
      <c r="E487" s="319" t="s">
        <v>125</v>
      </c>
      <c r="F487" s="33"/>
      <c r="G487" s="33" t="s">
        <v>126</v>
      </c>
      <c r="H487" s="353">
        <v>1000</v>
      </c>
      <c r="I487" s="35">
        <v>43</v>
      </c>
      <c r="J487" s="35"/>
      <c r="K487" s="35">
        <v>2</v>
      </c>
      <c r="L487" s="35"/>
      <c r="M487" s="35">
        <v>3</v>
      </c>
      <c r="N487" s="35"/>
      <c r="O487" s="35"/>
      <c r="P487" s="35">
        <v>2</v>
      </c>
      <c r="Q487" s="35"/>
      <c r="R487" s="36"/>
      <c r="S487" s="35"/>
      <c r="T487" s="35"/>
      <c r="U487" s="35"/>
      <c r="V487" s="35">
        <v>5</v>
      </c>
      <c r="W487" s="35"/>
      <c r="X487" s="35">
        <v>5</v>
      </c>
      <c r="Y487" s="35">
        <v>36</v>
      </c>
      <c r="Z487" s="35">
        <v>4</v>
      </c>
      <c r="AA487" s="35">
        <v>0</v>
      </c>
      <c r="AB487" s="37">
        <f>100/(SUM(I487:Z487))</f>
        <v>1</v>
      </c>
      <c r="AC487" s="259">
        <f>SUM(I487:AA487)</f>
        <v>100</v>
      </c>
      <c r="AD487" s="35"/>
      <c r="AE487" s="35"/>
      <c r="AF487" s="35"/>
      <c r="AG487" s="33" t="s">
        <v>144</v>
      </c>
      <c r="AH487" s="38" t="s">
        <v>145</v>
      </c>
      <c r="AI487" s="38"/>
      <c r="AJ487" s="33"/>
      <c r="AK487" s="33" t="s">
        <v>138</v>
      </c>
      <c r="AL487" s="39">
        <f>(B487-DATE(1970,1,1))*86400</f>
        <v>1725321600</v>
      </c>
      <c r="AM487" s="39">
        <f>(C487-DATE(1970,1,1))*86400</f>
        <v>1725926400</v>
      </c>
      <c r="AN487" s="39">
        <f>AVERAGE(AL487:AM487)</f>
        <v>1725624000</v>
      </c>
    </row>
    <row r="488" spans="1:40" x14ac:dyDescent="0.2">
      <c r="A488" s="285" t="s">
        <v>123</v>
      </c>
      <c r="B488" s="34">
        <v>45538</v>
      </c>
      <c r="C488" s="34">
        <v>45545</v>
      </c>
      <c r="D488" s="33" t="s">
        <v>143</v>
      </c>
      <c r="E488" s="319" t="s">
        <v>125</v>
      </c>
      <c r="F488" s="33"/>
      <c r="G488" s="33" t="s">
        <v>126</v>
      </c>
      <c r="H488" s="353">
        <v>1000</v>
      </c>
      <c r="I488" s="35">
        <v>43</v>
      </c>
      <c r="J488" s="35"/>
      <c r="K488" s="35">
        <v>2</v>
      </c>
      <c r="L488" s="35"/>
      <c r="M488" s="35">
        <v>3</v>
      </c>
      <c r="N488" s="35"/>
      <c r="O488" s="35"/>
      <c r="P488" s="35">
        <v>2</v>
      </c>
      <c r="Q488" s="35"/>
      <c r="R488" s="36"/>
      <c r="S488" s="35"/>
      <c r="T488" s="35"/>
      <c r="U488" s="35"/>
      <c r="V488" s="35">
        <v>3</v>
      </c>
      <c r="W488" s="35"/>
      <c r="X488" s="35">
        <v>4</v>
      </c>
      <c r="Y488" s="35">
        <v>39</v>
      </c>
      <c r="Z488" s="35">
        <v>4</v>
      </c>
      <c r="AA488" s="35">
        <v>0</v>
      </c>
      <c r="AB488" s="37">
        <f>100/(SUM(I488:Z488))</f>
        <v>1</v>
      </c>
      <c r="AC488" s="259">
        <f>SUM(I488:AA488)</f>
        <v>100</v>
      </c>
      <c r="AD488" s="35"/>
      <c r="AE488" s="35"/>
      <c r="AF488" s="35"/>
      <c r="AG488" s="33" t="s">
        <v>144</v>
      </c>
      <c r="AH488" s="38" t="s">
        <v>145</v>
      </c>
      <c r="AI488" s="38"/>
      <c r="AJ488" s="33"/>
      <c r="AK488" s="33" t="s">
        <v>146</v>
      </c>
      <c r="AL488" s="39">
        <f>(B488-DATE(1970,1,1))*86400</f>
        <v>1725321600</v>
      </c>
      <c r="AM488" s="39">
        <f>(C488-DATE(1970,1,1))*86400</f>
        <v>1725926400</v>
      </c>
      <c r="AN488" s="39">
        <f>AVERAGE(AL488:AM488)</f>
        <v>1725624000</v>
      </c>
    </row>
    <row r="489" spans="1:40" x14ac:dyDescent="0.2">
      <c r="A489" s="284" t="s">
        <v>133</v>
      </c>
      <c r="B489" s="20">
        <v>45532</v>
      </c>
      <c r="C489" s="20">
        <v>45541</v>
      </c>
      <c r="D489" s="19" t="s">
        <v>134</v>
      </c>
      <c r="E489" s="332" t="s">
        <v>125</v>
      </c>
      <c r="F489" s="19"/>
      <c r="G489" s="19" t="s">
        <v>135</v>
      </c>
      <c r="H489" s="332">
        <v>1500</v>
      </c>
      <c r="I489" s="21">
        <v>28</v>
      </c>
      <c r="J489" s="21">
        <v>0</v>
      </c>
      <c r="K489" s="21">
        <v>1</v>
      </c>
      <c r="L489" s="21">
        <v>0</v>
      </c>
      <c r="M489" s="21">
        <v>6</v>
      </c>
      <c r="N489" s="21"/>
      <c r="O489" s="21">
        <v>0</v>
      </c>
      <c r="P489" s="21">
        <v>2</v>
      </c>
      <c r="Q489" s="21"/>
      <c r="R489" s="22"/>
      <c r="S489" s="21">
        <v>0</v>
      </c>
      <c r="T489" s="21">
        <v>1</v>
      </c>
      <c r="U489" s="21"/>
      <c r="V489" s="21">
        <v>3</v>
      </c>
      <c r="W489" s="21">
        <v>1</v>
      </c>
      <c r="X489" s="21">
        <v>6</v>
      </c>
      <c r="Y489" s="21">
        <v>23</v>
      </c>
      <c r="Z489" s="21">
        <v>1</v>
      </c>
      <c r="AA489" s="21">
        <v>28</v>
      </c>
      <c r="AB489" s="23">
        <f>100/(SUM(I489:Z489))</f>
        <v>1.3888888888888888</v>
      </c>
      <c r="AC489" s="259">
        <f>SUM(I489:AA489)</f>
        <v>100</v>
      </c>
      <c r="AD489" s="21"/>
      <c r="AE489" s="24"/>
      <c r="AF489" s="24"/>
      <c r="AG489" s="25" t="s">
        <v>136</v>
      </c>
      <c r="AH489" s="26" t="s">
        <v>137</v>
      </c>
      <c r="AI489" s="26"/>
      <c r="AJ489" s="26"/>
      <c r="AK489" s="19" t="s">
        <v>138</v>
      </c>
      <c r="AL489" s="25">
        <f>(B489-DATE(1970,1,1))*86400</f>
        <v>1724803200</v>
      </c>
      <c r="AM489" s="25">
        <f>(C489-DATE(1970,1,1))*86400</f>
        <v>1725580800</v>
      </c>
      <c r="AN489" s="25">
        <f>AVERAGE(AL489:AM489)</f>
        <v>1725192000</v>
      </c>
    </row>
    <row r="490" spans="1:40" x14ac:dyDescent="0.2">
      <c r="A490" s="284" t="s">
        <v>123</v>
      </c>
      <c r="B490" s="20">
        <v>45532</v>
      </c>
      <c r="C490" s="20">
        <v>45541</v>
      </c>
      <c r="D490" s="19" t="s">
        <v>134</v>
      </c>
      <c r="E490" s="332" t="s">
        <v>125</v>
      </c>
      <c r="F490" s="19"/>
      <c r="G490" s="19" t="s">
        <v>135</v>
      </c>
      <c r="H490" s="332">
        <v>1500</v>
      </c>
      <c r="I490" s="21">
        <v>39</v>
      </c>
      <c r="J490" s="21">
        <v>1</v>
      </c>
      <c r="K490" s="21">
        <v>1</v>
      </c>
      <c r="L490" s="21">
        <v>0</v>
      </c>
      <c r="M490" s="21">
        <v>8</v>
      </c>
      <c r="N490" s="21"/>
      <c r="O490" s="21">
        <v>1</v>
      </c>
      <c r="P490" s="21">
        <v>2</v>
      </c>
      <c r="Q490" s="21"/>
      <c r="R490" s="22"/>
      <c r="S490" s="21">
        <v>0</v>
      </c>
      <c r="T490" s="21">
        <v>2</v>
      </c>
      <c r="U490" s="21"/>
      <c r="V490" s="21">
        <v>3</v>
      </c>
      <c r="W490" s="21">
        <v>1</v>
      </c>
      <c r="X490" s="21">
        <v>7</v>
      </c>
      <c r="Y490" s="21">
        <v>34</v>
      </c>
      <c r="Z490" s="21">
        <v>1</v>
      </c>
      <c r="AA490" s="21">
        <v>0</v>
      </c>
      <c r="AB490" s="23">
        <f>100/(SUM(I490:Z490))</f>
        <v>1</v>
      </c>
      <c r="AC490" s="259">
        <f>SUM(I490:AA490)</f>
        <v>100</v>
      </c>
      <c r="AD490" s="24"/>
      <c r="AE490" s="24"/>
      <c r="AF490" s="24"/>
      <c r="AG490" s="25" t="s">
        <v>136</v>
      </c>
      <c r="AH490" s="26" t="s">
        <v>137</v>
      </c>
      <c r="AI490" s="26"/>
      <c r="AJ490" s="26"/>
      <c r="AK490" s="19"/>
      <c r="AL490" s="25">
        <f>(B490-DATE(1970,1,1))*86400</f>
        <v>1724803200</v>
      </c>
      <c r="AM490" s="25">
        <f>(C490-DATE(1970,1,1))*86400</f>
        <v>1725580800</v>
      </c>
      <c r="AN490" s="25">
        <f>AVERAGE(AL490:AM490)</f>
        <v>1725192000</v>
      </c>
    </row>
    <row r="491" spans="1:40" x14ac:dyDescent="0.2">
      <c r="A491" s="279" t="s">
        <v>123</v>
      </c>
      <c r="B491" s="14">
        <v>45530</v>
      </c>
      <c r="C491" s="14">
        <v>45532</v>
      </c>
      <c r="D491" s="13" t="s">
        <v>124</v>
      </c>
      <c r="E491" s="324" t="s">
        <v>125</v>
      </c>
      <c r="F491" s="13" t="s">
        <v>140</v>
      </c>
      <c r="G491" s="13" t="s">
        <v>126</v>
      </c>
      <c r="H491" s="349">
        <v>1000</v>
      </c>
      <c r="I491" s="15"/>
      <c r="J491" s="15"/>
      <c r="K491" s="15"/>
      <c r="L491" s="15"/>
      <c r="M491" s="15"/>
      <c r="N491" s="15"/>
      <c r="O491" s="15"/>
      <c r="P491" s="15"/>
      <c r="Q491" s="15"/>
      <c r="R491" s="15"/>
      <c r="S491" s="15"/>
      <c r="T491" s="15"/>
      <c r="U491" s="15"/>
      <c r="V491" s="15"/>
      <c r="W491" s="15"/>
      <c r="X491" s="15"/>
      <c r="Y491" s="15"/>
      <c r="Z491" s="15"/>
      <c r="AA491" s="15"/>
      <c r="AB491" s="16" t="e">
        <f>100/(SUM(I491:Z491))</f>
        <v>#DIV/0!</v>
      </c>
      <c r="AC491" s="259">
        <f>SUM(I491:AA491)</f>
        <v>0</v>
      </c>
      <c r="AD491" s="15"/>
      <c r="AE491" s="15"/>
      <c r="AF491" s="15"/>
      <c r="AG491" s="17" t="s">
        <v>127</v>
      </c>
      <c r="AH491" s="18" t="s">
        <v>147</v>
      </c>
      <c r="AI491" s="18"/>
      <c r="AJ491" s="18"/>
      <c r="AK491" s="13"/>
      <c r="AL491" s="17">
        <f>(B491-DATE(1970,1,1))*86400</f>
        <v>1724630400</v>
      </c>
      <c r="AM491" s="17">
        <f>(C491-DATE(1970,1,1))*86400</f>
        <v>1724803200</v>
      </c>
      <c r="AN491" s="17">
        <f>AVERAGE(AL491:AM491)</f>
        <v>1724716800</v>
      </c>
    </row>
    <row r="492" spans="1:40" x14ac:dyDescent="0.2">
      <c r="A492" s="286" t="s">
        <v>133</v>
      </c>
      <c r="B492" s="41">
        <v>45525</v>
      </c>
      <c r="C492" s="41">
        <v>45535</v>
      </c>
      <c r="D492" s="40" t="s">
        <v>148</v>
      </c>
      <c r="E492" s="325" t="s">
        <v>125</v>
      </c>
      <c r="F492" s="40"/>
      <c r="G492" s="40" t="s">
        <v>149</v>
      </c>
      <c r="H492" s="325">
        <v>1000</v>
      </c>
      <c r="I492" s="42">
        <v>26</v>
      </c>
      <c r="J492" s="42">
        <v>2</v>
      </c>
      <c r="K492" s="42">
        <v>2</v>
      </c>
      <c r="L492" s="42">
        <v>1</v>
      </c>
      <c r="M492" s="42">
        <v>5</v>
      </c>
      <c r="N492" s="42"/>
      <c r="O492" s="42">
        <v>1</v>
      </c>
      <c r="P492" s="42">
        <v>3</v>
      </c>
      <c r="Q492" s="42"/>
      <c r="R492" s="43"/>
      <c r="S492" s="42">
        <v>1</v>
      </c>
      <c r="T492" s="42"/>
      <c r="U492" s="42"/>
      <c r="V492" s="42">
        <v>3</v>
      </c>
      <c r="W492" s="42"/>
      <c r="X492" s="42">
        <v>5</v>
      </c>
      <c r="Y492" s="42">
        <v>20</v>
      </c>
      <c r="Z492" s="42">
        <v>2</v>
      </c>
      <c r="AA492" s="42">
        <v>29</v>
      </c>
      <c r="AB492" s="44">
        <f>100/(SUM(I492:Z492))</f>
        <v>1.408450704225352</v>
      </c>
      <c r="AC492" s="259">
        <f>SUM(I492:AA492)</f>
        <v>100</v>
      </c>
      <c r="AD492" s="42"/>
      <c r="AE492" s="43"/>
      <c r="AF492" s="43"/>
      <c r="AG492" s="45"/>
      <c r="AH492" s="46"/>
      <c r="AI492" s="46" t="s">
        <v>150</v>
      </c>
      <c r="AJ492" s="46"/>
      <c r="AK492" s="40" t="s">
        <v>151</v>
      </c>
      <c r="AL492" s="45">
        <f>(B492-DATE(1970,1,1))*86400</f>
        <v>1724198400</v>
      </c>
      <c r="AM492" s="45">
        <f>(C492-DATE(1970,1,1))*86400</f>
        <v>1725062400</v>
      </c>
      <c r="AN492" s="45">
        <f>AVERAGE(AL492:AM492)</f>
        <v>1724630400</v>
      </c>
    </row>
    <row r="493" spans="1:40" x14ac:dyDescent="0.2">
      <c r="A493" s="286" t="s">
        <v>123</v>
      </c>
      <c r="B493" s="41">
        <v>45525</v>
      </c>
      <c r="C493" s="41">
        <v>45535</v>
      </c>
      <c r="D493" s="40" t="s">
        <v>148</v>
      </c>
      <c r="E493" s="325" t="s">
        <v>125</v>
      </c>
      <c r="F493" s="40"/>
      <c r="G493" s="40" t="s">
        <v>149</v>
      </c>
      <c r="H493" s="325">
        <v>1000</v>
      </c>
      <c r="I493" s="42">
        <v>42</v>
      </c>
      <c r="J493" s="42">
        <v>2</v>
      </c>
      <c r="K493" s="42">
        <v>1</v>
      </c>
      <c r="L493" s="42">
        <v>1</v>
      </c>
      <c r="M493" s="42">
        <v>8</v>
      </c>
      <c r="N493" s="42"/>
      <c r="O493" s="42">
        <v>0</v>
      </c>
      <c r="P493" s="42">
        <v>2</v>
      </c>
      <c r="Q493" s="42"/>
      <c r="R493" s="43"/>
      <c r="S493" s="42">
        <v>1</v>
      </c>
      <c r="T493" s="42"/>
      <c r="U493" s="42"/>
      <c r="V493" s="42">
        <v>2</v>
      </c>
      <c r="W493" s="42"/>
      <c r="X493" s="42">
        <v>7</v>
      </c>
      <c r="Y493" s="42">
        <v>33</v>
      </c>
      <c r="Z493" s="42">
        <v>1</v>
      </c>
      <c r="AA493" s="42">
        <v>0</v>
      </c>
      <c r="AB493" s="44">
        <f>100/(SUM(I493:Z493))</f>
        <v>1</v>
      </c>
      <c r="AC493" s="259">
        <f>SUM(I493:AA493)</f>
        <v>100</v>
      </c>
      <c r="AD493" s="42"/>
      <c r="AE493" s="43"/>
      <c r="AF493" s="43"/>
      <c r="AG493" s="45"/>
      <c r="AH493" s="46"/>
      <c r="AI493" s="46" t="s">
        <v>150</v>
      </c>
      <c r="AJ493" s="46"/>
      <c r="AK493" s="40" t="s">
        <v>151</v>
      </c>
      <c r="AL493" s="45">
        <f>(B493-DATE(1970,1,1))*86400</f>
        <v>1724198400</v>
      </c>
      <c r="AM493" s="45">
        <f>(C493-DATE(1970,1,1))*86400</f>
        <v>1725062400</v>
      </c>
      <c r="AN493" s="45">
        <f>AVERAGE(AL493:AM493)</f>
        <v>1724630400</v>
      </c>
    </row>
    <row r="494" spans="1:40" x14ac:dyDescent="0.2">
      <c r="A494" s="279" t="s">
        <v>123</v>
      </c>
      <c r="B494" s="14">
        <v>45525</v>
      </c>
      <c r="C494" s="14">
        <v>45527</v>
      </c>
      <c r="D494" s="13" t="s">
        <v>124</v>
      </c>
      <c r="E494" s="324" t="s">
        <v>125</v>
      </c>
      <c r="F494" s="13" t="s">
        <v>140</v>
      </c>
      <c r="G494" s="13" t="s">
        <v>126</v>
      </c>
      <c r="H494" s="349">
        <v>1000</v>
      </c>
      <c r="I494" s="15"/>
      <c r="J494" s="15"/>
      <c r="K494" s="15"/>
      <c r="L494" s="15"/>
      <c r="M494" s="15"/>
      <c r="N494" s="15"/>
      <c r="O494" s="15"/>
      <c r="P494" s="15"/>
      <c r="Q494" s="15"/>
      <c r="R494" s="15"/>
      <c r="S494" s="15"/>
      <c r="T494" s="15"/>
      <c r="U494" s="15"/>
      <c r="V494" s="15"/>
      <c r="W494" s="15"/>
      <c r="X494" s="15"/>
      <c r="Y494" s="15"/>
      <c r="Z494" s="15"/>
      <c r="AA494" s="15"/>
      <c r="AB494" s="16" t="e">
        <f>100/(SUM(I494:Z494))</f>
        <v>#DIV/0!</v>
      </c>
      <c r="AC494" s="259">
        <f>SUM(I494:AA494)</f>
        <v>0</v>
      </c>
      <c r="AD494" s="15"/>
      <c r="AE494" s="15"/>
      <c r="AF494" s="15"/>
      <c r="AG494" s="17" t="s">
        <v>127</v>
      </c>
      <c r="AH494" s="18" t="s">
        <v>147</v>
      </c>
      <c r="AI494" s="18"/>
      <c r="AJ494" s="18"/>
      <c r="AK494" s="13"/>
      <c r="AL494" s="17">
        <f>(B494-DATE(1970,1,1))*86400</f>
        <v>1724198400</v>
      </c>
      <c r="AM494" s="17">
        <f>(C494-DATE(1970,1,1))*86400</f>
        <v>1724371200</v>
      </c>
      <c r="AN494" s="17">
        <f>AVERAGE(AL494:AM494)</f>
        <v>1724284800</v>
      </c>
    </row>
    <row r="495" spans="1:40" x14ac:dyDescent="0.2">
      <c r="A495" s="281" t="s">
        <v>133</v>
      </c>
      <c r="B495" s="54">
        <v>45511</v>
      </c>
      <c r="C495" s="54">
        <v>45520</v>
      </c>
      <c r="D495" s="53" t="s">
        <v>154</v>
      </c>
      <c r="E495" s="323" t="s">
        <v>125</v>
      </c>
      <c r="F495" s="53" t="s">
        <v>140</v>
      </c>
      <c r="G495" s="53" t="s">
        <v>126</v>
      </c>
      <c r="H495" s="357">
        <v>1000</v>
      </c>
      <c r="I495" s="55"/>
      <c r="J495" s="55"/>
      <c r="K495" s="55"/>
      <c r="L495" s="55"/>
      <c r="M495" s="55"/>
      <c r="N495" s="55"/>
      <c r="O495" s="55"/>
      <c r="P495" s="55"/>
      <c r="Q495" s="55"/>
      <c r="R495" s="56"/>
      <c r="S495" s="55"/>
      <c r="T495" s="55"/>
      <c r="U495" s="55"/>
      <c r="V495" s="55"/>
      <c r="W495" s="55"/>
      <c r="X495" s="55"/>
      <c r="Y495" s="55"/>
      <c r="Z495" s="55"/>
      <c r="AA495" s="55"/>
      <c r="AB495" s="57" t="e">
        <f>100/(SUM(I495:Z495))</f>
        <v>#DIV/0!</v>
      </c>
      <c r="AC495" s="259">
        <f>SUM(I495:AA495)</f>
        <v>0</v>
      </c>
      <c r="AD495" s="55"/>
      <c r="AE495" s="55"/>
      <c r="AF495" s="55"/>
      <c r="AG495" s="58" t="s">
        <v>155</v>
      </c>
      <c r="AH495" s="59"/>
      <c r="AI495" s="59" t="s">
        <v>156</v>
      </c>
      <c r="AJ495" s="59" t="s">
        <v>157</v>
      </c>
      <c r="AK495" s="53" t="s">
        <v>158</v>
      </c>
      <c r="AL495" s="58">
        <f>(B495-DATE(1970,1,1))*86400</f>
        <v>1722988800</v>
      </c>
      <c r="AM495" s="58">
        <f>(C495-DATE(1970,1,1))*86400</f>
        <v>1723766400</v>
      </c>
      <c r="AN495" s="58">
        <f>AVERAGE(AL495:AM495)</f>
        <v>1723377600</v>
      </c>
    </row>
    <row r="496" spans="1:40" x14ac:dyDescent="0.2">
      <c r="A496" s="291" t="s">
        <v>123</v>
      </c>
      <c r="B496" s="48">
        <v>45509</v>
      </c>
      <c r="C496" s="48">
        <v>45512</v>
      </c>
      <c r="D496" s="47" t="s">
        <v>152</v>
      </c>
      <c r="E496" s="337" t="s">
        <v>125</v>
      </c>
      <c r="F496" s="47" t="s">
        <v>140</v>
      </c>
      <c r="G496" s="47" t="s">
        <v>126</v>
      </c>
      <c r="H496" s="356">
        <v>1000</v>
      </c>
      <c r="I496" s="49"/>
      <c r="J496" s="49"/>
      <c r="K496" s="49"/>
      <c r="L496" s="49"/>
      <c r="M496" s="49"/>
      <c r="N496" s="49"/>
      <c r="O496" s="49"/>
      <c r="P496" s="49"/>
      <c r="Q496" s="49"/>
      <c r="R496" s="49"/>
      <c r="S496" s="49"/>
      <c r="T496" s="49"/>
      <c r="U496" s="49"/>
      <c r="V496" s="49"/>
      <c r="W496" s="49"/>
      <c r="X496" s="49"/>
      <c r="Y496" s="49"/>
      <c r="Z496" s="49"/>
      <c r="AA496" s="49"/>
      <c r="AB496" s="50" t="e">
        <f>100/(SUM(I496:Z496))</f>
        <v>#DIV/0!</v>
      </c>
      <c r="AC496" s="259">
        <f>SUM(I496:AA496)</f>
        <v>0</v>
      </c>
      <c r="AD496" s="49"/>
      <c r="AE496" s="49"/>
      <c r="AF496" s="49"/>
      <c r="AG496" s="51" t="s">
        <v>127</v>
      </c>
      <c r="AH496" s="52"/>
      <c r="AI496" s="52"/>
      <c r="AJ496" s="52" t="s">
        <v>153</v>
      </c>
      <c r="AK496" s="47"/>
      <c r="AL496" s="51">
        <f>(B496-DATE(1970,1,1))*86400</f>
        <v>1722816000</v>
      </c>
      <c r="AM496" s="51">
        <f>(C496-DATE(1970,1,1))*86400</f>
        <v>1723075200</v>
      </c>
      <c r="AN496" s="51">
        <f>AVERAGE(AL496:AM496)</f>
        <v>1722945600</v>
      </c>
    </row>
    <row r="497" spans="1:40" x14ac:dyDescent="0.2">
      <c r="A497" s="279" t="s">
        <v>123</v>
      </c>
      <c r="B497" s="14">
        <v>45502</v>
      </c>
      <c r="C497" s="14">
        <v>45504</v>
      </c>
      <c r="D497" s="13" t="s">
        <v>124</v>
      </c>
      <c r="E497" s="324" t="s">
        <v>125</v>
      </c>
      <c r="F497" s="13" t="s">
        <v>140</v>
      </c>
      <c r="G497" s="13" t="s">
        <v>126</v>
      </c>
      <c r="H497" s="349">
        <v>1000</v>
      </c>
      <c r="I497" s="15"/>
      <c r="J497" s="15"/>
      <c r="K497" s="15"/>
      <c r="L497" s="15"/>
      <c r="M497" s="15"/>
      <c r="N497" s="15"/>
      <c r="O497" s="15"/>
      <c r="P497" s="15"/>
      <c r="Q497" s="15"/>
      <c r="R497" s="15"/>
      <c r="S497" s="15"/>
      <c r="T497" s="15"/>
      <c r="U497" s="15"/>
      <c r="V497" s="15"/>
      <c r="W497" s="15"/>
      <c r="X497" s="15"/>
      <c r="Y497" s="15"/>
      <c r="Z497" s="15"/>
      <c r="AA497" s="15"/>
      <c r="AB497" s="16" t="e">
        <f>100/(SUM(I497:Z497))</f>
        <v>#DIV/0!</v>
      </c>
      <c r="AC497" s="259">
        <f>SUM(I497:AA497)</f>
        <v>0</v>
      </c>
      <c r="AD497" s="15"/>
      <c r="AE497" s="15"/>
      <c r="AF497" s="15"/>
      <c r="AG497" s="17" t="s">
        <v>127</v>
      </c>
      <c r="AH497" s="18"/>
      <c r="AI497" s="18" t="s">
        <v>159</v>
      </c>
      <c r="AJ497" s="18" t="s">
        <v>160</v>
      </c>
      <c r="AK497" s="13"/>
      <c r="AL497" s="17">
        <f>(B497-DATE(1970,1,1))*86400</f>
        <v>1722211200</v>
      </c>
      <c r="AM497" s="17">
        <f>(C497-DATE(1970,1,1))*86400</f>
        <v>1722384000</v>
      </c>
      <c r="AN497" s="17">
        <f>AVERAGE(AL497:AM497)</f>
        <v>1722297600</v>
      </c>
    </row>
    <row r="498" spans="1:40" ht="15.75" customHeight="1" x14ac:dyDescent="0.2">
      <c r="A498" s="284" t="s">
        <v>133</v>
      </c>
      <c r="B498" s="20">
        <v>45497</v>
      </c>
      <c r="C498" s="20">
        <v>45504</v>
      </c>
      <c r="D498" s="19" t="s">
        <v>134</v>
      </c>
      <c r="E498" s="332" t="s">
        <v>125</v>
      </c>
      <c r="F498" s="19"/>
      <c r="G498" s="19" t="s">
        <v>135</v>
      </c>
      <c r="H498" s="332">
        <v>1500</v>
      </c>
      <c r="I498" s="21">
        <v>28</v>
      </c>
      <c r="J498" s="21">
        <v>0</v>
      </c>
      <c r="K498" s="21">
        <v>1</v>
      </c>
      <c r="L498" s="21">
        <v>0</v>
      </c>
      <c r="M498" s="21">
        <v>5</v>
      </c>
      <c r="N498" s="21"/>
      <c r="O498" s="21">
        <v>0</v>
      </c>
      <c r="P498" s="21">
        <v>2</v>
      </c>
      <c r="Q498" s="21"/>
      <c r="R498" s="22"/>
      <c r="S498" s="21">
        <v>1</v>
      </c>
      <c r="T498" s="21">
        <v>1</v>
      </c>
      <c r="U498" s="21"/>
      <c r="V498" s="21">
        <v>3</v>
      </c>
      <c r="W498" s="21">
        <v>1</v>
      </c>
      <c r="X498" s="21">
        <v>4</v>
      </c>
      <c r="Y498" s="21">
        <v>22</v>
      </c>
      <c r="Z498" s="21">
        <v>1</v>
      </c>
      <c r="AA498" s="21">
        <v>31</v>
      </c>
      <c r="AB498" s="23">
        <f>100/(SUM(I498:Z498))</f>
        <v>1.4492753623188406</v>
      </c>
      <c r="AC498" s="259">
        <f>SUM(I498:AA498)</f>
        <v>100</v>
      </c>
      <c r="AD498" s="21"/>
      <c r="AE498" s="24"/>
      <c r="AF498" s="24"/>
      <c r="AG498" s="25" t="s">
        <v>136</v>
      </c>
      <c r="AH498" s="26"/>
      <c r="AI498" s="26" t="s">
        <v>161</v>
      </c>
      <c r="AJ498" s="26" t="s">
        <v>162</v>
      </c>
      <c r="AK498" s="19" t="s">
        <v>138</v>
      </c>
      <c r="AL498" s="25">
        <f>(B498-DATE(1970,1,1))*86400</f>
        <v>1721779200</v>
      </c>
      <c r="AM498" s="25">
        <f>(C498-DATE(1970,1,1))*86400</f>
        <v>1722384000</v>
      </c>
      <c r="AN498" s="25">
        <f>AVERAGE(AL498:AM498)</f>
        <v>1722081600</v>
      </c>
    </row>
    <row r="499" spans="1:40" ht="15.75" customHeight="1" x14ac:dyDescent="0.2">
      <c r="A499" s="284" t="s">
        <v>123</v>
      </c>
      <c r="B499" s="20">
        <v>45497</v>
      </c>
      <c r="C499" s="20">
        <v>45504</v>
      </c>
      <c r="D499" s="19" t="s">
        <v>134</v>
      </c>
      <c r="E499" s="332" t="s">
        <v>125</v>
      </c>
      <c r="F499" s="19"/>
      <c r="G499" s="19" t="s">
        <v>135</v>
      </c>
      <c r="H499" s="332">
        <v>1500</v>
      </c>
      <c r="I499" s="21">
        <v>41</v>
      </c>
      <c r="J499" s="21">
        <v>1</v>
      </c>
      <c r="K499" s="21">
        <v>1</v>
      </c>
      <c r="L499" s="21">
        <v>0</v>
      </c>
      <c r="M499" s="21">
        <v>8</v>
      </c>
      <c r="N499" s="21"/>
      <c r="O499" s="21">
        <v>1</v>
      </c>
      <c r="P499" s="21">
        <v>2</v>
      </c>
      <c r="Q499" s="21"/>
      <c r="R499" s="22"/>
      <c r="S499" s="21">
        <v>1</v>
      </c>
      <c r="T499" s="21">
        <v>1</v>
      </c>
      <c r="U499" s="21"/>
      <c r="V499" s="21">
        <v>3</v>
      </c>
      <c r="W499" s="21">
        <v>1</v>
      </c>
      <c r="X499" s="21">
        <v>6</v>
      </c>
      <c r="Y499" s="21">
        <v>34</v>
      </c>
      <c r="Z499" s="21">
        <v>1</v>
      </c>
      <c r="AA499" s="21">
        <v>0</v>
      </c>
      <c r="AB499" s="23">
        <f>100/(SUM(I499:Z499))</f>
        <v>0.99009900990099009</v>
      </c>
      <c r="AC499" s="259">
        <f>SUM(I499:AA499)</f>
        <v>101</v>
      </c>
      <c r="AD499" s="24"/>
      <c r="AE499" s="24"/>
      <c r="AF499" s="24"/>
      <c r="AG499" s="25" t="s">
        <v>136</v>
      </c>
      <c r="AH499" s="26"/>
      <c r="AI499" s="26" t="s">
        <v>161</v>
      </c>
      <c r="AJ499" s="26" t="s">
        <v>162</v>
      </c>
      <c r="AK499" s="19"/>
      <c r="AL499" s="25">
        <f>(B499-DATE(1970,1,1))*86400</f>
        <v>1721779200</v>
      </c>
      <c r="AM499" s="25">
        <f>(C499-DATE(1970,1,1))*86400</f>
        <v>1722384000</v>
      </c>
      <c r="AN499" s="25">
        <f>AVERAGE(AL499:AM499)</f>
        <v>1722081600</v>
      </c>
    </row>
    <row r="500" spans="1:40" ht="15.75" customHeight="1" x14ac:dyDescent="0.2">
      <c r="A500" s="279" t="s">
        <v>123</v>
      </c>
      <c r="B500" s="14">
        <v>45488</v>
      </c>
      <c r="C500" s="14">
        <v>45490</v>
      </c>
      <c r="D500" s="13" t="s">
        <v>124</v>
      </c>
      <c r="E500" s="324" t="s">
        <v>125</v>
      </c>
      <c r="F500" s="13"/>
      <c r="G500" s="13" t="s">
        <v>126</v>
      </c>
      <c r="H500" s="349">
        <v>1000</v>
      </c>
      <c r="I500" s="15">
        <v>47</v>
      </c>
      <c r="J500" s="15"/>
      <c r="K500" s="15"/>
      <c r="L500" s="15"/>
      <c r="M500" s="15"/>
      <c r="N500" s="15"/>
      <c r="O500" s="15"/>
      <c r="P500" s="15"/>
      <c r="Q500" s="15">
        <v>8</v>
      </c>
      <c r="R500" s="15"/>
      <c r="S500" s="15"/>
      <c r="T500" s="15"/>
      <c r="U500" s="15"/>
      <c r="V500" s="15">
        <v>5</v>
      </c>
      <c r="W500" s="15"/>
      <c r="X500" s="15">
        <v>9</v>
      </c>
      <c r="Y500" s="15">
        <v>29</v>
      </c>
      <c r="Z500" s="15">
        <v>2</v>
      </c>
      <c r="AA500" s="15">
        <v>0</v>
      </c>
      <c r="AB500" s="16">
        <f>100/(SUM(I500:Z500))</f>
        <v>1</v>
      </c>
      <c r="AC500" s="259">
        <f>SUM(I500:AA500)</f>
        <v>100</v>
      </c>
      <c r="AD500" s="15"/>
      <c r="AE500" s="15"/>
      <c r="AF500" s="15"/>
      <c r="AG500" s="17" t="s">
        <v>127</v>
      </c>
      <c r="AH500" s="18" t="s">
        <v>163</v>
      </c>
      <c r="AI500" s="18"/>
      <c r="AJ500" s="18"/>
      <c r="AK500" s="13" t="s">
        <v>164</v>
      </c>
      <c r="AL500" s="17">
        <f>(B500-DATE(1970,1,1))*86400</f>
        <v>1721001600</v>
      </c>
      <c r="AM500" s="17">
        <f>(C500-DATE(1970,1,1))*86400</f>
        <v>1721174400</v>
      </c>
      <c r="AN500" s="17">
        <f>AVERAGE(AL500:AM500)</f>
        <v>1721088000</v>
      </c>
    </row>
    <row r="501" spans="1:40" ht="15.75" customHeight="1" x14ac:dyDescent="0.2">
      <c r="A501" s="285" t="s">
        <v>133</v>
      </c>
      <c r="B501" s="34">
        <v>45477</v>
      </c>
      <c r="C501" s="34">
        <v>45483</v>
      </c>
      <c r="D501" s="33" t="s">
        <v>143</v>
      </c>
      <c r="E501" s="319" t="s">
        <v>125</v>
      </c>
      <c r="F501" s="33"/>
      <c r="G501" s="33" t="s">
        <v>126</v>
      </c>
      <c r="H501" s="353">
        <v>1000</v>
      </c>
      <c r="I501" s="35">
        <v>32</v>
      </c>
      <c r="J501" s="35"/>
      <c r="K501" s="35"/>
      <c r="L501" s="35"/>
      <c r="M501" s="35"/>
      <c r="N501" s="35"/>
      <c r="O501" s="35"/>
      <c r="P501" s="35">
        <v>2</v>
      </c>
      <c r="Q501" s="35">
        <v>6</v>
      </c>
      <c r="R501" s="36"/>
      <c r="S501" s="35"/>
      <c r="T501" s="35"/>
      <c r="U501" s="35"/>
      <c r="V501" s="35">
        <v>4</v>
      </c>
      <c r="W501" s="35"/>
      <c r="X501" s="35">
        <v>6</v>
      </c>
      <c r="Y501" s="35">
        <v>21</v>
      </c>
      <c r="Z501" s="35">
        <v>2</v>
      </c>
      <c r="AA501" s="35">
        <v>27</v>
      </c>
      <c r="AB501" s="37">
        <f>100/(SUM(I501:Z501))</f>
        <v>1.3698630136986301</v>
      </c>
      <c r="AC501" s="259">
        <f>SUM(I501:AA501)</f>
        <v>100</v>
      </c>
      <c r="AD501" s="35"/>
      <c r="AE501" s="35"/>
      <c r="AF501" s="35"/>
      <c r="AG501" s="33" t="s">
        <v>144</v>
      </c>
      <c r="AH501" s="33" t="s">
        <v>165</v>
      </c>
      <c r="AI501" s="38" t="s">
        <v>166</v>
      </c>
      <c r="AJ501" s="33"/>
      <c r="AK501" s="33" t="s">
        <v>167</v>
      </c>
      <c r="AL501" s="39">
        <f>(B501-DATE(1970,1,1))*86400</f>
        <v>1720051200</v>
      </c>
      <c r="AM501" s="39">
        <f>(C501-DATE(1970,1,1))*86400</f>
        <v>1720569600</v>
      </c>
      <c r="AN501" s="39">
        <f>AVERAGE(AL501:AM501)</f>
        <v>1720310400</v>
      </c>
    </row>
    <row r="502" spans="1:40" ht="15.75" customHeight="1" x14ac:dyDescent="0.2">
      <c r="A502" s="285" t="s">
        <v>133</v>
      </c>
      <c r="B502" s="34">
        <v>45477</v>
      </c>
      <c r="C502" s="34">
        <v>45483</v>
      </c>
      <c r="D502" s="33" t="s">
        <v>143</v>
      </c>
      <c r="E502" s="319" t="s">
        <v>125</v>
      </c>
      <c r="F502" s="33"/>
      <c r="G502" s="33" t="s">
        <v>126</v>
      </c>
      <c r="H502" s="353">
        <v>1000</v>
      </c>
      <c r="I502" s="35">
        <v>43</v>
      </c>
      <c r="J502" s="35"/>
      <c r="K502" s="35"/>
      <c r="L502" s="35"/>
      <c r="M502" s="35"/>
      <c r="N502" s="35"/>
      <c r="O502" s="35"/>
      <c r="P502" s="35">
        <v>3</v>
      </c>
      <c r="Q502" s="35">
        <v>8</v>
      </c>
      <c r="R502" s="36"/>
      <c r="S502" s="35"/>
      <c r="T502" s="35"/>
      <c r="U502" s="35"/>
      <c r="V502" s="35">
        <v>6</v>
      </c>
      <c r="W502" s="35"/>
      <c r="X502" s="35">
        <v>8</v>
      </c>
      <c r="Y502" s="35">
        <v>29</v>
      </c>
      <c r="Z502" s="35">
        <v>3</v>
      </c>
      <c r="AA502" s="35">
        <v>0</v>
      </c>
      <c r="AB502" s="37">
        <f>100/(SUM(I502:Z502))</f>
        <v>1</v>
      </c>
      <c r="AC502" s="259">
        <f>SUM(I502:AA502)</f>
        <v>100</v>
      </c>
      <c r="AD502" s="35"/>
      <c r="AE502" s="35"/>
      <c r="AF502" s="35"/>
      <c r="AG502" s="33" t="s">
        <v>144</v>
      </c>
      <c r="AH502" s="33" t="s">
        <v>165</v>
      </c>
      <c r="AI502" s="38" t="s">
        <v>166</v>
      </c>
      <c r="AJ502" s="33"/>
      <c r="AK502" s="33" t="s">
        <v>138</v>
      </c>
      <c r="AL502" s="39">
        <f>(B502-DATE(1970,1,1))*86400</f>
        <v>1720051200</v>
      </c>
      <c r="AM502" s="39">
        <f>(C502-DATE(1970,1,1))*86400</f>
        <v>1720569600</v>
      </c>
      <c r="AN502" s="39">
        <f>AVERAGE(AL502:AM502)</f>
        <v>1720310400</v>
      </c>
    </row>
    <row r="503" spans="1:40" ht="15.75" customHeight="1" x14ac:dyDescent="0.2">
      <c r="A503" s="285" t="s">
        <v>123</v>
      </c>
      <c r="B503" s="34">
        <v>45477</v>
      </c>
      <c r="C503" s="34">
        <v>45483</v>
      </c>
      <c r="D503" s="33" t="s">
        <v>143</v>
      </c>
      <c r="E503" s="319" t="s">
        <v>125</v>
      </c>
      <c r="F503" s="33"/>
      <c r="G503" s="33" t="s">
        <v>126</v>
      </c>
      <c r="H503" s="353">
        <v>1000</v>
      </c>
      <c r="I503" s="35">
        <v>43</v>
      </c>
      <c r="J503" s="35"/>
      <c r="K503" s="35"/>
      <c r="L503" s="35"/>
      <c r="M503" s="35"/>
      <c r="N503" s="35"/>
      <c r="O503" s="35"/>
      <c r="P503" s="35">
        <v>3</v>
      </c>
      <c r="Q503" s="35">
        <v>9</v>
      </c>
      <c r="R503" s="36"/>
      <c r="S503" s="35"/>
      <c r="T503" s="35"/>
      <c r="U503" s="35"/>
      <c r="V503" s="35">
        <v>5</v>
      </c>
      <c r="W503" s="35"/>
      <c r="X503" s="35">
        <v>7</v>
      </c>
      <c r="Y503" s="35">
        <v>31</v>
      </c>
      <c r="Z503" s="35">
        <v>2</v>
      </c>
      <c r="AA503" s="35">
        <v>0</v>
      </c>
      <c r="AB503" s="37">
        <f>100/(SUM(I503:Z503))</f>
        <v>1</v>
      </c>
      <c r="AC503" s="259">
        <f>SUM(I503:AA503)</f>
        <v>100</v>
      </c>
      <c r="AD503" s="35"/>
      <c r="AE503" s="35"/>
      <c r="AF503" s="35"/>
      <c r="AG503" s="33" t="s">
        <v>144</v>
      </c>
      <c r="AH503" s="33" t="s">
        <v>165</v>
      </c>
      <c r="AI503" s="38" t="s">
        <v>166</v>
      </c>
      <c r="AJ503" s="33"/>
      <c r="AK503" s="33" t="s">
        <v>138</v>
      </c>
      <c r="AL503" s="39">
        <f>(B503-DATE(1970,1,1))*86400</f>
        <v>1720051200</v>
      </c>
      <c r="AM503" s="39">
        <f>(C503-DATE(1970,1,1))*86400</f>
        <v>1720569600</v>
      </c>
      <c r="AN503" s="39">
        <f>AVERAGE(AL503:AM503)</f>
        <v>1720310400</v>
      </c>
    </row>
    <row r="504" spans="1:40" ht="15.75" customHeight="1" x14ac:dyDescent="0.2">
      <c r="A504" s="297" t="s">
        <v>133</v>
      </c>
      <c r="B504" s="60">
        <v>45476</v>
      </c>
      <c r="C504" s="60">
        <v>45481</v>
      </c>
      <c r="D504" s="61" t="s">
        <v>168</v>
      </c>
      <c r="E504" s="334" t="s">
        <v>125</v>
      </c>
      <c r="F504" s="62"/>
      <c r="G504" s="61" t="s">
        <v>126</v>
      </c>
      <c r="H504" s="334">
        <v>1000</v>
      </c>
      <c r="I504" s="63">
        <v>31</v>
      </c>
      <c r="J504" s="63">
        <v>2</v>
      </c>
      <c r="K504" s="63">
        <v>0</v>
      </c>
      <c r="L504" s="63">
        <v>0</v>
      </c>
      <c r="M504" s="63">
        <v>5</v>
      </c>
      <c r="N504" s="63"/>
      <c r="O504" s="63">
        <v>0</v>
      </c>
      <c r="P504" s="63">
        <v>3</v>
      </c>
      <c r="Q504" s="63"/>
      <c r="R504" s="64"/>
      <c r="S504" s="63">
        <v>0</v>
      </c>
      <c r="T504" s="63">
        <v>0</v>
      </c>
      <c r="U504" s="63"/>
      <c r="V504" s="63">
        <v>4</v>
      </c>
      <c r="W504" s="63">
        <v>0</v>
      </c>
      <c r="X504" s="63">
        <v>4</v>
      </c>
      <c r="Y504" s="63">
        <v>23</v>
      </c>
      <c r="Z504" s="63">
        <v>1</v>
      </c>
      <c r="AA504" s="63">
        <v>26</v>
      </c>
      <c r="AB504" s="65">
        <f>100/(SUM(I504:Z504))</f>
        <v>1.3698630136986301</v>
      </c>
      <c r="AC504" s="259">
        <f>SUM(I504:AA504)</f>
        <v>99</v>
      </c>
      <c r="AD504" s="63">
        <v>68</v>
      </c>
      <c r="AE504" s="64"/>
      <c r="AF504" s="64"/>
      <c r="AG504" s="66" t="s">
        <v>127</v>
      </c>
      <c r="AH504" s="67" t="s">
        <v>169</v>
      </c>
      <c r="AI504" s="67" t="s">
        <v>170</v>
      </c>
      <c r="AJ504" s="67"/>
      <c r="AK504" s="61" t="s">
        <v>171</v>
      </c>
      <c r="AL504" s="66">
        <f>(B504-DATE(1970,1,1))*86400</f>
        <v>1719964800</v>
      </c>
      <c r="AM504" s="66">
        <f>(C504-DATE(1970,1,1))*86400</f>
        <v>1720396800</v>
      </c>
      <c r="AN504" s="66">
        <f>AVERAGE(AL504:AM504)</f>
        <v>1720180800</v>
      </c>
    </row>
    <row r="505" spans="1:40" ht="15.75" customHeight="1" x14ac:dyDescent="0.2">
      <c r="A505" s="288" t="s">
        <v>133</v>
      </c>
      <c r="B505" s="60">
        <v>45476</v>
      </c>
      <c r="C505" s="60">
        <v>45481</v>
      </c>
      <c r="D505" s="61" t="s">
        <v>168</v>
      </c>
      <c r="E505" s="334" t="s">
        <v>125</v>
      </c>
      <c r="F505" s="62"/>
      <c r="G505" s="61" t="s">
        <v>126</v>
      </c>
      <c r="H505" s="334">
        <v>1000</v>
      </c>
      <c r="I505" s="63">
        <v>41</v>
      </c>
      <c r="J505" s="63">
        <v>3</v>
      </c>
      <c r="K505" s="63">
        <v>1</v>
      </c>
      <c r="L505" s="63">
        <v>0</v>
      </c>
      <c r="M505" s="63">
        <v>7</v>
      </c>
      <c r="N505" s="63"/>
      <c r="O505" s="63">
        <v>0</v>
      </c>
      <c r="P505" s="63">
        <v>4</v>
      </c>
      <c r="Q505" s="63"/>
      <c r="R505" s="64"/>
      <c r="S505" s="63">
        <v>1</v>
      </c>
      <c r="T505" s="63">
        <v>0</v>
      </c>
      <c r="U505" s="63"/>
      <c r="V505" s="63">
        <v>6</v>
      </c>
      <c r="W505" s="63">
        <v>0</v>
      </c>
      <c r="X505" s="63">
        <v>5</v>
      </c>
      <c r="Y505" s="63">
        <v>31</v>
      </c>
      <c r="Z505" s="63">
        <v>1</v>
      </c>
      <c r="AA505" s="63">
        <v>0</v>
      </c>
      <c r="AB505" s="65">
        <f>100/(SUM(I505:Z505))</f>
        <v>1</v>
      </c>
      <c r="AC505" s="259">
        <f>SUM(I505:AA505)</f>
        <v>100</v>
      </c>
      <c r="AD505" s="63"/>
      <c r="AE505" s="64"/>
      <c r="AF505" s="64"/>
      <c r="AG505" s="66" t="s">
        <v>127</v>
      </c>
      <c r="AH505" s="67" t="s">
        <v>169</v>
      </c>
      <c r="AI505" s="67" t="s">
        <v>170</v>
      </c>
      <c r="AJ505" s="67"/>
      <c r="AK505" s="61" t="s">
        <v>172</v>
      </c>
      <c r="AL505" s="66">
        <f>(B505-DATE(1970,1,1))*86400</f>
        <v>1719964800</v>
      </c>
      <c r="AM505" s="66">
        <f>(C505-DATE(1970,1,1))*86400</f>
        <v>1720396800</v>
      </c>
      <c r="AN505" s="66">
        <f>AVERAGE(AL505:AM505)</f>
        <v>1720180800</v>
      </c>
    </row>
    <row r="506" spans="1:40" ht="15.75" customHeight="1" x14ac:dyDescent="0.2">
      <c r="A506" s="287" t="s">
        <v>133</v>
      </c>
      <c r="B506" s="70">
        <v>45475</v>
      </c>
      <c r="C506" s="70">
        <v>45480</v>
      </c>
      <c r="D506" s="69" t="s">
        <v>183</v>
      </c>
      <c r="E506" s="333" t="s">
        <v>125</v>
      </c>
      <c r="F506" s="69" t="s">
        <v>140</v>
      </c>
      <c r="G506" s="69" t="s">
        <v>597</v>
      </c>
      <c r="H506" s="360">
        <v>1100</v>
      </c>
      <c r="I506" s="71"/>
      <c r="J506" s="71"/>
      <c r="K506" s="71"/>
      <c r="L506" s="71"/>
      <c r="M506" s="71"/>
      <c r="N506" s="71"/>
      <c r="O506" s="71"/>
      <c r="P506" s="71"/>
      <c r="Q506" s="71"/>
      <c r="R506" s="72"/>
      <c r="S506" s="71"/>
      <c r="T506" s="71"/>
      <c r="U506" s="71"/>
      <c r="V506" s="71"/>
      <c r="W506" s="71"/>
      <c r="X506" s="71"/>
      <c r="Y506" s="71"/>
      <c r="Z506" s="71"/>
      <c r="AA506" s="71"/>
      <c r="AB506" s="73" t="e">
        <f>100/(SUM(I506:Z506))</f>
        <v>#DIV/0!</v>
      </c>
      <c r="AC506" s="259">
        <f>SUM(I506:AA506)</f>
        <v>0</v>
      </c>
      <c r="AD506" s="71"/>
      <c r="AE506" s="71"/>
      <c r="AF506" s="71"/>
      <c r="AG506" s="74" t="s">
        <v>1710</v>
      </c>
      <c r="AH506" s="199" t="s">
        <v>1709</v>
      </c>
      <c r="AI506" s="75"/>
      <c r="AJ506" s="75"/>
      <c r="AK506" s="69" t="s">
        <v>1714</v>
      </c>
      <c r="AL506" s="74">
        <f>(B506-DATE(1970,1,1))*86400</f>
        <v>1719878400</v>
      </c>
      <c r="AM506" s="74">
        <f>(C506-DATE(1970,1,1))*86400</f>
        <v>1720310400</v>
      </c>
      <c r="AN506" s="74">
        <f>AVERAGE(AL506:AM506)</f>
        <v>1720094400</v>
      </c>
    </row>
    <row r="507" spans="1:40" ht="15.75" customHeight="1" x14ac:dyDescent="0.2">
      <c r="A507" s="279" t="s">
        <v>123</v>
      </c>
      <c r="B507" s="14">
        <v>45474</v>
      </c>
      <c r="C507" s="14">
        <v>45476</v>
      </c>
      <c r="D507" s="13" t="s">
        <v>124</v>
      </c>
      <c r="E507" s="324" t="s">
        <v>125</v>
      </c>
      <c r="F507" s="13" t="s">
        <v>140</v>
      </c>
      <c r="G507" s="13" t="s">
        <v>126</v>
      </c>
      <c r="H507" s="349">
        <v>1000</v>
      </c>
      <c r="I507" s="15"/>
      <c r="J507" s="15"/>
      <c r="K507" s="15"/>
      <c r="L507" s="15"/>
      <c r="M507" s="15"/>
      <c r="N507" s="15"/>
      <c r="O507" s="15"/>
      <c r="P507" s="15"/>
      <c r="Q507" s="15"/>
      <c r="R507" s="15"/>
      <c r="S507" s="15"/>
      <c r="T507" s="15"/>
      <c r="U507" s="15"/>
      <c r="V507" s="15"/>
      <c r="W507" s="15"/>
      <c r="X507" s="15"/>
      <c r="Y507" s="15"/>
      <c r="Z507" s="15"/>
      <c r="AA507" s="15"/>
      <c r="AB507" s="16" t="e">
        <f>100/(SUM(I507:Z507))</f>
        <v>#DIV/0!</v>
      </c>
      <c r="AC507" s="259">
        <f>SUM(I507:AA507)</f>
        <v>0</v>
      </c>
      <c r="AD507" s="15"/>
      <c r="AE507" s="15"/>
      <c r="AF507" s="15"/>
      <c r="AG507" s="17" t="s">
        <v>127</v>
      </c>
      <c r="AH507" s="18" t="s">
        <v>173</v>
      </c>
      <c r="AI507" s="18" t="s">
        <v>174</v>
      </c>
      <c r="AJ507" s="18"/>
      <c r="AK507" s="13" t="s">
        <v>175</v>
      </c>
      <c r="AL507" s="17">
        <f>(B507-DATE(1970,1,1))*86400</f>
        <v>1719792000</v>
      </c>
      <c r="AM507" s="17">
        <f>(C507-DATE(1970,1,1))*86400</f>
        <v>1719964800</v>
      </c>
      <c r="AN507" s="17">
        <f>AVERAGE(AL507:AM507)</f>
        <v>1719878400</v>
      </c>
    </row>
    <row r="508" spans="1:40" ht="15.75" customHeight="1" x14ac:dyDescent="0.2">
      <c r="A508" s="281" t="s">
        <v>133</v>
      </c>
      <c r="B508" s="68">
        <v>45458</v>
      </c>
      <c r="C508" s="68">
        <v>45484</v>
      </c>
      <c r="D508" s="53" t="s">
        <v>154</v>
      </c>
      <c r="E508" s="323" t="s">
        <v>125</v>
      </c>
      <c r="F508" s="53" t="s">
        <v>140</v>
      </c>
      <c r="G508" s="53" t="s">
        <v>126</v>
      </c>
      <c r="H508" s="362">
        <v>1001</v>
      </c>
      <c r="I508" s="55"/>
      <c r="J508" s="55"/>
      <c r="K508" s="55"/>
      <c r="L508" s="55"/>
      <c r="M508" s="55"/>
      <c r="N508" s="55"/>
      <c r="O508" s="55"/>
      <c r="P508" s="55"/>
      <c r="Q508" s="55"/>
      <c r="R508" s="56"/>
      <c r="S508" s="55"/>
      <c r="T508" s="55"/>
      <c r="U508" s="55"/>
      <c r="V508" s="55"/>
      <c r="W508" s="55"/>
      <c r="X508" s="55"/>
      <c r="Y508" s="55"/>
      <c r="Z508" s="55"/>
      <c r="AA508" s="55"/>
      <c r="AB508" s="57" t="e">
        <f>100/(SUM(I508:Z508))</f>
        <v>#DIV/0!</v>
      </c>
      <c r="AC508" s="259">
        <f>SUM(I508:AA508)</f>
        <v>0</v>
      </c>
      <c r="AD508" s="55"/>
      <c r="AE508" s="55"/>
      <c r="AF508" s="55"/>
      <c r="AG508" s="58" t="s">
        <v>155</v>
      </c>
      <c r="AH508" s="59"/>
      <c r="AI508" s="59" t="s">
        <v>176</v>
      </c>
      <c r="AJ508" s="59" t="s">
        <v>177</v>
      </c>
      <c r="AK508" s="53"/>
      <c r="AL508" s="58">
        <f>(B508-DATE(1970,1,1))*86400</f>
        <v>1718409600</v>
      </c>
      <c r="AM508" s="58">
        <f>(C508-DATE(1970,1,1))*86400</f>
        <v>1720656000</v>
      </c>
      <c r="AN508" s="58">
        <f>AVERAGE(AL508:AM508)</f>
        <v>1719532800</v>
      </c>
    </row>
    <row r="509" spans="1:40" ht="15.75" customHeight="1" x14ac:dyDescent="0.2">
      <c r="A509" s="284" t="s">
        <v>133</v>
      </c>
      <c r="B509" s="20">
        <v>45462</v>
      </c>
      <c r="C509" s="20">
        <v>45470</v>
      </c>
      <c r="D509" s="19" t="s">
        <v>134</v>
      </c>
      <c r="E509" s="332" t="s">
        <v>125</v>
      </c>
      <c r="F509" s="19"/>
      <c r="G509" s="19" t="s">
        <v>135</v>
      </c>
      <c r="H509" s="363">
        <v>1500</v>
      </c>
      <c r="I509" s="21">
        <v>30</v>
      </c>
      <c r="J509" s="21">
        <v>0</v>
      </c>
      <c r="K509" s="21">
        <v>0</v>
      </c>
      <c r="L509" s="21">
        <v>0</v>
      </c>
      <c r="M509" s="21">
        <v>7</v>
      </c>
      <c r="N509" s="21"/>
      <c r="O509" s="21">
        <v>0</v>
      </c>
      <c r="P509" s="21">
        <v>2</v>
      </c>
      <c r="Q509" s="21"/>
      <c r="R509" s="22"/>
      <c r="S509" s="21">
        <v>1</v>
      </c>
      <c r="T509" s="21">
        <v>1</v>
      </c>
      <c r="U509" s="21"/>
      <c r="V509" s="21">
        <v>3</v>
      </c>
      <c r="W509" s="21">
        <v>1</v>
      </c>
      <c r="X509" s="21">
        <v>5</v>
      </c>
      <c r="Y509" s="21">
        <v>23</v>
      </c>
      <c r="Z509" s="21">
        <v>1</v>
      </c>
      <c r="AA509" s="21">
        <v>26</v>
      </c>
      <c r="AB509" s="23">
        <f>100/(SUM(I509:Z509))</f>
        <v>1.3513513513513513</v>
      </c>
      <c r="AC509" s="259">
        <f>SUM(I509:AA509)</f>
        <v>100</v>
      </c>
      <c r="AD509" s="21">
        <v>66</v>
      </c>
      <c r="AE509" s="24"/>
      <c r="AF509" s="24"/>
      <c r="AG509" s="25" t="s">
        <v>136</v>
      </c>
      <c r="AH509" s="26"/>
      <c r="AI509" s="26" t="s">
        <v>178</v>
      </c>
      <c r="AJ509" s="26" t="s">
        <v>179</v>
      </c>
      <c r="AK509" s="19" t="s">
        <v>180</v>
      </c>
      <c r="AL509" s="25">
        <f>(B509-DATE(1970,1,1))*86400</f>
        <v>1718755200</v>
      </c>
      <c r="AM509" s="25">
        <f>(C509-DATE(1970,1,1))*86400</f>
        <v>1719446400</v>
      </c>
      <c r="AN509" s="25">
        <f>AVERAGE(AL509:AM509)</f>
        <v>1719100800</v>
      </c>
    </row>
    <row r="510" spans="1:40" ht="15.75" customHeight="1" x14ac:dyDescent="0.2">
      <c r="A510" s="284" t="s">
        <v>123</v>
      </c>
      <c r="B510" s="20">
        <v>45462</v>
      </c>
      <c r="C510" s="20">
        <v>45470</v>
      </c>
      <c r="D510" s="19" t="s">
        <v>134</v>
      </c>
      <c r="E510" s="332" t="s">
        <v>125</v>
      </c>
      <c r="F510" s="19"/>
      <c r="G510" s="19" t="s">
        <v>135</v>
      </c>
      <c r="H510" s="363">
        <v>1500</v>
      </c>
      <c r="I510" s="21">
        <v>41</v>
      </c>
      <c r="J510" s="21">
        <v>1</v>
      </c>
      <c r="K510" s="21">
        <v>1</v>
      </c>
      <c r="L510" s="21">
        <v>0</v>
      </c>
      <c r="M510" s="21">
        <v>8</v>
      </c>
      <c r="N510" s="21"/>
      <c r="O510" s="21">
        <v>0</v>
      </c>
      <c r="P510" s="21">
        <v>3</v>
      </c>
      <c r="Q510" s="21"/>
      <c r="R510" s="22"/>
      <c r="S510" s="21">
        <v>1</v>
      </c>
      <c r="T510" s="21">
        <v>1</v>
      </c>
      <c r="U510" s="21"/>
      <c r="V510" s="21">
        <v>3</v>
      </c>
      <c r="W510" s="21">
        <v>2</v>
      </c>
      <c r="X510" s="21">
        <v>6</v>
      </c>
      <c r="Y510" s="21">
        <v>32</v>
      </c>
      <c r="Z510" s="21">
        <v>1</v>
      </c>
      <c r="AA510" s="21">
        <v>0</v>
      </c>
      <c r="AB510" s="23">
        <f>100/(SUM(I510:Z510))</f>
        <v>1</v>
      </c>
      <c r="AC510" s="259">
        <f>SUM(I510:AA510)</f>
        <v>100</v>
      </c>
      <c r="AD510" s="24"/>
      <c r="AE510" s="24"/>
      <c r="AF510" s="24"/>
      <c r="AG510" s="25" t="s">
        <v>136</v>
      </c>
      <c r="AH510" s="26"/>
      <c r="AI510" s="26" t="s">
        <v>178</v>
      </c>
      <c r="AJ510" s="26" t="s">
        <v>179</v>
      </c>
      <c r="AK510" s="19"/>
      <c r="AL510" s="25">
        <f>(B510-DATE(1970,1,1))*86400</f>
        <v>1718755200</v>
      </c>
      <c r="AM510" s="25">
        <f>(C510-DATE(1970,1,1))*86400</f>
        <v>1719446400</v>
      </c>
      <c r="AN510" s="25">
        <f>AVERAGE(AL510:AM510)</f>
        <v>1719100800</v>
      </c>
    </row>
    <row r="511" spans="1:40" ht="15.75" customHeight="1" x14ac:dyDescent="0.2">
      <c r="A511" s="287" t="s">
        <v>123</v>
      </c>
      <c r="B511" s="70">
        <v>45449</v>
      </c>
      <c r="C511" s="70">
        <v>45451</v>
      </c>
      <c r="D511" s="69" t="s">
        <v>183</v>
      </c>
      <c r="E511" s="333" t="s">
        <v>184</v>
      </c>
      <c r="F511" s="69" t="s">
        <v>195</v>
      </c>
      <c r="G511" s="69" t="s">
        <v>597</v>
      </c>
      <c r="H511" s="360">
        <v>1200</v>
      </c>
      <c r="I511" s="71">
        <v>44</v>
      </c>
      <c r="J511" s="71"/>
      <c r="K511" s="71">
        <v>0</v>
      </c>
      <c r="L511" s="71">
        <v>0</v>
      </c>
      <c r="M511" s="71"/>
      <c r="N511" s="71"/>
      <c r="O511" s="71"/>
      <c r="P511" s="71">
        <v>3</v>
      </c>
      <c r="Q511" s="71">
        <v>8</v>
      </c>
      <c r="R511" s="72"/>
      <c r="S511" s="71">
        <v>1</v>
      </c>
      <c r="T511" s="71"/>
      <c r="U511" s="71"/>
      <c r="V511" s="71">
        <v>4</v>
      </c>
      <c r="W511" s="71">
        <v>1</v>
      </c>
      <c r="X511" s="71">
        <v>7</v>
      </c>
      <c r="Y511" s="71">
        <v>32</v>
      </c>
      <c r="Z511" s="71">
        <v>0</v>
      </c>
      <c r="AA511" s="71">
        <v>0</v>
      </c>
      <c r="AB511" s="73">
        <f>100/(SUM(I511:Z511))</f>
        <v>1</v>
      </c>
      <c r="AC511" s="259">
        <f>SUM(I511:AA511)</f>
        <v>100</v>
      </c>
      <c r="AD511" s="71"/>
      <c r="AE511" s="71"/>
      <c r="AF511" s="71"/>
      <c r="AG511" s="74" t="s">
        <v>1976</v>
      </c>
      <c r="AH511" s="242" t="s">
        <v>185</v>
      </c>
      <c r="AI511" s="199" t="s">
        <v>186</v>
      </c>
      <c r="AJ511" s="75"/>
      <c r="AK511" s="69" t="s">
        <v>187</v>
      </c>
      <c r="AL511" s="74">
        <f>(B511-DATE(1970,1,1))*86400</f>
        <v>1717632000</v>
      </c>
      <c r="AM511" s="74">
        <f>(C511-DATE(1970,1,1))*86400</f>
        <v>1717804800</v>
      </c>
      <c r="AN511" s="74">
        <f>AVERAGE(AL511:AM511)</f>
        <v>1717718400</v>
      </c>
    </row>
    <row r="512" spans="1:40" ht="15.75" customHeight="1" x14ac:dyDescent="0.2">
      <c r="A512" s="279" t="s">
        <v>123</v>
      </c>
      <c r="B512" s="14">
        <v>45450</v>
      </c>
      <c r="C512" s="14">
        <v>45450</v>
      </c>
      <c r="D512" s="13" t="s">
        <v>124</v>
      </c>
      <c r="E512" s="324" t="s">
        <v>125</v>
      </c>
      <c r="F512" s="13" t="s">
        <v>2510</v>
      </c>
      <c r="G512" s="13" t="s">
        <v>126</v>
      </c>
      <c r="H512" s="349">
        <v>500</v>
      </c>
      <c r="I512" s="15"/>
      <c r="J512" s="15"/>
      <c r="K512" s="15"/>
      <c r="L512" s="15"/>
      <c r="M512" s="15"/>
      <c r="N512" s="15"/>
      <c r="O512" s="15"/>
      <c r="P512" s="15"/>
      <c r="Q512" s="15"/>
      <c r="R512" s="15"/>
      <c r="S512" s="15"/>
      <c r="T512" s="15"/>
      <c r="U512" s="15"/>
      <c r="V512" s="15"/>
      <c r="W512" s="15"/>
      <c r="X512" s="15"/>
      <c r="Y512" s="15"/>
      <c r="Z512" s="15"/>
      <c r="AA512" s="15"/>
      <c r="AB512" s="16" t="e">
        <f>100/(SUM(I512:Z512))</f>
        <v>#DIV/0!</v>
      </c>
      <c r="AC512" s="259">
        <f>SUM(I512:AA512)</f>
        <v>0</v>
      </c>
      <c r="AD512" s="15"/>
      <c r="AE512" s="15"/>
      <c r="AF512" s="15"/>
      <c r="AG512" s="17" t="s">
        <v>127</v>
      </c>
      <c r="AH512" s="18" t="s">
        <v>181</v>
      </c>
      <c r="AI512" s="18" t="s">
        <v>182</v>
      </c>
      <c r="AJ512" s="18"/>
      <c r="AK512" s="13" t="s">
        <v>138</v>
      </c>
      <c r="AL512" s="17">
        <f>(B512-DATE(1970,1,1))*86400</f>
        <v>1717718400</v>
      </c>
      <c r="AM512" s="17">
        <f>(C512-DATE(1970,1,1))*86400</f>
        <v>1717718400</v>
      </c>
      <c r="AN512" s="17">
        <f>AVERAGE(AL512:AM512)</f>
        <v>1717718400</v>
      </c>
    </row>
    <row r="513" spans="1:40" ht="15.75" customHeight="1" x14ac:dyDescent="0.2">
      <c r="A513" s="281" t="s">
        <v>133</v>
      </c>
      <c r="B513" s="54">
        <v>45447</v>
      </c>
      <c r="C513" s="54">
        <v>45449</v>
      </c>
      <c r="D513" s="53" t="s">
        <v>154</v>
      </c>
      <c r="E513" s="323" t="s">
        <v>125</v>
      </c>
      <c r="F513" s="53" t="s">
        <v>2510</v>
      </c>
      <c r="G513" s="53" t="s">
        <v>126</v>
      </c>
      <c r="H513" s="357">
        <v>1046</v>
      </c>
      <c r="I513" s="55"/>
      <c r="J513" s="55"/>
      <c r="K513" s="55"/>
      <c r="L513" s="55"/>
      <c r="M513" s="55"/>
      <c r="N513" s="55"/>
      <c r="O513" s="55"/>
      <c r="P513" s="55"/>
      <c r="Q513" s="55"/>
      <c r="R513" s="56"/>
      <c r="S513" s="55"/>
      <c r="T513" s="55"/>
      <c r="U513" s="55"/>
      <c r="V513" s="55"/>
      <c r="W513" s="55"/>
      <c r="X513" s="55"/>
      <c r="Y513" s="55"/>
      <c r="Z513" s="55"/>
      <c r="AA513" s="55"/>
      <c r="AB513" s="57" t="e">
        <f>100/(SUM(I513:Z513))</f>
        <v>#DIV/0!</v>
      </c>
      <c r="AC513" s="259">
        <f>SUM(I513:AA513)</f>
        <v>0</v>
      </c>
      <c r="AD513" s="55"/>
      <c r="AE513" s="55"/>
      <c r="AF513" s="55"/>
      <c r="AG513" s="58" t="s">
        <v>155</v>
      </c>
      <c r="AH513" s="59" t="s">
        <v>188</v>
      </c>
      <c r="AI513" s="59" t="s">
        <v>189</v>
      </c>
      <c r="AJ513" s="59" t="s">
        <v>190</v>
      </c>
      <c r="AK513" s="53" t="s">
        <v>191</v>
      </c>
      <c r="AL513" s="58">
        <f>(B513-DATE(1970,1,1))*86400</f>
        <v>1717459200</v>
      </c>
      <c r="AM513" s="58">
        <f>(C513-DATE(1970,1,1))*86400</f>
        <v>1717632000</v>
      </c>
      <c r="AN513" s="58">
        <f>AVERAGE(AL513:AM513)</f>
        <v>1717545600</v>
      </c>
    </row>
    <row r="514" spans="1:40" ht="15.75" customHeight="1" x14ac:dyDescent="0.2">
      <c r="A514" s="281" t="s">
        <v>133</v>
      </c>
      <c r="B514" s="54">
        <v>45446</v>
      </c>
      <c r="C514" s="54">
        <v>45448</v>
      </c>
      <c r="D514" s="53" t="s">
        <v>154</v>
      </c>
      <c r="E514" s="323" t="s">
        <v>125</v>
      </c>
      <c r="F514" s="53" t="s">
        <v>140</v>
      </c>
      <c r="G514" s="53" t="s">
        <v>126</v>
      </c>
      <c r="H514" s="357">
        <v>1001</v>
      </c>
      <c r="I514" s="55"/>
      <c r="J514" s="55"/>
      <c r="K514" s="55"/>
      <c r="L514" s="55"/>
      <c r="M514" s="55"/>
      <c r="N514" s="55"/>
      <c r="O514" s="55"/>
      <c r="P514" s="55"/>
      <c r="Q514" s="55"/>
      <c r="R514" s="56"/>
      <c r="S514" s="55"/>
      <c r="T514" s="55"/>
      <c r="U514" s="55"/>
      <c r="V514" s="55"/>
      <c r="W514" s="55"/>
      <c r="X514" s="55"/>
      <c r="Y514" s="55"/>
      <c r="Z514" s="55"/>
      <c r="AA514" s="55"/>
      <c r="AB514" s="57" t="e">
        <f>100/(SUM(I514:Z514))</f>
        <v>#DIV/0!</v>
      </c>
      <c r="AC514" s="259">
        <f>SUM(I514:AA514)</f>
        <v>0</v>
      </c>
      <c r="AD514" s="55">
        <v>56</v>
      </c>
      <c r="AE514" s="55"/>
      <c r="AF514" s="55"/>
      <c r="AG514" s="58" t="s">
        <v>155</v>
      </c>
      <c r="AH514" s="59"/>
      <c r="AI514" s="59" t="s">
        <v>1829</v>
      </c>
      <c r="AJ514" s="59"/>
      <c r="AK514" s="53" t="s">
        <v>194</v>
      </c>
      <c r="AL514" s="58">
        <f>(B514-DATE(1970,1,1))*86400</f>
        <v>1717372800</v>
      </c>
      <c r="AM514" s="58">
        <f>(C514-DATE(1970,1,1))*86400</f>
        <v>1717545600</v>
      </c>
      <c r="AN514" s="58">
        <f>AVERAGE(AL514:AM514)</f>
        <v>1717459200</v>
      </c>
    </row>
    <row r="515" spans="1:40" ht="15.75" customHeight="1" x14ac:dyDescent="0.2">
      <c r="A515" s="281" t="s">
        <v>123</v>
      </c>
      <c r="B515" s="54">
        <v>45446</v>
      </c>
      <c r="C515" s="54">
        <v>45448</v>
      </c>
      <c r="D515" s="53" t="s">
        <v>154</v>
      </c>
      <c r="E515" s="323" t="s">
        <v>125</v>
      </c>
      <c r="F515" s="53" t="s">
        <v>195</v>
      </c>
      <c r="G515" s="53" t="s">
        <v>126</v>
      </c>
      <c r="H515" s="357">
        <v>1001</v>
      </c>
      <c r="I515" s="55">
        <v>43</v>
      </c>
      <c r="J515" s="55"/>
      <c r="K515" s="55">
        <v>2</v>
      </c>
      <c r="L515" s="55">
        <v>1</v>
      </c>
      <c r="M515" s="55"/>
      <c r="N515" s="55"/>
      <c r="O515" s="55"/>
      <c r="P515" s="55">
        <v>4</v>
      </c>
      <c r="Q515" s="55">
        <v>15</v>
      </c>
      <c r="R515" s="56"/>
      <c r="S515" s="55"/>
      <c r="T515" s="55">
        <v>0</v>
      </c>
      <c r="U515" s="55"/>
      <c r="V515" s="55">
        <v>4</v>
      </c>
      <c r="W515" s="55"/>
      <c r="X515" s="55">
        <v>5</v>
      </c>
      <c r="Y515" s="55">
        <v>25</v>
      </c>
      <c r="Z515" s="55">
        <v>1</v>
      </c>
      <c r="AA515" s="55">
        <v>0</v>
      </c>
      <c r="AB515" s="57">
        <f>100/(SUM(I515:Z515))</f>
        <v>1</v>
      </c>
      <c r="AC515" s="259">
        <f>SUM(I515:AA515)</f>
        <v>100</v>
      </c>
      <c r="AD515" s="55"/>
      <c r="AE515" s="55"/>
      <c r="AF515" s="55"/>
      <c r="AG515" s="58" t="s">
        <v>155</v>
      </c>
      <c r="AH515" s="59" t="s">
        <v>192</v>
      </c>
      <c r="AI515" s="59" t="s">
        <v>193</v>
      </c>
      <c r="AJ515" s="59"/>
      <c r="AK515" s="53" t="s">
        <v>196</v>
      </c>
      <c r="AL515" s="58">
        <f>(B515-DATE(1970,1,1))*86400</f>
        <v>1717372800</v>
      </c>
      <c r="AM515" s="58">
        <f>(C515-DATE(1970,1,1))*86400</f>
        <v>1717545600</v>
      </c>
      <c r="AN515" s="58">
        <f>AVERAGE(AL515:AM515)</f>
        <v>1717459200</v>
      </c>
    </row>
    <row r="516" spans="1:40" ht="15.75" customHeight="1" x14ac:dyDescent="0.2">
      <c r="A516" s="285" t="s">
        <v>133</v>
      </c>
      <c r="B516" s="34">
        <v>45443</v>
      </c>
      <c r="C516" s="34">
        <v>45448</v>
      </c>
      <c r="D516" s="33" t="s">
        <v>143</v>
      </c>
      <c r="E516" s="319" t="s">
        <v>125</v>
      </c>
      <c r="F516" s="33" t="s">
        <v>195</v>
      </c>
      <c r="G516" s="33" t="s">
        <v>126</v>
      </c>
      <c r="H516" s="353">
        <v>1000</v>
      </c>
      <c r="I516" s="35">
        <v>35</v>
      </c>
      <c r="J516" s="35"/>
      <c r="K516" s="35">
        <v>0</v>
      </c>
      <c r="L516" s="35">
        <v>0</v>
      </c>
      <c r="M516" s="35"/>
      <c r="N516" s="35"/>
      <c r="O516" s="35"/>
      <c r="P516" s="35">
        <v>2</v>
      </c>
      <c r="Q516" s="35">
        <v>7</v>
      </c>
      <c r="R516" s="36"/>
      <c r="S516" s="35">
        <v>1</v>
      </c>
      <c r="T516" s="35">
        <v>0</v>
      </c>
      <c r="U516" s="35"/>
      <c r="V516" s="35">
        <v>3</v>
      </c>
      <c r="W516" s="35">
        <v>1</v>
      </c>
      <c r="X516" s="35">
        <v>3</v>
      </c>
      <c r="Y516" s="35">
        <v>19</v>
      </c>
      <c r="Z516" s="35">
        <v>0</v>
      </c>
      <c r="AA516" s="35">
        <v>29</v>
      </c>
      <c r="AB516" s="37">
        <f>100/(SUM(I516:Z516))</f>
        <v>1.408450704225352</v>
      </c>
      <c r="AC516" s="259">
        <f>SUM(I516:AA516)</f>
        <v>100</v>
      </c>
      <c r="AD516" s="35"/>
      <c r="AE516" s="35"/>
      <c r="AF516" s="35"/>
      <c r="AG516" s="33" t="s">
        <v>144</v>
      </c>
      <c r="AH516" s="38" t="s">
        <v>197</v>
      </c>
      <c r="AI516" s="38" t="s">
        <v>198</v>
      </c>
      <c r="AJ516" s="33" t="s">
        <v>199</v>
      </c>
      <c r="AK516" s="33" t="s">
        <v>138</v>
      </c>
      <c r="AL516" s="39">
        <f>(B516-DATE(1970,1,1))*86400</f>
        <v>1717113600</v>
      </c>
      <c r="AM516" s="39">
        <f>(C516-DATE(1970,1,1))*86400</f>
        <v>1717545600</v>
      </c>
      <c r="AN516" s="39">
        <f>AVERAGE(AL516:AM516)</f>
        <v>1717329600</v>
      </c>
    </row>
    <row r="517" spans="1:40" ht="15.75" customHeight="1" x14ac:dyDescent="0.2">
      <c r="A517" s="285" t="s">
        <v>133</v>
      </c>
      <c r="B517" s="34">
        <v>45443</v>
      </c>
      <c r="C517" s="34">
        <v>45448</v>
      </c>
      <c r="D517" s="33" t="s">
        <v>143</v>
      </c>
      <c r="E517" s="319" t="s">
        <v>125</v>
      </c>
      <c r="F517" s="33" t="s">
        <v>195</v>
      </c>
      <c r="G517" s="33" t="s">
        <v>126</v>
      </c>
      <c r="H517" s="353">
        <v>1000</v>
      </c>
      <c r="I517" s="35">
        <v>49</v>
      </c>
      <c r="J517" s="35"/>
      <c r="K517" s="35">
        <v>0</v>
      </c>
      <c r="L517" s="35">
        <v>0</v>
      </c>
      <c r="M517" s="35"/>
      <c r="N517" s="35"/>
      <c r="O517" s="35"/>
      <c r="P517" s="35">
        <v>3</v>
      </c>
      <c r="Q517" s="35">
        <v>9</v>
      </c>
      <c r="R517" s="36"/>
      <c r="S517" s="35">
        <v>1</v>
      </c>
      <c r="T517" s="35">
        <v>0</v>
      </c>
      <c r="U517" s="35"/>
      <c r="V517" s="35">
        <v>5</v>
      </c>
      <c r="W517" s="35">
        <v>1</v>
      </c>
      <c r="X517" s="35">
        <v>5</v>
      </c>
      <c r="Y517" s="35">
        <v>26</v>
      </c>
      <c r="Z517" s="35">
        <v>1</v>
      </c>
      <c r="AA517" s="35">
        <v>0</v>
      </c>
      <c r="AB517" s="37">
        <f>100/(SUM(I517:Z517))</f>
        <v>1</v>
      </c>
      <c r="AC517" s="259">
        <f>SUM(I517:AA517)</f>
        <v>100</v>
      </c>
      <c r="AD517" s="35"/>
      <c r="AE517" s="35"/>
      <c r="AF517" s="35"/>
      <c r="AG517" s="33" t="s">
        <v>144</v>
      </c>
      <c r="AH517" s="38" t="s">
        <v>197</v>
      </c>
      <c r="AI517" s="38" t="s">
        <v>198</v>
      </c>
      <c r="AJ517" s="33" t="s">
        <v>199</v>
      </c>
      <c r="AK517" s="33" t="s">
        <v>138</v>
      </c>
      <c r="AL517" s="39">
        <f>(B517-DATE(1970,1,1))*86400</f>
        <v>1717113600</v>
      </c>
      <c r="AM517" s="39">
        <f>(C517-DATE(1970,1,1))*86400</f>
        <v>1717545600</v>
      </c>
      <c r="AN517" s="39">
        <f>AVERAGE(AL517:AM517)</f>
        <v>1717329600</v>
      </c>
    </row>
    <row r="518" spans="1:40" ht="15.75" customHeight="1" x14ac:dyDescent="0.2">
      <c r="A518" s="285" t="s">
        <v>123</v>
      </c>
      <c r="B518" s="34">
        <v>45443</v>
      </c>
      <c r="C518" s="34">
        <v>45448</v>
      </c>
      <c r="D518" s="33" t="s">
        <v>143</v>
      </c>
      <c r="E518" s="319" t="s">
        <v>125</v>
      </c>
      <c r="F518" s="33" t="s">
        <v>195</v>
      </c>
      <c r="G518" s="33" t="s">
        <v>126</v>
      </c>
      <c r="H518" s="353">
        <v>1000</v>
      </c>
      <c r="I518" s="35">
        <v>50</v>
      </c>
      <c r="J518" s="35"/>
      <c r="K518" s="35">
        <v>1</v>
      </c>
      <c r="L518" s="35">
        <v>0</v>
      </c>
      <c r="M518" s="35"/>
      <c r="N518" s="35"/>
      <c r="O518" s="35"/>
      <c r="P518" s="35">
        <v>3</v>
      </c>
      <c r="Q518" s="35">
        <v>9</v>
      </c>
      <c r="R518" s="36"/>
      <c r="S518" s="35">
        <v>0</v>
      </c>
      <c r="T518" s="35">
        <v>0</v>
      </c>
      <c r="U518" s="35"/>
      <c r="V518" s="35">
        <v>4</v>
      </c>
      <c r="W518" s="35">
        <v>1</v>
      </c>
      <c r="X518" s="35">
        <v>5</v>
      </c>
      <c r="Y518" s="35">
        <v>27</v>
      </c>
      <c r="Z518" s="35">
        <v>0</v>
      </c>
      <c r="AA518" s="35">
        <v>0</v>
      </c>
      <c r="AB518" s="37">
        <f>100/(SUM(I518:Z518))</f>
        <v>1</v>
      </c>
      <c r="AC518" s="259">
        <f>SUM(I518:AA518)</f>
        <v>100</v>
      </c>
      <c r="AD518" s="35"/>
      <c r="AE518" s="35"/>
      <c r="AF518" s="35"/>
      <c r="AG518" s="33" t="s">
        <v>144</v>
      </c>
      <c r="AH518" s="38" t="s">
        <v>197</v>
      </c>
      <c r="AI518" s="38" t="s">
        <v>198</v>
      </c>
      <c r="AJ518" s="33" t="s">
        <v>199</v>
      </c>
      <c r="AK518" s="33" t="s">
        <v>138</v>
      </c>
      <c r="AL518" s="39">
        <f>(B518-DATE(1970,1,1))*86400</f>
        <v>1717113600</v>
      </c>
      <c r="AM518" s="39">
        <f>(C518-DATE(1970,1,1))*86400</f>
        <v>1717545600</v>
      </c>
      <c r="AN518" s="39">
        <f>AVERAGE(AL518:AM518)</f>
        <v>1717329600</v>
      </c>
    </row>
    <row r="519" spans="1:40" ht="15.75" customHeight="1" x14ac:dyDescent="0.2">
      <c r="A519" s="280" t="s">
        <v>123</v>
      </c>
      <c r="B519" s="77">
        <v>45442</v>
      </c>
      <c r="C519" s="77">
        <v>45447</v>
      </c>
      <c r="D519" s="76" t="s">
        <v>200</v>
      </c>
      <c r="E519" s="320" t="s">
        <v>125</v>
      </c>
      <c r="F519" s="76" t="s">
        <v>2510</v>
      </c>
      <c r="G519" s="76" t="s">
        <v>126</v>
      </c>
      <c r="H519" s="350">
        <v>1000</v>
      </c>
      <c r="I519" s="78"/>
      <c r="J519" s="78"/>
      <c r="K519" s="78"/>
      <c r="L519" s="78"/>
      <c r="M519" s="78"/>
      <c r="N519" s="78"/>
      <c r="O519" s="78"/>
      <c r="P519" s="78"/>
      <c r="Q519" s="78"/>
      <c r="R519" s="78"/>
      <c r="S519" s="78"/>
      <c r="T519" s="78"/>
      <c r="U519" s="78"/>
      <c r="V519" s="78"/>
      <c r="W519" s="78"/>
      <c r="X519" s="78"/>
      <c r="Y519" s="78"/>
      <c r="Z519" s="78"/>
      <c r="AA519" s="78"/>
      <c r="AB519" s="79" t="e">
        <f>100/(SUM(I519:Z519))</f>
        <v>#DIV/0!</v>
      </c>
      <c r="AC519" s="259">
        <f>SUM(I519:AA519)</f>
        <v>0</v>
      </c>
      <c r="AD519" s="78"/>
      <c r="AE519" s="78"/>
      <c r="AF519" s="78"/>
      <c r="AG519" s="80" t="s">
        <v>127</v>
      </c>
      <c r="AH519" s="81" t="s">
        <v>201</v>
      </c>
      <c r="AI519" s="81" t="s">
        <v>202</v>
      </c>
      <c r="AJ519" s="81"/>
      <c r="AK519" s="76" t="s">
        <v>203</v>
      </c>
      <c r="AL519" s="80">
        <f>(B519-DATE(1970,1,1))*86400</f>
        <v>1717027200</v>
      </c>
      <c r="AM519" s="80">
        <f>(C519-DATE(1970,1,1))*86400</f>
        <v>1717459200</v>
      </c>
      <c r="AN519" s="80">
        <f>AVERAGE(AL519:AM519)</f>
        <v>1717243200</v>
      </c>
    </row>
    <row r="520" spans="1:40" ht="15.75" customHeight="1" x14ac:dyDescent="0.2">
      <c r="A520" s="292" t="s">
        <v>133</v>
      </c>
      <c r="B520" s="34">
        <v>45441</v>
      </c>
      <c r="C520" s="34">
        <v>45442</v>
      </c>
      <c r="D520" s="33" t="s">
        <v>143</v>
      </c>
      <c r="E520" s="319" t="s">
        <v>125</v>
      </c>
      <c r="F520" s="33" t="s">
        <v>2505</v>
      </c>
      <c r="G520" s="33" t="s">
        <v>126</v>
      </c>
      <c r="H520" s="353">
        <v>1000</v>
      </c>
      <c r="I520" s="35">
        <v>24</v>
      </c>
      <c r="J520" s="35"/>
      <c r="K520" s="35"/>
      <c r="L520" s="35">
        <v>1</v>
      </c>
      <c r="M520" s="35"/>
      <c r="N520" s="35"/>
      <c r="O520" s="35"/>
      <c r="P520" s="35">
        <v>8</v>
      </c>
      <c r="Q520" s="35">
        <v>13</v>
      </c>
      <c r="R520" s="36"/>
      <c r="S520" s="35"/>
      <c r="T520" s="35"/>
      <c r="U520" s="35"/>
      <c r="V520" s="35">
        <v>6</v>
      </c>
      <c r="W520" s="35"/>
      <c r="X520" s="35">
        <v>4</v>
      </c>
      <c r="Y520" s="35">
        <v>24</v>
      </c>
      <c r="Z520" s="35"/>
      <c r="AA520" s="35"/>
      <c r="AB520" s="37">
        <f>100/(SUM(I520:Z520))</f>
        <v>1.25</v>
      </c>
      <c r="AC520" s="259">
        <f>SUM(I520:AA520)</f>
        <v>80</v>
      </c>
      <c r="AD520" s="35">
        <v>79</v>
      </c>
      <c r="AE520" s="35"/>
      <c r="AF520" s="35"/>
      <c r="AG520" s="33" t="s">
        <v>1769</v>
      </c>
      <c r="AH520" s="196" t="s">
        <v>204</v>
      </c>
      <c r="AI520" s="38"/>
      <c r="AJ520" s="33"/>
      <c r="AK520" s="33" t="s">
        <v>205</v>
      </c>
      <c r="AL520" s="39">
        <f>(B520-DATE(1970,1,1))*86400</f>
        <v>1716940800</v>
      </c>
      <c r="AM520" s="39">
        <f>(C520-DATE(1970,1,1))*86400</f>
        <v>1717027200</v>
      </c>
      <c r="AN520" s="39">
        <f>AVERAGE(AL520:AM520)</f>
        <v>1716984000</v>
      </c>
    </row>
    <row r="521" spans="1:40" ht="15.75" customHeight="1" x14ac:dyDescent="0.2">
      <c r="A521" s="286" t="s">
        <v>133</v>
      </c>
      <c r="B521" s="41">
        <v>45436</v>
      </c>
      <c r="C521" s="41">
        <v>45445</v>
      </c>
      <c r="D521" s="40" t="s">
        <v>148</v>
      </c>
      <c r="E521" s="325" t="s">
        <v>125</v>
      </c>
      <c r="F521" s="40" t="s">
        <v>195</v>
      </c>
      <c r="G521" s="40" t="s">
        <v>149</v>
      </c>
      <c r="H521" s="325">
        <v>1000</v>
      </c>
      <c r="I521" s="42">
        <v>31</v>
      </c>
      <c r="J521" s="42"/>
      <c r="K521" s="42">
        <v>1</v>
      </c>
      <c r="L521" s="42">
        <v>2</v>
      </c>
      <c r="M521" s="42"/>
      <c r="N521" s="42"/>
      <c r="O521" s="42"/>
      <c r="P521" s="42">
        <v>4</v>
      </c>
      <c r="Q521" s="42">
        <v>9</v>
      </c>
      <c r="R521" s="43"/>
      <c r="S521" s="42">
        <v>1</v>
      </c>
      <c r="T521" s="42"/>
      <c r="U521" s="42"/>
      <c r="V521" s="42">
        <v>2</v>
      </c>
      <c r="W521" s="42">
        <v>1</v>
      </c>
      <c r="X521" s="42">
        <v>3</v>
      </c>
      <c r="Y521" s="42">
        <v>19</v>
      </c>
      <c r="Z521" s="42">
        <v>0</v>
      </c>
      <c r="AA521" s="42">
        <v>27</v>
      </c>
      <c r="AB521" s="44">
        <f>100/(SUM(I521:Z521))</f>
        <v>1.3698630136986301</v>
      </c>
      <c r="AC521" s="259">
        <f>SUM(I521:AA521)</f>
        <v>100</v>
      </c>
      <c r="AD521" s="42"/>
      <c r="AE521" s="43"/>
      <c r="AF521" s="43"/>
      <c r="AG521" s="45"/>
      <c r="AH521" s="46" t="s">
        <v>206</v>
      </c>
      <c r="AI521" s="46" t="s">
        <v>207</v>
      </c>
      <c r="AJ521" s="46"/>
      <c r="AK521" s="40" t="s">
        <v>208</v>
      </c>
      <c r="AL521" s="45">
        <f>(B521-DATE(1970,1,1))*86400</f>
        <v>1716508800</v>
      </c>
      <c r="AM521" s="45">
        <f>(C521-DATE(1970,1,1))*86400</f>
        <v>1717286400</v>
      </c>
      <c r="AN521" s="45">
        <f>AVERAGE(AL521:AM521)</f>
        <v>1716897600</v>
      </c>
    </row>
    <row r="522" spans="1:40" ht="15.75" customHeight="1" x14ac:dyDescent="0.2">
      <c r="A522" s="286" t="s">
        <v>123</v>
      </c>
      <c r="B522" s="41">
        <v>45436</v>
      </c>
      <c r="C522" s="41">
        <v>45445</v>
      </c>
      <c r="D522" s="40" t="s">
        <v>148</v>
      </c>
      <c r="E522" s="325" t="s">
        <v>125</v>
      </c>
      <c r="F522" s="40" t="s">
        <v>195</v>
      </c>
      <c r="G522" s="40" t="s">
        <v>149</v>
      </c>
      <c r="H522" s="325">
        <v>1000</v>
      </c>
      <c r="I522" s="42">
        <v>45</v>
      </c>
      <c r="J522" s="42"/>
      <c r="K522" s="42">
        <v>1</v>
      </c>
      <c r="L522" s="42">
        <v>2</v>
      </c>
      <c r="M522" s="42"/>
      <c r="N522" s="42"/>
      <c r="O522" s="42"/>
      <c r="P522" s="42">
        <v>4</v>
      </c>
      <c r="Q522" s="42">
        <v>11</v>
      </c>
      <c r="R522" s="43"/>
      <c r="S522" s="42">
        <v>1</v>
      </c>
      <c r="T522" s="42"/>
      <c r="U522" s="42"/>
      <c r="V522" s="42">
        <v>3</v>
      </c>
      <c r="W522" s="42">
        <v>1</v>
      </c>
      <c r="X522" s="42">
        <v>5</v>
      </c>
      <c r="Y522" s="42">
        <v>27</v>
      </c>
      <c r="Z522" s="42">
        <v>0</v>
      </c>
      <c r="AA522" s="42">
        <v>0</v>
      </c>
      <c r="AB522" s="44">
        <f>100/(SUM(I522:Z522))</f>
        <v>1</v>
      </c>
      <c r="AC522" s="259">
        <f>SUM(I522:AA522)</f>
        <v>100</v>
      </c>
      <c r="AD522" s="42"/>
      <c r="AE522" s="43"/>
      <c r="AF522" s="43"/>
      <c r="AG522" s="45"/>
      <c r="AH522" s="46" t="s">
        <v>206</v>
      </c>
      <c r="AI522" s="46" t="s">
        <v>207</v>
      </c>
      <c r="AJ522" s="46"/>
      <c r="AK522" s="40" t="s">
        <v>208</v>
      </c>
      <c r="AL522" s="45">
        <f>(B522-DATE(1970,1,1))*86400</f>
        <v>1716508800</v>
      </c>
      <c r="AM522" s="45">
        <f>(C522-DATE(1970,1,1))*86400</f>
        <v>1717286400</v>
      </c>
      <c r="AN522" s="45">
        <f>AVERAGE(AL522:AM522)</f>
        <v>1716897600</v>
      </c>
    </row>
    <row r="523" spans="1:40" ht="15.75" customHeight="1" x14ac:dyDescent="0.2">
      <c r="A523" s="285" t="s">
        <v>133</v>
      </c>
      <c r="B523" s="34">
        <v>45439</v>
      </c>
      <c r="C523" s="34">
        <v>45441</v>
      </c>
      <c r="D523" s="33" t="s">
        <v>143</v>
      </c>
      <c r="E523" s="319" t="s">
        <v>125</v>
      </c>
      <c r="F523" s="33" t="s">
        <v>195</v>
      </c>
      <c r="G523" s="33" t="s">
        <v>126</v>
      </c>
      <c r="H523" s="353">
        <v>1000</v>
      </c>
      <c r="I523" s="35">
        <v>32</v>
      </c>
      <c r="J523" s="35"/>
      <c r="K523" s="35">
        <v>1</v>
      </c>
      <c r="L523" s="35"/>
      <c r="M523" s="35"/>
      <c r="N523" s="35"/>
      <c r="O523" s="35"/>
      <c r="P523" s="35">
        <v>4</v>
      </c>
      <c r="Q523" s="35">
        <v>4</v>
      </c>
      <c r="R523" s="36"/>
      <c r="S523" s="35">
        <v>1</v>
      </c>
      <c r="T523" s="35">
        <v>0</v>
      </c>
      <c r="U523" s="35"/>
      <c r="V523" s="35">
        <v>3</v>
      </c>
      <c r="W523" s="35">
        <v>1</v>
      </c>
      <c r="X523" s="35">
        <v>4</v>
      </c>
      <c r="Y523" s="35">
        <v>19</v>
      </c>
      <c r="Z523" s="35">
        <v>0</v>
      </c>
      <c r="AA523" s="35">
        <v>31</v>
      </c>
      <c r="AB523" s="37">
        <f>100/(SUM(I523:Z523))</f>
        <v>1.4492753623188406</v>
      </c>
      <c r="AC523" s="259">
        <f>SUM(I523:AA523)</f>
        <v>100</v>
      </c>
      <c r="AD523" s="35"/>
      <c r="AE523" s="35"/>
      <c r="AF523" s="35"/>
      <c r="AG523" s="33" t="s">
        <v>144</v>
      </c>
      <c r="AH523" s="38" t="s">
        <v>209</v>
      </c>
      <c r="AI523" s="38"/>
      <c r="AJ523" s="33"/>
      <c r="AK523" s="33" t="s">
        <v>138</v>
      </c>
      <c r="AL523" s="39">
        <f>(B523-DATE(1970,1,1))*86400</f>
        <v>1716768000</v>
      </c>
      <c r="AM523" s="39">
        <f>(C523-DATE(1970,1,1))*86400</f>
        <v>1716940800</v>
      </c>
      <c r="AN523" s="39">
        <f>AVERAGE(AL523:AM523)</f>
        <v>1716854400</v>
      </c>
    </row>
    <row r="524" spans="1:40" ht="15.75" customHeight="1" x14ac:dyDescent="0.2">
      <c r="A524" s="285" t="s">
        <v>133</v>
      </c>
      <c r="B524" s="34">
        <v>45439</v>
      </c>
      <c r="C524" s="34">
        <v>45441</v>
      </c>
      <c r="D524" s="33" t="s">
        <v>143</v>
      </c>
      <c r="E524" s="319" t="s">
        <v>125</v>
      </c>
      <c r="F524" s="33" t="s">
        <v>195</v>
      </c>
      <c r="G524" s="33" t="s">
        <v>126</v>
      </c>
      <c r="H524" s="353">
        <v>1000</v>
      </c>
      <c r="I524" s="35">
        <v>46</v>
      </c>
      <c r="J524" s="35"/>
      <c r="K524" s="35">
        <v>2</v>
      </c>
      <c r="L524" s="35"/>
      <c r="M524" s="35"/>
      <c r="N524" s="35"/>
      <c r="O524" s="35"/>
      <c r="P524" s="35">
        <v>5</v>
      </c>
      <c r="Q524" s="35">
        <v>6</v>
      </c>
      <c r="R524" s="36"/>
      <c r="S524" s="35">
        <v>1</v>
      </c>
      <c r="T524" s="35">
        <v>0</v>
      </c>
      <c r="U524" s="35"/>
      <c r="V524" s="35">
        <v>4</v>
      </c>
      <c r="W524" s="35">
        <v>1</v>
      </c>
      <c r="X524" s="35">
        <v>6</v>
      </c>
      <c r="Y524" s="35">
        <v>27</v>
      </c>
      <c r="Z524" s="35">
        <v>1</v>
      </c>
      <c r="AA524" s="35">
        <v>0</v>
      </c>
      <c r="AB524" s="37">
        <f>100/(SUM(I524:Z524))</f>
        <v>1.0101010101010102</v>
      </c>
      <c r="AC524" s="259">
        <f>SUM(I524:AA524)</f>
        <v>99</v>
      </c>
      <c r="AD524" s="35"/>
      <c r="AE524" s="35"/>
      <c r="AF524" s="35"/>
      <c r="AG524" s="33" t="s">
        <v>144</v>
      </c>
      <c r="AH524" s="38" t="s">
        <v>209</v>
      </c>
      <c r="AI524" s="38"/>
      <c r="AJ524" s="33"/>
      <c r="AK524" s="33" t="s">
        <v>210</v>
      </c>
      <c r="AL524" s="39">
        <f>(B524-DATE(1970,1,1))*86400</f>
        <v>1716768000</v>
      </c>
      <c r="AM524" s="39">
        <f>(C524-DATE(1970,1,1))*86400</f>
        <v>1716940800</v>
      </c>
      <c r="AN524" s="39">
        <f>AVERAGE(AL524:AM524)</f>
        <v>1716854400</v>
      </c>
    </row>
    <row r="525" spans="1:40" ht="15.75" customHeight="1" x14ac:dyDescent="0.2">
      <c r="A525" s="285" t="s">
        <v>123</v>
      </c>
      <c r="B525" s="34">
        <v>45439</v>
      </c>
      <c r="C525" s="34">
        <v>45441</v>
      </c>
      <c r="D525" s="33" t="s">
        <v>143</v>
      </c>
      <c r="E525" s="319" t="s">
        <v>125</v>
      </c>
      <c r="F525" s="33" t="s">
        <v>195</v>
      </c>
      <c r="G525" s="33" t="s">
        <v>126</v>
      </c>
      <c r="H525" s="353">
        <v>1000</v>
      </c>
      <c r="I525" s="35">
        <v>48</v>
      </c>
      <c r="J525" s="35"/>
      <c r="K525" s="35">
        <v>1</v>
      </c>
      <c r="L525" s="35"/>
      <c r="M525" s="35"/>
      <c r="N525" s="35"/>
      <c r="O525" s="35"/>
      <c r="P525" s="35">
        <v>5</v>
      </c>
      <c r="Q525" s="35">
        <v>7</v>
      </c>
      <c r="R525" s="36"/>
      <c r="S525" s="35">
        <v>1</v>
      </c>
      <c r="T525" s="35">
        <v>0</v>
      </c>
      <c r="U525" s="35"/>
      <c r="V525" s="35">
        <v>2</v>
      </c>
      <c r="W525" s="35">
        <v>1</v>
      </c>
      <c r="X525" s="35">
        <v>6</v>
      </c>
      <c r="Y525" s="35">
        <v>29</v>
      </c>
      <c r="Z525" s="35">
        <v>0</v>
      </c>
      <c r="AA525" s="35">
        <v>0</v>
      </c>
      <c r="AB525" s="37">
        <f>100/(SUM(I525:Z525))</f>
        <v>1</v>
      </c>
      <c r="AC525" s="259">
        <f>SUM(I525:AA525)</f>
        <v>100</v>
      </c>
      <c r="AD525" s="35"/>
      <c r="AE525" s="35"/>
      <c r="AF525" s="35"/>
      <c r="AG525" s="33" t="s">
        <v>144</v>
      </c>
      <c r="AH525" s="38" t="s">
        <v>209</v>
      </c>
      <c r="AI525" s="38"/>
      <c r="AJ525" s="33"/>
      <c r="AK525" s="33" t="s">
        <v>211</v>
      </c>
      <c r="AL525" s="39">
        <f>(B525-DATE(1970,1,1))*86400</f>
        <v>1716768000</v>
      </c>
      <c r="AM525" s="39">
        <f>(C525-DATE(1970,1,1))*86400</f>
        <v>1716940800</v>
      </c>
      <c r="AN525" s="39">
        <f>AVERAGE(AL525:AM525)</f>
        <v>1716854400</v>
      </c>
    </row>
    <row r="526" spans="1:40" ht="15.75" customHeight="1" x14ac:dyDescent="0.2">
      <c r="A526" s="283" t="s">
        <v>123</v>
      </c>
      <c r="B526" s="28">
        <v>45439</v>
      </c>
      <c r="C526" s="28">
        <v>45441</v>
      </c>
      <c r="D526" s="27" t="s">
        <v>139</v>
      </c>
      <c r="E526" s="331" t="s">
        <v>125</v>
      </c>
      <c r="F526" s="27" t="s">
        <v>195</v>
      </c>
      <c r="G526" s="27" t="s">
        <v>126</v>
      </c>
      <c r="H526" s="352">
        <v>1000</v>
      </c>
      <c r="I526" s="29">
        <v>45</v>
      </c>
      <c r="J526" s="29"/>
      <c r="K526" s="29">
        <v>1</v>
      </c>
      <c r="L526" s="29">
        <v>0</v>
      </c>
      <c r="M526" s="29"/>
      <c r="N526" s="29"/>
      <c r="O526" s="29"/>
      <c r="P526" s="29">
        <v>1</v>
      </c>
      <c r="Q526" s="29">
        <v>10</v>
      </c>
      <c r="R526" s="29"/>
      <c r="S526" s="29">
        <v>1</v>
      </c>
      <c r="T526" s="29"/>
      <c r="U526" s="29"/>
      <c r="V526" s="29">
        <v>7</v>
      </c>
      <c r="W526" s="29">
        <v>2</v>
      </c>
      <c r="X526" s="29">
        <v>5</v>
      </c>
      <c r="Y526" s="29">
        <v>28</v>
      </c>
      <c r="Z526" s="29">
        <v>1</v>
      </c>
      <c r="AA526" s="29">
        <v>0</v>
      </c>
      <c r="AB526" s="30">
        <f>100/(SUM(I526:Z526))</f>
        <v>0.99009900990099009</v>
      </c>
      <c r="AC526" s="259">
        <f>SUM(I526:AA526)</f>
        <v>101</v>
      </c>
      <c r="AD526" s="29"/>
      <c r="AE526" s="29"/>
      <c r="AF526" s="29"/>
      <c r="AG526" s="31" t="s">
        <v>127</v>
      </c>
      <c r="AH526" s="32" t="s">
        <v>212</v>
      </c>
      <c r="AI526" s="32" t="s">
        <v>213</v>
      </c>
      <c r="AJ526" s="32" t="s">
        <v>214</v>
      </c>
      <c r="AK526" s="27" t="s">
        <v>215</v>
      </c>
      <c r="AL526" s="31">
        <f>(B526-DATE(1970,1,1))*86400</f>
        <v>1716768000</v>
      </c>
      <c r="AM526" s="31">
        <f>(C526-DATE(1970,1,1))*86400</f>
        <v>1716940800</v>
      </c>
      <c r="AN526" s="31">
        <f>AVERAGE(AL526:AM526)</f>
        <v>1716854400</v>
      </c>
    </row>
    <row r="527" spans="1:40" ht="15.75" customHeight="1" x14ac:dyDescent="0.2">
      <c r="A527" s="281" t="s">
        <v>133</v>
      </c>
      <c r="B527" s="54">
        <v>45437</v>
      </c>
      <c r="C527" s="54">
        <v>45441</v>
      </c>
      <c r="D527" s="53" t="s">
        <v>154</v>
      </c>
      <c r="E527" s="323" t="s">
        <v>125</v>
      </c>
      <c r="F527" s="53" t="s">
        <v>2505</v>
      </c>
      <c r="G527" s="53" t="s">
        <v>216</v>
      </c>
      <c r="H527" s="357">
        <v>1004</v>
      </c>
      <c r="I527" s="55"/>
      <c r="J527" s="55"/>
      <c r="K527" s="55"/>
      <c r="L527" s="55"/>
      <c r="M527" s="55"/>
      <c r="N527" s="55"/>
      <c r="O527" s="55"/>
      <c r="P527" s="55"/>
      <c r="Q527" s="55"/>
      <c r="R527" s="56"/>
      <c r="S527" s="55"/>
      <c r="T527" s="55"/>
      <c r="U527" s="55"/>
      <c r="V527" s="55"/>
      <c r="W527" s="55"/>
      <c r="X527" s="55"/>
      <c r="Y527" s="55"/>
      <c r="Z527" s="55"/>
      <c r="AA527" s="55"/>
      <c r="AB527" s="57" t="e">
        <f>100/(SUM(I527:Z527))</f>
        <v>#DIV/0!</v>
      </c>
      <c r="AC527" s="259">
        <f>SUM(I527:AA527)</f>
        <v>0</v>
      </c>
      <c r="AD527" s="55"/>
      <c r="AE527" s="55"/>
      <c r="AF527" s="55"/>
      <c r="AG527" s="58"/>
      <c r="AH527" s="59" t="s">
        <v>217</v>
      </c>
      <c r="AI527" s="59"/>
      <c r="AJ527" s="59"/>
      <c r="AK527" s="53" t="s">
        <v>218</v>
      </c>
      <c r="AL527" s="58">
        <f>(B527-DATE(1970,1,1))*86400</f>
        <v>1716595200</v>
      </c>
      <c r="AM527" s="58">
        <f>(C527-DATE(1970,1,1))*86400</f>
        <v>1716940800</v>
      </c>
      <c r="AN527" s="58">
        <f>AVERAGE(AL527:AM527)</f>
        <v>1716768000</v>
      </c>
    </row>
    <row r="528" spans="1:40" ht="15.75" customHeight="1" x14ac:dyDescent="0.2">
      <c r="A528" s="284" t="s">
        <v>133</v>
      </c>
      <c r="B528" s="20">
        <v>45432</v>
      </c>
      <c r="C528" s="20">
        <v>45441</v>
      </c>
      <c r="D528" s="19" t="s">
        <v>134</v>
      </c>
      <c r="E528" s="332" t="s">
        <v>125</v>
      </c>
      <c r="F528" s="19" t="s">
        <v>195</v>
      </c>
      <c r="G528" s="19" t="s">
        <v>135</v>
      </c>
      <c r="H528" s="332">
        <v>1500</v>
      </c>
      <c r="I528" s="21">
        <v>31</v>
      </c>
      <c r="J528" s="21"/>
      <c r="K528" s="21">
        <v>0</v>
      </c>
      <c r="L528" s="21">
        <v>0</v>
      </c>
      <c r="M528" s="21"/>
      <c r="N528" s="21"/>
      <c r="O528" s="21"/>
      <c r="P528" s="21">
        <v>3</v>
      </c>
      <c r="Q528" s="21">
        <v>9</v>
      </c>
      <c r="R528" s="22"/>
      <c r="S528" s="21">
        <v>1</v>
      </c>
      <c r="T528" s="21"/>
      <c r="U528" s="21"/>
      <c r="V528" s="21">
        <v>3</v>
      </c>
      <c r="W528" s="21">
        <v>1</v>
      </c>
      <c r="X528" s="21">
        <v>4</v>
      </c>
      <c r="Y528" s="21">
        <v>18</v>
      </c>
      <c r="Z528" s="21">
        <v>1</v>
      </c>
      <c r="AA528" s="21">
        <v>29</v>
      </c>
      <c r="AB528" s="23">
        <f>100/(SUM(I528:Z528))</f>
        <v>1.408450704225352</v>
      </c>
      <c r="AC528" s="259">
        <f>SUM(I528:AA528)</f>
        <v>100</v>
      </c>
      <c r="AD528" s="24"/>
      <c r="AE528" s="24"/>
      <c r="AF528" s="24"/>
      <c r="AG528" s="25" t="s">
        <v>136</v>
      </c>
      <c r="AH528" s="26" t="s">
        <v>219</v>
      </c>
      <c r="AI528" s="26" t="s">
        <v>220</v>
      </c>
      <c r="AJ528" s="83" t="s">
        <v>221</v>
      </c>
      <c r="AK528" s="19" t="s">
        <v>138</v>
      </c>
      <c r="AL528" s="25">
        <f>(B528-DATE(1970,1,1))*86400</f>
        <v>1716163200</v>
      </c>
      <c r="AM528" s="25">
        <f>(C528-DATE(1970,1,1))*86400</f>
        <v>1716940800</v>
      </c>
      <c r="AN528" s="25">
        <f>AVERAGE(AL528:AM528)</f>
        <v>1716552000</v>
      </c>
    </row>
    <row r="529" spans="1:65" ht="15.75" customHeight="1" x14ac:dyDescent="0.2">
      <c r="A529" s="284" t="s">
        <v>123</v>
      </c>
      <c r="B529" s="20">
        <v>45432</v>
      </c>
      <c r="C529" s="20">
        <v>45441</v>
      </c>
      <c r="D529" s="19" t="s">
        <v>134</v>
      </c>
      <c r="E529" s="332" t="s">
        <v>125</v>
      </c>
      <c r="F529" s="19" t="s">
        <v>195</v>
      </c>
      <c r="G529" s="19" t="s">
        <v>135</v>
      </c>
      <c r="H529" s="332">
        <v>1500</v>
      </c>
      <c r="I529" s="21">
        <v>44</v>
      </c>
      <c r="J529" s="21"/>
      <c r="K529" s="21">
        <v>0</v>
      </c>
      <c r="L529" s="21">
        <v>0</v>
      </c>
      <c r="M529" s="21"/>
      <c r="N529" s="21"/>
      <c r="O529" s="21"/>
      <c r="P529" s="21">
        <v>4</v>
      </c>
      <c r="Q529" s="21">
        <v>12</v>
      </c>
      <c r="R529" s="22"/>
      <c r="S529" s="21">
        <v>1</v>
      </c>
      <c r="T529" s="21"/>
      <c r="U529" s="21"/>
      <c r="V529" s="21">
        <v>4</v>
      </c>
      <c r="W529" s="21">
        <v>2</v>
      </c>
      <c r="X529" s="21">
        <v>5</v>
      </c>
      <c r="Y529" s="21">
        <v>26</v>
      </c>
      <c r="Z529" s="21">
        <v>2</v>
      </c>
      <c r="AA529" s="21">
        <v>0</v>
      </c>
      <c r="AB529" s="23">
        <f>100/(SUM(I529:Z529))</f>
        <v>1</v>
      </c>
      <c r="AC529" s="259">
        <f>SUM(I529:AA529)</f>
        <v>100</v>
      </c>
      <c r="AD529" s="24"/>
      <c r="AE529" s="24"/>
      <c r="AF529" s="24"/>
      <c r="AG529" s="25" t="s">
        <v>136</v>
      </c>
      <c r="AH529" s="26" t="s">
        <v>219</v>
      </c>
      <c r="AI529" s="26" t="s">
        <v>220</v>
      </c>
      <c r="AJ529" s="83" t="s">
        <v>221</v>
      </c>
      <c r="AK529" s="19"/>
      <c r="AL529" s="25">
        <f>(B529-DATE(1970,1,1))*86400</f>
        <v>1716163200</v>
      </c>
      <c r="AM529" s="25">
        <f>(C529-DATE(1970,1,1))*86400</f>
        <v>1716940800</v>
      </c>
      <c r="AN529" s="25">
        <f>AVERAGE(AL529:AM529)</f>
        <v>1716552000</v>
      </c>
    </row>
    <row r="530" spans="1:65" ht="15.75" customHeight="1" x14ac:dyDescent="0.2">
      <c r="A530" s="285" t="s">
        <v>133</v>
      </c>
      <c r="B530" s="34">
        <v>45435</v>
      </c>
      <c r="C530" s="34">
        <v>45437</v>
      </c>
      <c r="D530" s="33" t="s">
        <v>143</v>
      </c>
      <c r="E530" s="319" t="s">
        <v>125</v>
      </c>
      <c r="F530" s="33" t="s">
        <v>2495</v>
      </c>
      <c r="G530" s="82" t="s">
        <v>126</v>
      </c>
      <c r="H530" s="358">
        <v>1000</v>
      </c>
      <c r="I530" s="35">
        <v>29</v>
      </c>
      <c r="J530" s="35"/>
      <c r="K530" s="35"/>
      <c r="L530" s="35">
        <v>12</v>
      </c>
      <c r="M530" s="35"/>
      <c r="N530" s="35"/>
      <c r="O530" s="35"/>
      <c r="P530" s="35">
        <v>5</v>
      </c>
      <c r="Q530" s="35">
        <v>20</v>
      </c>
      <c r="R530" s="36"/>
      <c r="S530" s="35"/>
      <c r="T530" s="35"/>
      <c r="U530" s="35"/>
      <c r="V530" s="35">
        <v>10</v>
      </c>
      <c r="W530" s="35"/>
      <c r="X530" s="35"/>
      <c r="Y530" s="35">
        <v>23</v>
      </c>
      <c r="Z530" s="35"/>
      <c r="AA530" s="35"/>
      <c r="AB530" s="37">
        <f>100/(SUM(I530:Z530))</f>
        <v>1.0101010101010102</v>
      </c>
      <c r="AC530" s="259">
        <f>SUM(I530:AA530)</f>
        <v>99</v>
      </c>
      <c r="AD530" s="35"/>
      <c r="AE530" s="35"/>
      <c r="AF530" s="35"/>
      <c r="AG530" s="33" t="s">
        <v>74</v>
      </c>
      <c r="AH530" s="38" t="s">
        <v>222</v>
      </c>
      <c r="AI530" s="38" t="s">
        <v>223</v>
      </c>
      <c r="AJ530" s="33"/>
      <c r="AK530" s="33" t="s">
        <v>224</v>
      </c>
      <c r="AL530" s="39">
        <f>(B530-DATE(1970,1,1))*86400</f>
        <v>1716422400</v>
      </c>
      <c r="AM530" s="39">
        <f>(C530-DATE(1970,1,1))*86400</f>
        <v>1716595200</v>
      </c>
      <c r="AN530" s="39">
        <f>AVERAGE(AL530:AM530)</f>
        <v>1716508800</v>
      </c>
    </row>
    <row r="531" spans="1:65" ht="15.75" customHeight="1" x14ac:dyDescent="0.2">
      <c r="A531" s="280" t="s">
        <v>123</v>
      </c>
      <c r="B531" s="77">
        <v>45432</v>
      </c>
      <c r="C531" s="77">
        <v>45440</v>
      </c>
      <c r="D531" s="76" t="s">
        <v>200</v>
      </c>
      <c r="E531" s="320" t="s">
        <v>125</v>
      </c>
      <c r="F531" s="76" t="s">
        <v>195</v>
      </c>
      <c r="G531" s="76" t="s">
        <v>126</v>
      </c>
      <c r="H531" s="350">
        <v>1000</v>
      </c>
      <c r="I531" s="78">
        <v>45</v>
      </c>
      <c r="J531" s="78"/>
      <c r="K531" s="78">
        <v>1</v>
      </c>
      <c r="L531" s="78">
        <v>1</v>
      </c>
      <c r="M531" s="78"/>
      <c r="N531" s="78"/>
      <c r="O531" s="78"/>
      <c r="P531" s="78">
        <v>3</v>
      </c>
      <c r="Q531" s="78">
        <v>10</v>
      </c>
      <c r="R531" s="78"/>
      <c r="S531" s="78">
        <v>1</v>
      </c>
      <c r="T531" s="78">
        <v>0</v>
      </c>
      <c r="U531" s="78"/>
      <c r="V531" s="78">
        <v>9</v>
      </c>
      <c r="W531" s="78">
        <v>1</v>
      </c>
      <c r="X531" s="78">
        <v>6</v>
      </c>
      <c r="Y531" s="78">
        <v>23</v>
      </c>
      <c r="Z531" s="78">
        <v>0</v>
      </c>
      <c r="AA531" s="78">
        <v>0</v>
      </c>
      <c r="AB531" s="79">
        <f>100/(SUM(I531:Z531))</f>
        <v>1</v>
      </c>
      <c r="AC531" s="259">
        <f>SUM(I531:AA531)</f>
        <v>100</v>
      </c>
      <c r="AD531" s="78"/>
      <c r="AE531" s="78"/>
      <c r="AF531" s="78"/>
      <c r="AG531" s="80" t="s">
        <v>127</v>
      </c>
      <c r="AH531" s="81" t="s">
        <v>212</v>
      </c>
      <c r="AI531" s="81" t="s">
        <v>213</v>
      </c>
      <c r="AJ531" s="81" t="s">
        <v>225</v>
      </c>
      <c r="AK531" s="76" t="s">
        <v>226</v>
      </c>
      <c r="AL531" s="80">
        <f>(B531-DATE(1970,1,1))*86400</f>
        <v>1716163200</v>
      </c>
      <c r="AM531" s="80">
        <f>(C531-DATE(1970,1,1))*86400</f>
        <v>1716854400</v>
      </c>
      <c r="AN531" s="80">
        <f>AVERAGE(AL531:AM531)</f>
        <v>1716508800</v>
      </c>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row>
    <row r="532" spans="1:65" ht="15.75" customHeight="1" x14ac:dyDescent="0.2">
      <c r="A532" s="406" t="s">
        <v>123</v>
      </c>
      <c r="B532" s="407">
        <v>45434</v>
      </c>
      <c r="C532" s="407">
        <v>45436</v>
      </c>
      <c r="D532" s="408" t="s">
        <v>227</v>
      </c>
      <c r="E532" s="409" t="s">
        <v>125</v>
      </c>
      <c r="F532" s="408" t="s">
        <v>195</v>
      </c>
      <c r="G532" s="408" t="s">
        <v>126</v>
      </c>
      <c r="H532" s="410">
        <v>1000</v>
      </c>
      <c r="I532" s="411">
        <v>47</v>
      </c>
      <c r="J532" s="411"/>
      <c r="K532" s="411">
        <v>1</v>
      </c>
      <c r="L532" s="411">
        <v>1</v>
      </c>
      <c r="M532" s="411"/>
      <c r="N532" s="411"/>
      <c r="O532" s="411"/>
      <c r="P532" s="411">
        <v>2</v>
      </c>
      <c r="Q532" s="411">
        <v>8</v>
      </c>
      <c r="R532" s="411"/>
      <c r="S532" s="411">
        <v>1</v>
      </c>
      <c r="T532" s="411">
        <v>0</v>
      </c>
      <c r="U532" s="411"/>
      <c r="V532" s="411">
        <v>6</v>
      </c>
      <c r="W532" s="411">
        <v>1</v>
      </c>
      <c r="X532" s="411">
        <v>6</v>
      </c>
      <c r="Y532" s="411">
        <v>26</v>
      </c>
      <c r="Z532" s="411">
        <v>1</v>
      </c>
      <c r="AA532" s="411">
        <v>0</v>
      </c>
      <c r="AB532" s="412">
        <f>100/(SUM(I532:Z532))</f>
        <v>1</v>
      </c>
      <c r="AC532" s="413">
        <f>SUM(I532:AA532)</f>
        <v>100</v>
      </c>
      <c r="AD532" s="411"/>
      <c r="AE532" s="411"/>
      <c r="AF532" s="411"/>
      <c r="AG532" s="414" t="s">
        <v>127</v>
      </c>
      <c r="AH532" s="419" t="s">
        <v>212</v>
      </c>
      <c r="AI532" s="419" t="s">
        <v>213</v>
      </c>
      <c r="AJ532" s="419" t="s">
        <v>228</v>
      </c>
      <c r="AK532" s="408" t="s">
        <v>226</v>
      </c>
      <c r="AL532" s="414">
        <f>(B532-DATE(1970,1,1))*86400</f>
        <v>1716336000</v>
      </c>
      <c r="AM532" s="414">
        <f>(C532-DATE(1970,1,1))*86400</f>
        <v>1716508800</v>
      </c>
      <c r="AN532" s="414">
        <f>AVERAGE(AL532:AM532)</f>
        <v>1716422400</v>
      </c>
    </row>
    <row r="533" spans="1:65" ht="15.75" customHeight="1" x14ac:dyDescent="0.2">
      <c r="A533" s="279" t="s">
        <v>123</v>
      </c>
      <c r="B533" s="14">
        <v>45432</v>
      </c>
      <c r="C533" s="14">
        <v>45434</v>
      </c>
      <c r="D533" s="13" t="s">
        <v>124</v>
      </c>
      <c r="E533" s="324" t="s">
        <v>125</v>
      </c>
      <c r="F533" s="13" t="s">
        <v>195</v>
      </c>
      <c r="G533" s="13" t="s">
        <v>126</v>
      </c>
      <c r="H533" s="349">
        <v>1000</v>
      </c>
      <c r="I533" s="15">
        <v>47</v>
      </c>
      <c r="J533" s="15"/>
      <c r="K533" s="15">
        <v>1</v>
      </c>
      <c r="L533" s="15">
        <v>1</v>
      </c>
      <c r="M533" s="15"/>
      <c r="N533" s="15"/>
      <c r="O533" s="15"/>
      <c r="P533" s="15">
        <v>1</v>
      </c>
      <c r="Q533" s="15">
        <v>9</v>
      </c>
      <c r="R533" s="15"/>
      <c r="S533" s="15">
        <v>1</v>
      </c>
      <c r="T533" s="15">
        <v>0</v>
      </c>
      <c r="U533" s="15"/>
      <c r="V533" s="15">
        <v>7</v>
      </c>
      <c r="W533" s="15">
        <v>1</v>
      </c>
      <c r="X533" s="15">
        <v>7</v>
      </c>
      <c r="Y533" s="15">
        <v>24</v>
      </c>
      <c r="Z533" s="15">
        <v>1</v>
      </c>
      <c r="AA533" s="15">
        <v>0</v>
      </c>
      <c r="AB533" s="16">
        <f>100/(SUM(I533:Z533))</f>
        <v>1</v>
      </c>
      <c r="AC533" s="259">
        <f>SUM(I533:AA533)</f>
        <v>100</v>
      </c>
      <c r="AD533" s="15"/>
      <c r="AE533" s="15"/>
      <c r="AF533" s="15"/>
      <c r="AG533" s="17" t="s">
        <v>127</v>
      </c>
      <c r="AH533" s="18" t="s">
        <v>212</v>
      </c>
      <c r="AI533" s="18" t="s">
        <v>213</v>
      </c>
      <c r="AJ533" s="18" t="s">
        <v>225</v>
      </c>
      <c r="AK533" s="13" t="s">
        <v>229</v>
      </c>
      <c r="AL533" s="17">
        <f>(B533-DATE(1970,1,1))*86400</f>
        <v>1716163200</v>
      </c>
      <c r="AM533" s="17">
        <f>(C533-DATE(1970,1,1))*86400</f>
        <v>1716336000</v>
      </c>
      <c r="AN533" s="17">
        <f>AVERAGE(AL533:AM533)</f>
        <v>1716249600</v>
      </c>
    </row>
    <row r="534" spans="1:65" ht="15.75" customHeight="1" x14ac:dyDescent="0.2">
      <c r="A534" s="438" t="s">
        <v>133</v>
      </c>
      <c r="B534" s="439">
        <v>45429</v>
      </c>
      <c r="C534" s="439">
        <v>45434</v>
      </c>
      <c r="D534" s="440" t="s">
        <v>230</v>
      </c>
      <c r="E534" s="441" t="s">
        <v>184</v>
      </c>
      <c r="F534" s="440" t="s">
        <v>2495</v>
      </c>
      <c r="G534" s="440" t="s">
        <v>126</v>
      </c>
      <c r="H534" s="442">
        <v>1000</v>
      </c>
      <c r="I534" s="443">
        <v>31</v>
      </c>
      <c r="J534" s="443"/>
      <c r="K534" s="443"/>
      <c r="L534" s="443">
        <v>7</v>
      </c>
      <c r="M534" s="443"/>
      <c r="N534" s="443"/>
      <c r="O534" s="443"/>
      <c r="P534" s="443">
        <v>6</v>
      </c>
      <c r="Q534" s="443">
        <v>23</v>
      </c>
      <c r="R534" s="444"/>
      <c r="S534" s="443"/>
      <c r="T534" s="443">
        <v>0</v>
      </c>
      <c r="U534" s="443"/>
      <c r="V534" s="443">
        <v>12</v>
      </c>
      <c r="W534" s="443"/>
      <c r="X534" s="443">
        <v>4</v>
      </c>
      <c r="Y534" s="443">
        <v>16</v>
      </c>
      <c r="Z534" s="444">
        <v>1</v>
      </c>
      <c r="AA534" s="444">
        <v>0</v>
      </c>
      <c r="AB534" s="445">
        <f>100/(SUM(I534:Z534))</f>
        <v>1</v>
      </c>
      <c r="AC534" s="432">
        <f>SUM(I534:AA534)</f>
        <v>100</v>
      </c>
      <c r="AD534" s="443"/>
      <c r="AE534" s="443"/>
      <c r="AF534" s="443"/>
      <c r="AG534" s="446" t="s">
        <v>144</v>
      </c>
      <c r="AH534" s="447" t="s">
        <v>231</v>
      </c>
      <c r="AI534" s="447" t="s">
        <v>232</v>
      </c>
      <c r="AJ534" s="447" t="s">
        <v>233</v>
      </c>
      <c r="AK534" s="577" t="s">
        <v>234</v>
      </c>
      <c r="AL534" s="446">
        <f>(B534-DATE(1970,1,1))*86400</f>
        <v>1715904000</v>
      </c>
      <c r="AM534" s="446">
        <f>(C534-DATE(1970,1,1))*86400</f>
        <v>1716336000</v>
      </c>
      <c r="AN534" s="446">
        <f>AVERAGE(AL534:AM534)</f>
        <v>1716120000</v>
      </c>
    </row>
    <row r="535" spans="1:65" ht="15.75" customHeight="1" x14ac:dyDescent="0.2">
      <c r="A535" s="291" t="s">
        <v>123</v>
      </c>
      <c r="B535" s="90">
        <v>45413</v>
      </c>
      <c r="C535" s="90">
        <v>45441</v>
      </c>
      <c r="D535" s="47" t="s">
        <v>152</v>
      </c>
      <c r="E535" s="337" t="s">
        <v>125</v>
      </c>
      <c r="F535" s="47" t="s">
        <v>195</v>
      </c>
      <c r="G535" s="47" t="s">
        <v>126</v>
      </c>
      <c r="H535" s="356">
        <v>4000</v>
      </c>
      <c r="I535" s="49">
        <v>51</v>
      </c>
      <c r="J535" s="49"/>
      <c r="K535" s="49">
        <v>1</v>
      </c>
      <c r="L535" s="49">
        <v>1</v>
      </c>
      <c r="M535" s="49"/>
      <c r="N535" s="49"/>
      <c r="O535" s="49"/>
      <c r="P535" s="49">
        <v>1</v>
      </c>
      <c r="Q535" s="49">
        <v>8</v>
      </c>
      <c r="R535" s="49"/>
      <c r="S535" s="49">
        <v>1</v>
      </c>
      <c r="T535" s="49">
        <v>0</v>
      </c>
      <c r="U535" s="49"/>
      <c r="V535" s="49">
        <v>5</v>
      </c>
      <c r="W535" s="49">
        <v>2</v>
      </c>
      <c r="X535" s="49">
        <v>4</v>
      </c>
      <c r="Y535" s="49">
        <v>25</v>
      </c>
      <c r="Z535" s="49">
        <v>0</v>
      </c>
      <c r="AA535" s="49">
        <v>0</v>
      </c>
      <c r="AB535" s="50">
        <f>100/(SUM(I535:Z535))</f>
        <v>1.0101010101010102</v>
      </c>
      <c r="AC535" s="259">
        <f>SUM(I535:AA535)</f>
        <v>99</v>
      </c>
      <c r="AD535" s="49"/>
      <c r="AE535" s="49"/>
      <c r="AF535" s="49"/>
      <c r="AG535" s="51" t="s">
        <v>127</v>
      </c>
      <c r="AH535" s="52" t="s">
        <v>212</v>
      </c>
      <c r="AI535" s="52" t="s">
        <v>213</v>
      </c>
      <c r="AJ535" s="52" t="s">
        <v>235</v>
      </c>
      <c r="AK535" s="47" t="s">
        <v>236</v>
      </c>
      <c r="AL535" s="51">
        <f>(B535-DATE(1970,1,1))*86400</f>
        <v>1714521600</v>
      </c>
      <c r="AM535" s="51">
        <f>(C535-DATE(1970,1,1))*86400</f>
        <v>1716940800</v>
      </c>
      <c r="AN535" s="51">
        <f>AVERAGE(AL535:AM535)</f>
        <v>1715731200</v>
      </c>
    </row>
    <row r="536" spans="1:65" ht="15.75" customHeight="1" x14ac:dyDescent="0.2">
      <c r="A536" s="286" t="s">
        <v>133</v>
      </c>
      <c r="B536" s="41">
        <v>45420</v>
      </c>
      <c r="C536" s="41">
        <v>45426</v>
      </c>
      <c r="D536" s="40" t="s">
        <v>148</v>
      </c>
      <c r="E536" s="325" t="s">
        <v>125</v>
      </c>
      <c r="F536" s="40" t="s">
        <v>140</v>
      </c>
      <c r="G536" s="40" t="s">
        <v>126</v>
      </c>
      <c r="H536" s="325">
        <v>1000</v>
      </c>
      <c r="I536" s="42"/>
      <c r="J536" s="42"/>
      <c r="K536" s="42"/>
      <c r="L536" s="42"/>
      <c r="M536" s="42"/>
      <c r="N536" s="42"/>
      <c r="O536" s="42"/>
      <c r="P536" s="42"/>
      <c r="Q536" s="42"/>
      <c r="R536" s="43"/>
      <c r="S536" s="42"/>
      <c r="T536" s="42"/>
      <c r="U536" s="42"/>
      <c r="V536" s="42"/>
      <c r="W536" s="42"/>
      <c r="X536" s="42"/>
      <c r="Y536" s="42"/>
      <c r="Z536" s="42"/>
      <c r="AA536" s="42"/>
      <c r="AB536" s="44" t="e">
        <f>100/(SUM(I536:Z536))</f>
        <v>#DIV/0!</v>
      </c>
      <c r="AC536" s="259">
        <f>SUM(I536:AA536)</f>
        <v>0</v>
      </c>
      <c r="AD536" s="42"/>
      <c r="AE536" s="43"/>
      <c r="AF536" s="43"/>
      <c r="AG536" s="45" t="s">
        <v>237</v>
      </c>
      <c r="AH536" s="46"/>
      <c r="AI536" s="46"/>
      <c r="AJ536" s="46" t="s">
        <v>238</v>
      </c>
      <c r="AK536" s="40"/>
      <c r="AL536" s="45">
        <f>(B536-DATE(1970,1,1))*86400</f>
        <v>1715126400</v>
      </c>
      <c r="AM536" s="45">
        <f>(C536-DATE(1970,1,1))*86400</f>
        <v>1715644800</v>
      </c>
      <c r="AN536" s="45">
        <f>AVERAGE(AL536:AM536)</f>
        <v>1715385600</v>
      </c>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row>
    <row r="537" spans="1:65" ht="15.75" customHeight="1" x14ac:dyDescent="0.2">
      <c r="A537" s="281" t="s">
        <v>133</v>
      </c>
      <c r="B537" s="54">
        <v>45418</v>
      </c>
      <c r="C537" s="54">
        <v>45422</v>
      </c>
      <c r="D537" s="53" t="s">
        <v>154</v>
      </c>
      <c r="E537" s="323" t="s">
        <v>125</v>
      </c>
      <c r="F537" s="53" t="s">
        <v>2495</v>
      </c>
      <c r="G537" s="53" t="s">
        <v>126</v>
      </c>
      <c r="H537" s="357">
        <v>1075</v>
      </c>
      <c r="I537" s="55"/>
      <c r="J537" s="55"/>
      <c r="K537" s="55"/>
      <c r="L537" s="55"/>
      <c r="M537" s="55"/>
      <c r="N537" s="55"/>
      <c r="O537" s="55"/>
      <c r="P537" s="55"/>
      <c r="Q537" s="55"/>
      <c r="R537" s="56"/>
      <c r="S537" s="55"/>
      <c r="T537" s="55"/>
      <c r="U537" s="55"/>
      <c r="V537" s="55"/>
      <c r="W537" s="55"/>
      <c r="X537" s="55"/>
      <c r="Y537" s="55"/>
      <c r="Z537" s="55"/>
      <c r="AA537" s="55"/>
      <c r="AB537" s="57" t="e">
        <f>100/(SUM(I537:Z537))</f>
        <v>#DIV/0!</v>
      </c>
      <c r="AC537" s="259">
        <f>SUM(I537:AA537)</f>
        <v>0</v>
      </c>
      <c r="AD537" s="55"/>
      <c r="AE537" s="55"/>
      <c r="AF537" s="55"/>
      <c r="AG537" s="58" t="s">
        <v>155</v>
      </c>
      <c r="AH537" s="59" t="s">
        <v>239</v>
      </c>
      <c r="AI537" s="59"/>
      <c r="AJ537" s="59"/>
      <c r="AK537" s="53" t="s">
        <v>240</v>
      </c>
      <c r="AL537" s="58">
        <f>(B537-DATE(1970,1,1))*86400</f>
        <v>1714953600</v>
      </c>
      <c r="AM537" s="58">
        <f>(C537-DATE(1970,1,1))*86400</f>
        <v>1715299200</v>
      </c>
      <c r="AN537" s="58">
        <f>AVERAGE(AL537:AM537)</f>
        <v>1715126400</v>
      </c>
    </row>
    <row r="538" spans="1:65" ht="15.75" customHeight="1" x14ac:dyDescent="0.2">
      <c r="A538" s="286" t="s">
        <v>133</v>
      </c>
      <c r="B538" s="41">
        <v>45414</v>
      </c>
      <c r="C538" s="41">
        <v>45422</v>
      </c>
      <c r="D538" s="40" t="s">
        <v>148</v>
      </c>
      <c r="E538" s="325" t="s">
        <v>125</v>
      </c>
      <c r="F538" s="40" t="s">
        <v>195</v>
      </c>
      <c r="G538" s="40" t="s">
        <v>149</v>
      </c>
      <c r="H538" s="325">
        <v>1000</v>
      </c>
      <c r="I538" s="42">
        <v>28</v>
      </c>
      <c r="J538" s="42"/>
      <c r="K538" s="42">
        <v>2</v>
      </c>
      <c r="L538" s="42">
        <v>2</v>
      </c>
      <c r="M538" s="42"/>
      <c r="N538" s="42"/>
      <c r="O538" s="42"/>
      <c r="P538" s="42">
        <v>4</v>
      </c>
      <c r="Q538" s="42">
        <v>12</v>
      </c>
      <c r="R538" s="43"/>
      <c r="S538" s="42">
        <v>1</v>
      </c>
      <c r="T538" s="42"/>
      <c r="U538" s="42"/>
      <c r="V538" s="42">
        <v>2</v>
      </c>
      <c r="W538" s="42">
        <v>1</v>
      </c>
      <c r="X538" s="42">
        <v>4</v>
      </c>
      <c r="Y538" s="42">
        <v>19</v>
      </c>
      <c r="Z538" s="42">
        <v>1</v>
      </c>
      <c r="AA538" s="42">
        <v>24</v>
      </c>
      <c r="AB538" s="44">
        <f>100/(SUM(I538:Z538))</f>
        <v>1.3157894736842106</v>
      </c>
      <c r="AC538" s="259">
        <f>SUM(I538:AA538)</f>
        <v>100</v>
      </c>
      <c r="AD538" s="42"/>
      <c r="AE538" s="43"/>
      <c r="AF538" s="43"/>
      <c r="AG538" s="45" t="s">
        <v>241</v>
      </c>
      <c r="AH538" s="46" t="s">
        <v>242</v>
      </c>
      <c r="AI538" s="46"/>
      <c r="AJ538" s="46"/>
      <c r="AK538" s="40"/>
      <c r="AL538" s="45">
        <f>(B538-DATE(1970,1,1))*86400</f>
        <v>1714608000</v>
      </c>
      <c r="AM538" s="45">
        <f>(C538-DATE(1970,1,1))*86400</f>
        <v>1715299200</v>
      </c>
      <c r="AN538" s="45">
        <f>AVERAGE(AL538:AM538)</f>
        <v>1714953600</v>
      </c>
    </row>
    <row r="539" spans="1:65" ht="15.75" customHeight="1" x14ac:dyDescent="0.2">
      <c r="A539" s="286" t="s">
        <v>123</v>
      </c>
      <c r="B539" s="41">
        <v>45414</v>
      </c>
      <c r="C539" s="41">
        <v>45422</v>
      </c>
      <c r="D539" s="40" t="s">
        <v>148</v>
      </c>
      <c r="E539" s="325" t="s">
        <v>125</v>
      </c>
      <c r="F539" s="40" t="s">
        <v>195</v>
      </c>
      <c r="G539" s="40" t="s">
        <v>149</v>
      </c>
      <c r="H539" s="325">
        <v>1000</v>
      </c>
      <c r="I539" s="42">
        <v>39</v>
      </c>
      <c r="J539" s="42"/>
      <c r="K539" s="42">
        <v>1</v>
      </c>
      <c r="L539" s="42">
        <v>1</v>
      </c>
      <c r="M539" s="42"/>
      <c r="N539" s="42"/>
      <c r="O539" s="42"/>
      <c r="P539" s="42">
        <v>4</v>
      </c>
      <c r="Q539" s="42">
        <v>17</v>
      </c>
      <c r="R539" s="43"/>
      <c r="S539" s="42">
        <v>2</v>
      </c>
      <c r="T539" s="42">
        <v>0</v>
      </c>
      <c r="U539" s="42"/>
      <c r="V539" s="42">
        <v>3</v>
      </c>
      <c r="W539" s="42">
        <v>1</v>
      </c>
      <c r="X539" s="42">
        <v>6</v>
      </c>
      <c r="Y539" s="42">
        <v>26</v>
      </c>
      <c r="Z539" s="42">
        <v>0</v>
      </c>
      <c r="AA539" s="42">
        <v>0</v>
      </c>
      <c r="AB539" s="44">
        <f>100/(SUM(I539:Z539))</f>
        <v>1</v>
      </c>
      <c r="AC539" s="259">
        <f>SUM(I539:AA539)</f>
        <v>100</v>
      </c>
      <c r="AD539" s="42"/>
      <c r="AE539" s="43"/>
      <c r="AF539" s="43"/>
      <c r="AG539" s="45" t="s">
        <v>241</v>
      </c>
      <c r="AH539" s="46" t="s">
        <v>242</v>
      </c>
      <c r="AI539" s="46"/>
      <c r="AJ539" s="46"/>
      <c r="AK539" s="40"/>
      <c r="AL539" s="45">
        <f>(B539-DATE(1970,1,1))*86400</f>
        <v>1714608000</v>
      </c>
      <c r="AM539" s="45">
        <f>(C539-DATE(1970,1,1))*86400</f>
        <v>1715299200</v>
      </c>
      <c r="AN539" s="45">
        <f>AVERAGE(AL539:AM539)</f>
        <v>1714953600</v>
      </c>
    </row>
    <row r="540" spans="1:65" ht="15.75" customHeight="1" x14ac:dyDescent="0.2">
      <c r="A540" s="299" t="s">
        <v>133</v>
      </c>
      <c r="B540" s="92">
        <v>45408</v>
      </c>
      <c r="C540" s="92">
        <v>45418</v>
      </c>
      <c r="D540" s="91" t="s">
        <v>243</v>
      </c>
      <c r="E540" s="342" t="s">
        <v>184</v>
      </c>
      <c r="F540" s="91" t="s">
        <v>2495</v>
      </c>
      <c r="G540" s="91" t="s">
        <v>244</v>
      </c>
      <c r="H540" s="364">
        <v>500</v>
      </c>
      <c r="I540" s="93">
        <v>20</v>
      </c>
      <c r="J540" s="93"/>
      <c r="K540" s="93"/>
      <c r="L540" s="93">
        <v>16</v>
      </c>
      <c r="M540" s="93"/>
      <c r="N540" s="93"/>
      <c r="O540" s="93"/>
      <c r="P540" s="93">
        <v>4</v>
      </c>
      <c r="Q540" s="93">
        <v>23</v>
      </c>
      <c r="R540" s="94"/>
      <c r="S540" s="93"/>
      <c r="T540" s="93"/>
      <c r="U540" s="93"/>
      <c r="V540" s="93">
        <v>4</v>
      </c>
      <c r="W540" s="93"/>
      <c r="X540" s="93"/>
      <c r="Y540" s="93">
        <v>16</v>
      </c>
      <c r="Z540" s="93"/>
      <c r="AA540" s="93"/>
      <c r="AB540" s="95">
        <f>100/(SUM(I540:Z540))</f>
        <v>1.2048192771084338</v>
      </c>
      <c r="AC540" s="259">
        <f>SUM(I540:AA540)</f>
        <v>83</v>
      </c>
      <c r="AD540" s="93"/>
      <c r="AE540" s="94"/>
      <c r="AF540" s="94"/>
      <c r="AG540" s="96" t="s">
        <v>74</v>
      </c>
      <c r="AH540" s="97" t="s">
        <v>245</v>
      </c>
      <c r="AI540" s="97" t="s">
        <v>246</v>
      </c>
      <c r="AJ540" s="97"/>
      <c r="AK540" s="91" t="s">
        <v>247</v>
      </c>
      <c r="AL540" s="96">
        <f>(B540-DATE(1970,1,1))*86400</f>
        <v>1714089600</v>
      </c>
      <c r="AM540" s="96">
        <f>(C540-DATE(1970,1,1))*86400</f>
        <v>1714953600</v>
      </c>
      <c r="AN540" s="96">
        <f>AVERAGE(AL540:AM540)</f>
        <v>1714521600</v>
      </c>
    </row>
    <row r="541" spans="1:65" ht="15.75" customHeight="1" x14ac:dyDescent="0.2">
      <c r="A541" s="279" t="s">
        <v>123</v>
      </c>
      <c r="B541" s="14">
        <v>45411</v>
      </c>
      <c r="C541" s="14">
        <v>45414</v>
      </c>
      <c r="D541" s="13" t="s">
        <v>124</v>
      </c>
      <c r="E541" s="324" t="s">
        <v>125</v>
      </c>
      <c r="F541" s="13" t="s">
        <v>195</v>
      </c>
      <c r="G541" s="13" t="s">
        <v>126</v>
      </c>
      <c r="H541" s="349">
        <v>1000</v>
      </c>
      <c r="I541" s="15">
        <v>48</v>
      </c>
      <c r="J541" s="15"/>
      <c r="K541" s="15">
        <v>1</v>
      </c>
      <c r="L541" s="15">
        <v>1</v>
      </c>
      <c r="M541" s="15"/>
      <c r="N541" s="15"/>
      <c r="O541" s="15"/>
      <c r="P541" s="15">
        <v>1</v>
      </c>
      <c r="Q541" s="98">
        <v>11</v>
      </c>
      <c r="R541" s="15"/>
      <c r="S541" s="15">
        <v>1</v>
      </c>
      <c r="T541" s="98">
        <v>2</v>
      </c>
      <c r="U541" s="15"/>
      <c r="V541" s="15">
        <v>7</v>
      </c>
      <c r="W541" s="15">
        <v>3</v>
      </c>
      <c r="X541" s="15">
        <v>5</v>
      </c>
      <c r="Y541" s="98">
        <v>20</v>
      </c>
      <c r="Z541" s="15">
        <v>0</v>
      </c>
      <c r="AA541" s="15">
        <v>0</v>
      </c>
      <c r="AB541" s="16">
        <f>100/(SUM(I541:Z541))</f>
        <v>1</v>
      </c>
      <c r="AC541" s="259">
        <f>SUM(I541:AA541)</f>
        <v>100</v>
      </c>
      <c r="AD541" s="15"/>
      <c r="AE541" s="15"/>
      <c r="AF541" s="15"/>
      <c r="AG541" s="17" t="s">
        <v>127</v>
      </c>
      <c r="AH541" s="18" t="s">
        <v>248</v>
      </c>
      <c r="AI541" s="18" t="s">
        <v>249</v>
      </c>
      <c r="AJ541" s="18"/>
      <c r="AK541" s="13" t="s">
        <v>250</v>
      </c>
      <c r="AL541" s="17">
        <f>(B541-DATE(1970,1,1))*86400</f>
        <v>1714348800</v>
      </c>
      <c r="AM541" s="17">
        <f>(C541-DATE(1970,1,1))*86400</f>
        <v>1714608000</v>
      </c>
      <c r="AN541" s="17">
        <f>AVERAGE(AL541:AM541)</f>
        <v>1714478400</v>
      </c>
    </row>
    <row r="542" spans="1:65" ht="15.75" customHeight="1" x14ac:dyDescent="0.2">
      <c r="A542" s="279" t="s">
        <v>123</v>
      </c>
      <c r="B542" s="14">
        <v>45411</v>
      </c>
      <c r="C542" s="14">
        <v>45414</v>
      </c>
      <c r="D542" s="13" t="s">
        <v>124</v>
      </c>
      <c r="E542" s="324" t="s">
        <v>125</v>
      </c>
      <c r="F542" s="13"/>
      <c r="G542" s="13" t="s">
        <v>126</v>
      </c>
      <c r="H542" s="349">
        <v>1000</v>
      </c>
      <c r="I542" s="15">
        <v>44</v>
      </c>
      <c r="J542" s="15"/>
      <c r="K542" s="15">
        <v>1</v>
      </c>
      <c r="L542" s="15">
        <v>0</v>
      </c>
      <c r="M542" s="15"/>
      <c r="N542" s="15"/>
      <c r="O542" s="15"/>
      <c r="P542" s="15">
        <v>1</v>
      </c>
      <c r="Q542" s="15">
        <v>13</v>
      </c>
      <c r="R542" s="15"/>
      <c r="S542" s="15">
        <v>1</v>
      </c>
      <c r="T542" s="15">
        <v>2</v>
      </c>
      <c r="U542" s="15"/>
      <c r="V542" s="15">
        <v>7</v>
      </c>
      <c r="W542" s="15">
        <v>3</v>
      </c>
      <c r="X542" s="15">
        <v>6</v>
      </c>
      <c r="Y542" s="15">
        <v>22</v>
      </c>
      <c r="Z542" s="15">
        <v>0</v>
      </c>
      <c r="AA542" s="15">
        <v>0</v>
      </c>
      <c r="AB542" s="16">
        <f>100/(SUM(I542:Z542))</f>
        <v>1</v>
      </c>
      <c r="AC542" s="259">
        <f>SUM(I542:AA542)</f>
        <v>100</v>
      </c>
      <c r="AD542" s="15"/>
      <c r="AE542" s="15"/>
      <c r="AF542" s="15"/>
      <c r="AG542" s="17" t="s">
        <v>127</v>
      </c>
      <c r="AH542" s="18" t="s">
        <v>248</v>
      </c>
      <c r="AI542" s="18" t="s">
        <v>249</v>
      </c>
      <c r="AJ542" s="18"/>
      <c r="AK542" s="13" t="s">
        <v>251</v>
      </c>
      <c r="AL542" s="17">
        <f>(B542-DATE(1970,1,1))*86400</f>
        <v>1714348800</v>
      </c>
      <c r="AM542" s="17">
        <f>(C542-DATE(1970,1,1))*86400</f>
        <v>1714608000</v>
      </c>
      <c r="AN542" s="17">
        <f>AVERAGE(AL542:AM542)</f>
        <v>1714478400</v>
      </c>
    </row>
    <row r="543" spans="1:65" ht="15.75" customHeight="1" x14ac:dyDescent="0.2">
      <c r="A543" s="284" t="s">
        <v>133</v>
      </c>
      <c r="B543" s="20">
        <v>45407</v>
      </c>
      <c r="C543" s="20">
        <v>45416</v>
      </c>
      <c r="D543" s="19" t="s">
        <v>134</v>
      </c>
      <c r="E543" s="332" t="s">
        <v>125</v>
      </c>
      <c r="F543" s="19" t="s">
        <v>195</v>
      </c>
      <c r="G543" s="19" t="s">
        <v>135</v>
      </c>
      <c r="H543" s="332">
        <v>1500</v>
      </c>
      <c r="I543" s="21">
        <v>27</v>
      </c>
      <c r="J543" s="21"/>
      <c r="K543" s="21">
        <v>1</v>
      </c>
      <c r="L543" s="21">
        <v>0</v>
      </c>
      <c r="M543" s="21"/>
      <c r="N543" s="21"/>
      <c r="O543" s="21"/>
      <c r="P543" s="21">
        <v>3</v>
      </c>
      <c r="Q543" s="21">
        <v>12</v>
      </c>
      <c r="R543" s="22"/>
      <c r="S543" s="21">
        <v>1</v>
      </c>
      <c r="T543" s="21">
        <v>1</v>
      </c>
      <c r="U543" s="21"/>
      <c r="V543" s="21">
        <v>4</v>
      </c>
      <c r="W543" s="21">
        <v>2</v>
      </c>
      <c r="X543" s="21">
        <v>3</v>
      </c>
      <c r="Y543" s="21">
        <v>14</v>
      </c>
      <c r="Z543" s="21">
        <v>1</v>
      </c>
      <c r="AA543" s="21">
        <v>31</v>
      </c>
      <c r="AB543" s="23">
        <f>100/(SUM(I543:Z543))</f>
        <v>1.4492753623188406</v>
      </c>
      <c r="AC543" s="259">
        <f>SUM(I543:AA543)</f>
        <v>100</v>
      </c>
      <c r="AD543" s="24"/>
      <c r="AE543" s="24"/>
      <c r="AF543" s="24"/>
      <c r="AG543" s="25" t="s">
        <v>136</v>
      </c>
      <c r="AH543" s="26" t="s">
        <v>252</v>
      </c>
      <c r="AI543" s="26" t="s">
        <v>253</v>
      </c>
      <c r="AJ543" s="83" t="s">
        <v>254</v>
      </c>
      <c r="AK543" s="19" t="s">
        <v>255</v>
      </c>
      <c r="AL543" s="25">
        <f>(B543-DATE(1970,1,1))*86400</f>
        <v>1714003200</v>
      </c>
      <c r="AM543" s="25">
        <f>(C543-DATE(1970,1,1))*86400</f>
        <v>1714780800</v>
      </c>
      <c r="AN543" s="25">
        <f>AVERAGE(AL543:AM543)</f>
        <v>1714392000</v>
      </c>
    </row>
    <row r="544" spans="1:65" ht="15.75" customHeight="1" x14ac:dyDescent="0.2">
      <c r="A544" s="284" t="s">
        <v>133</v>
      </c>
      <c r="B544" s="20">
        <v>45407</v>
      </c>
      <c r="C544" s="20">
        <v>45416</v>
      </c>
      <c r="D544" s="19" t="s">
        <v>134</v>
      </c>
      <c r="E544" s="332" t="s">
        <v>125</v>
      </c>
      <c r="F544" s="19"/>
      <c r="G544" s="19" t="s">
        <v>135</v>
      </c>
      <c r="H544" s="332">
        <v>1500</v>
      </c>
      <c r="I544" s="21">
        <v>27</v>
      </c>
      <c r="J544" s="21">
        <v>1</v>
      </c>
      <c r="K544" s="21">
        <v>1</v>
      </c>
      <c r="L544" s="21">
        <v>1</v>
      </c>
      <c r="M544" s="21">
        <v>11</v>
      </c>
      <c r="N544" s="21"/>
      <c r="O544" s="21">
        <v>1</v>
      </c>
      <c r="P544" s="21">
        <v>3</v>
      </c>
      <c r="Q544" s="21"/>
      <c r="R544" s="22"/>
      <c r="S544" s="21">
        <v>1</v>
      </c>
      <c r="T544" s="21">
        <v>1</v>
      </c>
      <c r="U544" s="21"/>
      <c r="V544" s="21">
        <v>4</v>
      </c>
      <c r="W544" s="21">
        <v>3</v>
      </c>
      <c r="X544" s="21">
        <v>4</v>
      </c>
      <c r="Y544" s="21">
        <v>15</v>
      </c>
      <c r="Z544" s="21">
        <v>2</v>
      </c>
      <c r="AA544" s="21">
        <v>25</v>
      </c>
      <c r="AB544" s="23">
        <f>100/(SUM(I544:Z544))</f>
        <v>1.3333333333333333</v>
      </c>
      <c r="AC544" s="259">
        <f>SUM(I544:AA544)</f>
        <v>100</v>
      </c>
      <c r="AD544" s="24"/>
      <c r="AE544" s="24"/>
      <c r="AF544" s="24"/>
      <c r="AG544" s="25" t="s">
        <v>136</v>
      </c>
      <c r="AH544" s="26" t="s">
        <v>252</v>
      </c>
      <c r="AI544" s="26" t="s">
        <v>253</v>
      </c>
      <c r="AJ544" s="83" t="s">
        <v>254</v>
      </c>
      <c r="AK544" s="19"/>
      <c r="AL544" s="25">
        <f>(B544-DATE(1970,1,1))*86400</f>
        <v>1714003200</v>
      </c>
      <c r="AM544" s="25">
        <f>(C544-DATE(1970,1,1))*86400</f>
        <v>1714780800</v>
      </c>
      <c r="AN544" s="25">
        <f>AVERAGE(AL544:AM544)</f>
        <v>1714392000</v>
      </c>
    </row>
    <row r="545" spans="1:40" ht="15.75" customHeight="1" x14ac:dyDescent="0.2">
      <c r="A545" s="284" t="s">
        <v>123</v>
      </c>
      <c r="B545" s="20">
        <v>45407</v>
      </c>
      <c r="C545" s="20">
        <v>45416</v>
      </c>
      <c r="D545" s="19" t="s">
        <v>134</v>
      </c>
      <c r="E545" s="332" t="s">
        <v>125</v>
      </c>
      <c r="F545" s="19" t="s">
        <v>195</v>
      </c>
      <c r="G545" s="19" t="s">
        <v>135</v>
      </c>
      <c r="H545" s="332">
        <v>1500</v>
      </c>
      <c r="I545" s="21">
        <v>40</v>
      </c>
      <c r="J545" s="21"/>
      <c r="K545" s="21">
        <v>1</v>
      </c>
      <c r="L545" s="21">
        <v>0</v>
      </c>
      <c r="M545" s="21"/>
      <c r="N545" s="21"/>
      <c r="O545" s="21"/>
      <c r="P545" s="21">
        <v>4</v>
      </c>
      <c r="Q545" s="21">
        <v>17</v>
      </c>
      <c r="R545" s="22"/>
      <c r="S545" s="21">
        <v>1</v>
      </c>
      <c r="T545" s="21">
        <v>2</v>
      </c>
      <c r="U545" s="21"/>
      <c r="V545" s="21">
        <v>5</v>
      </c>
      <c r="W545" s="21">
        <v>3</v>
      </c>
      <c r="X545" s="21">
        <v>4</v>
      </c>
      <c r="Y545" s="21">
        <v>21</v>
      </c>
      <c r="Z545" s="21">
        <v>2</v>
      </c>
      <c r="AA545" s="21">
        <v>0</v>
      </c>
      <c r="AB545" s="23">
        <f>100/(SUM(I545:Z545))</f>
        <v>1</v>
      </c>
      <c r="AC545" s="259">
        <f>SUM(I545:AA545)</f>
        <v>100</v>
      </c>
      <c r="AD545" s="24"/>
      <c r="AE545" s="24"/>
      <c r="AF545" s="24"/>
      <c r="AG545" s="25" t="s">
        <v>136</v>
      </c>
      <c r="AH545" s="26" t="s">
        <v>252</v>
      </c>
      <c r="AI545" s="26" t="s">
        <v>253</v>
      </c>
      <c r="AJ545" s="83" t="s">
        <v>254</v>
      </c>
      <c r="AK545" s="19"/>
      <c r="AL545" s="25">
        <f>(B545-DATE(1970,1,1))*86400</f>
        <v>1714003200</v>
      </c>
      <c r="AM545" s="25">
        <f>(C545-DATE(1970,1,1))*86400</f>
        <v>1714780800</v>
      </c>
      <c r="AN545" s="25">
        <f>AVERAGE(AL545:AM545)</f>
        <v>1714392000</v>
      </c>
    </row>
    <row r="546" spans="1:40" ht="15.75" customHeight="1" x14ac:dyDescent="0.2">
      <c r="A546" s="284" t="s">
        <v>123</v>
      </c>
      <c r="B546" s="20">
        <v>45407</v>
      </c>
      <c r="C546" s="20">
        <v>45416</v>
      </c>
      <c r="D546" s="19" t="s">
        <v>134</v>
      </c>
      <c r="E546" s="332" t="s">
        <v>125</v>
      </c>
      <c r="F546" s="19"/>
      <c r="G546" s="19" t="s">
        <v>135</v>
      </c>
      <c r="H546" s="332">
        <v>1500</v>
      </c>
      <c r="I546" s="21">
        <v>39</v>
      </c>
      <c r="J546" s="21">
        <v>1</v>
      </c>
      <c r="K546" s="21">
        <v>1</v>
      </c>
      <c r="L546" s="21">
        <v>1</v>
      </c>
      <c r="M546" s="21">
        <v>15</v>
      </c>
      <c r="N546" s="21"/>
      <c r="O546" s="21">
        <v>1</v>
      </c>
      <c r="P546" s="21">
        <v>4</v>
      </c>
      <c r="Q546" s="21"/>
      <c r="R546" s="22"/>
      <c r="S546" s="21">
        <v>2</v>
      </c>
      <c r="T546" s="21">
        <v>2</v>
      </c>
      <c r="U546" s="21"/>
      <c r="V546" s="21">
        <v>4</v>
      </c>
      <c r="W546" s="21">
        <v>3</v>
      </c>
      <c r="X546" s="21">
        <v>4</v>
      </c>
      <c r="Y546" s="21">
        <v>21</v>
      </c>
      <c r="Z546" s="21">
        <v>2</v>
      </c>
      <c r="AA546" s="21">
        <v>0</v>
      </c>
      <c r="AB546" s="23">
        <f>100/(SUM(I546:Z546))</f>
        <v>1</v>
      </c>
      <c r="AC546" s="259">
        <f>SUM(I546:AA546)</f>
        <v>100</v>
      </c>
      <c r="AD546" s="24"/>
      <c r="AE546" s="24"/>
      <c r="AF546" s="24"/>
      <c r="AG546" s="25" t="s">
        <v>136</v>
      </c>
      <c r="AH546" s="26" t="s">
        <v>252</v>
      </c>
      <c r="AI546" s="26" t="s">
        <v>253</v>
      </c>
      <c r="AJ546" s="83" t="s">
        <v>254</v>
      </c>
      <c r="AK546" s="19"/>
      <c r="AL546" s="25">
        <f>(B546-DATE(1970,1,1))*86400</f>
        <v>1714003200</v>
      </c>
      <c r="AM546" s="25">
        <f>(C546-DATE(1970,1,1))*86400</f>
        <v>1714780800</v>
      </c>
      <c r="AN546" s="25">
        <f>AVERAGE(AL546:AM546)</f>
        <v>1714392000</v>
      </c>
    </row>
    <row r="547" spans="1:40" ht="15.75" customHeight="1" x14ac:dyDescent="0.2">
      <c r="A547" s="281" t="s">
        <v>133</v>
      </c>
      <c r="B547" s="54">
        <v>45408</v>
      </c>
      <c r="C547" s="54">
        <v>45412</v>
      </c>
      <c r="D547" s="53" t="s">
        <v>154</v>
      </c>
      <c r="E547" s="323" t="s">
        <v>125</v>
      </c>
      <c r="F547" s="53"/>
      <c r="G547" s="53" t="s">
        <v>126</v>
      </c>
      <c r="H547" s="357">
        <v>1000</v>
      </c>
      <c r="I547" s="55">
        <v>24</v>
      </c>
      <c r="J547" s="55">
        <v>3</v>
      </c>
      <c r="K547" s="55">
        <v>1</v>
      </c>
      <c r="L547" s="55">
        <v>1</v>
      </c>
      <c r="M547" s="55">
        <v>12</v>
      </c>
      <c r="N547" s="55"/>
      <c r="O547" s="55">
        <v>1</v>
      </c>
      <c r="P547" s="55">
        <v>2</v>
      </c>
      <c r="Q547" s="55"/>
      <c r="R547" s="56"/>
      <c r="S547" s="55"/>
      <c r="T547" s="55"/>
      <c r="U547" s="55">
        <v>3</v>
      </c>
      <c r="V547" s="55">
        <v>2</v>
      </c>
      <c r="W547" s="55"/>
      <c r="X547" s="55">
        <v>3</v>
      </c>
      <c r="Y547" s="55">
        <v>14</v>
      </c>
      <c r="Z547" s="55">
        <v>0</v>
      </c>
      <c r="AA547" s="55">
        <v>34</v>
      </c>
      <c r="AB547" s="57">
        <f>100/(SUM(I547:Z547))</f>
        <v>1.5151515151515151</v>
      </c>
      <c r="AC547" s="259">
        <f>SUM(I547:AA547)</f>
        <v>100</v>
      </c>
      <c r="AD547" s="55">
        <v>85</v>
      </c>
      <c r="AE547" s="55"/>
      <c r="AF547" s="55"/>
      <c r="AG547" s="58" t="s">
        <v>155</v>
      </c>
      <c r="AH547" s="59" t="s">
        <v>263</v>
      </c>
      <c r="AI547" s="59" t="s">
        <v>264</v>
      </c>
      <c r="AJ547" s="59" t="s">
        <v>258</v>
      </c>
      <c r="AK547" s="53" t="s">
        <v>265</v>
      </c>
      <c r="AL547" s="58">
        <f>(B547-DATE(1970,1,1))*86400</f>
        <v>1714089600</v>
      </c>
      <c r="AM547" s="58">
        <f>(C547-DATE(1970,1,1))*86400</f>
        <v>1714435200</v>
      </c>
      <c r="AN547" s="58">
        <f>AVERAGE(AL547:AM547)</f>
        <v>1714262400</v>
      </c>
    </row>
    <row r="548" spans="1:40" ht="15.75" customHeight="1" x14ac:dyDescent="0.2">
      <c r="A548" s="281" t="s">
        <v>133</v>
      </c>
      <c r="B548" s="54">
        <v>45408</v>
      </c>
      <c r="C548" s="54">
        <v>45412</v>
      </c>
      <c r="D548" s="53" t="s">
        <v>154</v>
      </c>
      <c r="E548" s="323" t="s">
        <v>125</v>
      </c>
      <c r="F548" s="53" t="s">
        <v>195</v>
      </c>
      <c r="G548" s="53" t="s">
        <v>126</v>
      </c>
      <c r="H548" s="357">
        <v>1000</v>
      </c>
      <c r="I548" s="55">
        <v>30</v>
      </c>
      <c r="J548" s="55"/>
      <c r="K548" s="55">
        <v>1</v>
      </c>
      <c r="L548" s="55">
        <v>1</v>
      </c>
      <c r="M548" s="55"/>
      <c r="N548" s="55"/>
      <c r="O548" s="55"/>
      <c r="P548" s="55">
        <v>2</v>
      </c>
      <c r="Q548" s="55">
        <v>16</v>
      </c>
      <c r="R548" s="56"/>
      <c r="S548" s="55">
        <v>0</v>
      </c>
      <c r="T548" s="55"/>
      <c r="U548" s="55"/>
      <c r="V548" s="55">
        <v>2</v>
      </c>
      <c r="W548" s="55"/>
      <c r="X548" s="55">
        <v>3</v>
      </c>
      <c r="Y548" s="55">
        <v>16</v>
      </c>
      <c r="Z548" s="55">
        <v>0</v>
      </c>
      <c r="AA548" s="55">
        <v>29</v>
      </c>
      <c r="AB548" s="57">
        <f>100/(SUM(I548:Z548))</f>
        <v>1.408450704225352</v>
      </c>
      <c r="AC548" s="259">
        <f>SUM(I548:AA548)</f>
        <v>100</v>
      </c>
      <c r="AD548" s="55"/>
      <c r="AE548" s="55">
        <v>3</v>
      </c>
      <c r="AF548" s="55">
        <v>22</v>
      </c>
      <c r="AG548" s="58" t="s">
        <v>155</v>
      </c>
      <c r="AH548" s="59" t="s">
        <v>256</v>
      </c>
      <c r="AI548" s="59" t="s">
        <v>257</v>
      </c>
      <c r="AJ548" s="59" t="s">
        <v>258</v>
      </c>
      <c r="AK548" s="53" t="s">
        <v>259</v>
      </c>
      <c r="AL548" s="58">
        <f>(B548-DATE(1970,1,1))*86400</f>
        <v>1714089600</v>
      </c>
      <c r="AM548" s="58">
        <f>(C548-DATE(1970,1,1))*86400</f>
        <v>1714435200</v>
      </c>
      <c r="AN548" s="58">
        <f>AVERAGE(AL548:AM548)</f>
        <v>1714262400</v>
      </c>
    </row>
    <row r="549" spans="1:40" ht="15.75" customHeight="1" x14ac:dyDescent="0.2">
      <c r="A549" s="281" t="s">
        <v>133</v>
      </c>
      <c r="B549" s="54">
        <v>45408</v>
      </c>
      <c r="C549" s="54">
        <v>45412</v>
      </c>
      <c r="D549" s="53" t="s">
        <v>154</v>
      </c>
      <c r="E549" s="323" t="s">
        <v>125</v>
      </c>
      <c r="F549" s="53" t="s">
        <v>2495</v>
      </c>
      <c r="G549" s="53" t="s">
        <v>126</v>
      </c>
      <c r="H549" s="362">
        <v>180</v>
      </c>
      <c r="I549" s="55">
        <v>29</v>
      </c>
      <c r="J549" s="55"/>
      <c r="K549" s="55">
        <v>1</v>
      </c>
      <c r="L549" s="55">
        <v>2</v>
      </c>
      <c r="M549" s="55"/>
      <c r="N549" s="55"/>
      <c r="O549" s="55"/>
      <c r="P549" s="55">
        <v>8</v>
      </c>
      <c r="Q549" s="55">
        <v>29</v>
      </c>
      <c r="R549" s="56"/>
      <c r="S549" s="55"/>
      <c r="T549" s="55"/>
      <c r="U549" s="55"/>
      <c r="V549" s="55">
        <v>1</v>
      </c>
      <c r="W549" s="55"/>
      <c r="X549" s="55">
        <v>1</v>
      </c>
      <c r="Y549" s="55">
        <v>8</v>
      </c>
      <c r="Z549" s="55">
        <v>0</v>
      </c>
      <c r="AA549" s="55">
        <v>21</v>
      </c>
      <c r="AB549" s="57">
        <f>100/(SUM(I549:Z549))</f>
        <v>1.2658227848101267</v>
      </c>
      <c r="AC549" s="259">
        <f>SUM(I549:AA549)</f>
        <v>100</v>
      </c>
      <c r="AD549" s="55"/>
      <c r="AE549" s="55"/>
      <c r="AF549" s="55"/>
      <c r="AG549" s="58" t="s">
        <v>155</v>
      </c>
      <c r="AH549" s="59" t="s">
        <v>256</v>
      </c>
      <c r="AI549" s="59"/>
      <c r="AJ549" s="59"/>
      <c r="AK549" s="53" t="s">
        <v>261</v>
      </c>
      <c r="AL549" s="58">
        <f>(B549-DATE(1970,1,1))*86400</f>
        <v>1714089600</v>
      </c>
      <c r="AM549" s="58">
        <f>(C549-DATE(1970,1,1))*86400</f>
        <v>1714435200</v>
      </c>
      <c r="AN549" s="58">
        <f>AVERAGE(AL549:AM549)</f>
        <v>1714262400</v>
      </c>
    </row>
    <row r="550" spans="1:40" ht="15.75" customHeight="1" x14ac:dyDescent="0.2">
      <c r="A550" s="281" t="s">
        <v>123</v>
      </c>
      <c r="B550" s="54">
        <v>45408</v>
      </c>
      <c r="C550" s="54">
        <v>45412</v>
      </c>
      <c r="D550" s="53" t="s">
        <v>154</v>
      </c>
      <c r="E550" s="323" t="s">
        <v>125</v>
      </c>
      <c r="F550" s="53"/>
      <c r="G550" s="53" t="s">
        <v>126</v>
      </c>
      <c r="H550" s="357">
        <v>1000</v>
      </c>
      <c r="I550" s="55">
        <v>33</v>
      </c>
      <c r="J550" s="55">
        <v>4</v>
      </c>
      <c r="K550" s="55">
        <v>1</v>
      </c>
      <c r="L550" s="55">
        <v>1</v>
      </c>
      <c r="M550" s="55">
        <v>15</v>
      </c>
      <c r="N550" s="55"/>
      <c r="O550" s="55">
        <v>1</v>
      </c>
      <c r="P550" s="55">
        <v>3</v>
      </c>
      <c r="Q550" s="55"/>
      <c r="R550" s="56"/>
      <c r="S550" s="55"/>
      <c r="T550" s="55"/>
      <c r="U550" s="55">
        <v>3</v>
      </c>
      <c r="V550" s="55">
        <v>2</v>
      </c>
      <c r="W550" s="55"/>
      <c r="X550" s="55">
        <v>3</v>
      </c>
      <c r="Y550" s="55">
        <v>16</v>
      </c>
      <c r="Z550" s="55">
        <v>0</v>
      </c>
      <c r="AA550" s="55">
        <v>18</v>
      </c>
      <c r="AB550" s="57">
        <f>100/(SUM(I550:Z550))</f>
        <v>1.2195121951219512</v>
      </c>
      <c r="AC550" s="259">
        <f>SUM(I550:AA550)</f>
        <v>100</v>
      </c>
      <c r="AD550" s="55"/>
      <c r="AE550" s="55"/>
      <c r="AF550" s="55"/>
      <c r="AG550" s="58" t="s">
        <v>155</v>
      </c>
      <c r="AH550" s="59" t="s">
        <v>263</v>
      </c>
      <c r="AI550" s="59" t="s">
        <v>264</v>
      </c>
      <c r="AJ550" s="59"/>
      <c r="AK550" s="53"/>
      <c r="AL550" s="58">
        <f>(B550-DATE(1970,1,1))*86400</f>
        <v>1714089600</v>
      </c>
      <c r="AM550" s="58">
        <f>(C550-DATE(1970,1,1))*86400</f>
        <v>1714435200</v>
      </c>
      <c r="AN550" s="58">
        <f>AVERAGE(AL550:AM550)</f>
        <v>1714262400</v>
      </c>
    </row>
    <row r="551" spans="1:40" ht="15.75" customHeight="1" x14ac:dyDescent="0.2">
      <c r="A551" s="281" t="s">
        <v>123</v>
      </c>
      <c r="B551" s="54">
        <v>45408</v>
      </c>
      <c r="C551" s="54">
        <v>45412</v>
      </c>
      <c r="D551" s="53" t="s">
        <v>154</v>
      </c>
      <c r="E551" s="323" t="s">
        <v>125</v>
      </c>
      <c r="F551" s="53" t="s">
        <v>2495</v>
      </c>
      <c r="G551" s="53" t="s">
        <v>126</v>
      </c>
      <c r="H551" s="362">
        <v>180</v>
      </c>
      <c r="I551" s="55">
        <v>33</v>
      </c>
      <c r="J551" s="55"/>
      <c r="K551" s="55">
        <v>2</v>
      </c>
      <c r="L551" s="55">
        <v>3</v>
      </c>
      <c r="M551" s="55"/>
      <c r="N551" s="55"/>
      <c r="O551" s="55"/>
      <c r="P551" s="55">
        <v>10</v>
      </c>
      <c r="Q551" s="55">
        <v>37</v>
      </c>
      <c r="R551" s="56"/>
      <c r="S551" s="55"/>
      <c r="T551" s="55"/>
      <c r="U551" s="55"/>
      <c r="V551" s="55">
        <v>2</v>
      </c>
      <c r="W551" s="55"/>
      <c r="X551" s="55">
        <v>2</v>
      </c>
      <c r="Y551" s="55">
        <v>11</v>
      </c>
      <c r="Z551" s="55">
        <v>0</v>
      </c>
      <c r="AA551" s="55">
        <v>0</v>
      </c>
      <c r="AB551" s="57">
        <f>100/(SUM(I551:Z551))</f>
        <v>1</v>
      </c>
      <c r="AC551" s="259">
        <f>SUM(I551:AA551)</f>
        <v>100</v>
      </c>
      <c r="AD551" s="55"/>
      <c r="AE551" s="55"/>
      <c r="AF551" s="55"/>
      <c r="AG551" s="58" t="s">
        <v>155</v>
      </c>
      <c r="AH551" s="59" t="s">
        <v>256</v>
      </c>
      <c r="AI551" s="59" t="s">
        <v>257</v>
      </c>
      <c r="AJ551" s="59"/>
      <c r="AK551" s="53" t="s">
        <v>262</v>
      </c>
      <c r="AL551" s="58">
        <f>(B551-DATE(1970,1,1))*86400</f>
        <v>1714089600</v>
      </c>
      <c r="AM551" s="58">
        <f>(C551-DATE(1970,1,1))*86400</f>
        <v>1714435200</v>
      </c>
      <c r="AN551" s="58">
        <f>AVERAGE(AL551:AM551)</f>
        <v>1714262400</v>
      </c>
    </row>
    <row r="552" spans="1:40" ht="15.75" customHeight="1" x14ac:dyDescent="0.2">
      <c r="A552" s="281" t="s">
        <v>123</v>
      </c>
      <c r="B552" s="54">
        <v>45408</v>
      </c>
      <c r="C552" s="54">
        <v>45412</v>
      </c>
      <c r="D552" s="53" t="s">
        <v>154</v>
      </c>
      <c r="E552" s="323" t="s">
        <v>125</v>
      </c>
      <c r="F552" s="53" t="s">
        <v>195</v>
      </c>
      <c r="G552" s="53" t="s">
        <v>126</v>
      </c>
      <c r="H552" s="357">
        <v>1000</v>
      </c>
      <c r="I552" s="55">
        <v>42</v>
      </c>
      <c r="J552" s="55"/>
      <c r="K552" s="55">
        <v>1</v>
      </c>
      <c r="L552" s="55">
        <v>1</v>
      </c>
      <c r="M552" s="55"/>
      <c r="N552" s="55"/>
      <c r="O552" s="55"/>
      <c r="P552" s="55">
        <v>3</v>
      </c>
      <c r="Q552" s="55">
        <v>24</v>
      </c>
      <c r="R552" s="56"/>
      <c r="S552" s="55">
        <v>0</v>
      </c>
      <c r="T552" s="55"/>
      <c r="U552" s="55"/>
      <c r="V552" s="55">
        <v>2</v>
      </c>
      <c r="W552" s="55"/>
      <c r="X552" s="55">
        <v>4</v>
      </c>
      <c r="Y552" s="55">
        <v>23</v>
      </c>
      <c r="Z552" s="55">
        <v>0</v>
      </c>
      <c r="AA552" s="55">
        <v>0</v>
      </c>
      <c r="AB552" s="57">
        <f>100/(SUM(I552:Z552))</f>
        <v>1</v>
      </c>
      <c r="AC552" s="259">
        <f>SUM(I552:AA552)</f>
        <v>100</v>
      </c>
      <c r="AD552" s="55"/>
      <c r="AE552" s="55">
        <v>6</v>
      </c>
      <c r="AF552" s="55">
        <v>23</v>
      </c>
      <c r="AG552" s="58" t="s">
        <v>155</v>
      </c>
      <c r="AH552" s="59" t="s">
        <v>256</v>
      </c>
      <c r="AI552" s="59" t="s">
        <v>257</v>
      </c>
      <c r="AJ552" s="59" t="s">
        <v>260</v>
      </c>
      <c r="AK552" s="53"/>
      <c r="AL552" s="58">
        <f>(B552-DATE(1970,1,1))*86400</f>
        <v>1714089600</v>
      </c>
      <c r="AM552" s="58">
        <f>(C552-DATE(1970,1,1))*86400</f>
        <v>1714435200</v>
      </c>
      <c r="AN552" s="58">
        <f>AVERAGE(AL552:AM552)</f>
        <v>1714262400</v>
      </c>
    </row>
    <row r="553" spans="1:40" ht="15.75" customHeight="1" x14ac:dyDescent="0.2">
      <c r="A553" s="281" t="s">
        <v>123</v>
      </c>
      <c r="B553" s="54">
        <v>45408</v>
      </c>
      <c r="C553" s="54">
        <v>45412</v>
      </c>
      <c r="D553" s="53" t="s">
        <v>154</v>
      </c>
      <c r="E553" s="323" t="s">
        <v>125</v>
      </c>
      <c r="F553" s="53"/>
      <c r="G553" s="53" t="s">
        <v>126</v>
      </c>
      <c r="H553" s="357">
        <v>1000</v>
      </c>
      <c r="I553" s="55">
        <v>42</v>
      </c>
      <c r="J553" s="55">
        <v>4</v>
      </c>
      <c r="K553" s="55">
        <v>1</v>
      </c>
      <c r="L553" s="55">
        <v>1</v>
      </c>
      <c r="M553" s="55">
        <v>18</v>
      </c>
      <c r="N553" s="55"/>
      <c r="O553" s="55">
        <v>1</v>
      </c>
      <c r="P553" s="55">
        <v>3</v>
      </c>
      <c r="Q553" s="55"/>
      <c r="R553" s="56"/>
      <c r="S553" s="55"/>
      <c r="T553" s="55"/>
      <c r="U553" s="55">
        <v>4</v>
      </c>
      <c r="V553" s="55">
        <v>3</v>
      </c>
      <c r="W553" s="55"/>
      <c r="X553" s="55">
        <v>4</v>
      </c>
      <c r="Y553" s="55">
        <v>20</v>
      </c>
      <c r="Z553" s="55">
        <v>0</v>
      </c>
      <c r="AA553" s="55">
        <v>0</v>
      </c>
      <c r="AB553" s="57">
        <f>100/(SUM(I553:Z553))</f>
        <v>0.99009900990099009</v>
      </c>
      <c r="AC553" s="259">
        <f>SUM(I553:AA553)</f>
        <v>101</v>
      </c>
      <c r="AD553" s="55"/>
      <c r="AE553" s="55"/>
      <c r="AF553" s="55"/>
      <c r="AG553" s="58" t="s">
        <v>155</v>
      </c>
      <c r="AH553" s="59" t="s">
        <v>256</v>
      </c>
      <c r="AI553" s="59" t="s">
        <v>257</v>
      </c>
      <c r="AJ553" s="59" t="s">
        <v>260</v>
      </c>
      <c r="AK553" s="53"/>
      <c r="AL553" s="58">
        <f>(B553-DATE(1970,1,1))*86400</f>
        <v>1714089600</v>
      </c>
      <c r="AM553" s="58">
        <f>(C553-DATE(1970,1,1))*86400</f>
        <v>1714435200</v>
      </c>
      <c r="AN553" s="58">
        <f>AVERAGE(AL553:AM553)</f>
        <v>1714262400</v>
      </c>
    </row>
    <row r="554" spans="1:40" ht="15.75" customHeight="1" x14ac:dyDescent="0.2">
      <c r="A554" s="285" t="s">
        <v>133</v>
      </c>
      <c r="B554" s="34">
        <v>45408</v>
      </c>
      <c r="C554" s="34">
        <v>45411</v>
      </c>
      <c r="D554" s="33" t="s">
        <v>143</v>
      </c>
      <c r="E554" s="319" t="s">
        <v>125</v>
      </c>
      <c r="F554" s="82" t="s">
        <v>195</v>
      </c>
      <c r="G554" s="33" t="s">
        <v>126</v>
      </c>
      <c r="H554" s="353">
        <v>1000</v>
      </c>
      <c r="I554" s="35">
        <v>32</v>
      </c>
      <c r="J554" s="35"/>
      <c r="K554" s="35">
        <v>1</v>
      </c>
      <c r="L554" s="35">
        <v>1</v>
      </c>
      <c r="M554" s="35"/>
      <c r="N554" s="35"/>
      <c r="O554" s="35"/>
      <c r="P554" s="35">
        <v>3</v>
      </c>
      <c r="Q554" s="35">
        <v>6</v>
      </c>
      <c r="R554" s="36"/>
      <c r="S554" s="35">
        <v>1</v>
      </c>
      <c r="T554" s="35">
        <v>1</v>
      </c>
      <c r="U554" s="35"/>
      <c r="V554" s="35">
        <v>5</v>
      </c>
      <c r="W554" s="35">
        <v>1</v>
      </c>
      <c r="X554" s="35">
        <v>4</v>
      </c>
      <c r="Y554" s="35">
        <v>17</v>
      </c>
      <c r="Z554" s="35">
        <v>1</v>
      </c>
      <c r="AA554" s="35">
        <v>27</v>
      </c>
      <c r="AB554" s="37">
        <f>100/(SUM(I554:Z554))</f>
        <v>1.3698630136986301</v>
      </c>
      <c r="AC554" s="259">
        <f>SUM(I554:AA554)</f>
        <v>100</v>
      </c>
      <c r="AD554" s="35"/>
      <c r="AE554" s="35"/>
      <c r="AF554" s="35"/>
      <c r="AG554" s="33" t="s">
        <v>144</v>
      </c>
      <c r="AH554" s="38" t="s">
        <v>266</v>
      </c>
      <c r="AI554" s="38" t="s">
        <v>267</v>
      </c>
      <c r="AJ554" s="33"/>
      <c r="AK554" s="33" t="s">
        <v>268</v>
      </c>
      <c r="AL554" s="39">
        <f>(B554-DATE(1970,1,1))*86400</f>
        <v>1714089600</v>
      </c>
      <c r="AM554" s="39">
        <f>(C554-DATE(1970,1,1))*86400</f>
        <v>1714348800</v>
      </c>
      <c r="AN554" s="39">
        <f>AVERAGE(AL554:AM554)</f>
        <v>1714219200</v>
      </c>
    </row>
    <row r="555" spans="1:40" ht="15.75" customHeight="1" x14ac:dyDescent="0.2">
      <c r="A555" s="285" t="s">
        <v>133</v>
      </c>
      <c r="B555" s="34">
        <v>45408</v>
      </c>
      <c r="C555" s="34">
        <v>45411</v>
      </c>
      <c r="D555" s="33" t="s">
        <v>143</v>
      </c>
      <c r="E555" s="319" t="s">
        <v>125</v>
      </c>
      <c r="F555" s="82" t="s">
        <v>195</v>
      </c>
      <c r="G555" s="33" t="s">
        <v>126</v>
      </c>
      <c r="H555" s="353">
        <v>1000</v>
      </c>
      <c r="I555" s="35">
        <v>44</v>
      </c>
      <c r="J555" s="35"/>
      <c r="K555" s="35">
        <v>1</v>
      </c>
      <c r="L555" s="35">
        <v>1</v>
      </c>
      <c r="M555" s="35"/>
      <c r="N555" s="35"/>
      <c r="O555" s="35"/>
      <c r="P555" s="35">
        <v>4</v>
      </c>
      <c r="Q555" s="35">
        <v>8</v>
      </c>
      <c r="R555" s="36"/>
      <c r="S555" s="35">
        <v>2</v>
      </c>
      <c r="T555" s="35">
        <v>2</v>
      </c>
      <c r="U555" s="35"/>
      <c r="V555" s="35">
        <v>6</v>
      </c>
      <c r="W555" s="35">
        <v>1</v>
      </c>
      <c r="X555" s="35">
        <v>6</v>
      </c>
      <c r="Y555" s="35">
        <v>23</v>
      </c>
      <c r="Z555" s="35">
        <v>1</v>
      </c>
      <c r="AA555" s="35">
        <v>0</v>
      </c>
      <c r="AB555" s="37">
        <f>100/(SUM(I555:Z555))</f>
        <v>1.0101010101010102</v>
      </c>
      <c r="AC555" s="259">
        <f>SUM(I555:AA555)</f>
        <v>99</v>
      </c>
      <c r="AD555" s="35"/>
      <c r="AE555" s="35"/>
      <c r="AF555" s="35"/>
      <c r="AG555" s="33" t="s">
        <v>144</v>
      </c>
      <c r="AH555" s="38" t="s">
        <v>266</v>
      </c>
      <c r="AI555" s="38" t="s">
        <v>267</v>
      </c>
      <c r="AJ555" s="33"/>
      <c r="AK555" s="33" t="s">
        <v>138</v>
      </c>
      <c r="AL555" s="39">
        <f>(B555-DATE(1970,1,1))*86400</f>
        <v>1714089600</v>
      </c>
      <c r="AM555" s="39">
        <f>(C555-DATE(1970,1,1))*86400</f>
        <v>1714348800</v>
      </c>
      <c r="AN555" s="39">
        <f>AVERAGE(AL555:AM555)</f>
        <v>1714219200</v>
      </c>
    </row>
    <row r="556" spans="1:40" ht="15.75" customHeight="1" x14ac:dyDescent="0.2">
      <c r="A556" s="285" t="s">
        <v>123</v>
      </c>
      <c r="B556" s="34">
        <v>45408</v>
      </c>
      <c r="C556" s="34">
        <v>45411</v>
      </c>
      <c r="D556" s="33" t="s">
        <v>143</v>
      </c>
      <c r="E556" s="319" t="s">
        <v>125</v>
      </c>
      <c r="F556" s="82" t="s">
        <v>195</v>
      </c>
      <c r="G556" s="33" t="s">
        <v>126</v>
      </c>
      <c r="H556" s="353">
        <v>1000</v>
      </c>
      <c r="I556" s="35">
        <v>45</v>
      </c>
      <c r="J556" s="35"/>
      <c r="K556" s="35">
        <v>1</v>
      </c>
      <c r="L556" s="35">
        <v>1</v>
      </c>
      <c r="M556" s="35"/>
      <c r="N556" s="35"/>
      <c r="O556" s="35"/>
      <c r="P556" s="35">
        <v>4</v>
      </c>
      <c r="Q556" s="35">
        <v>9</v>
      </c>
      <c r="R556" s="36"/>
      <c r="S556" s="35">
        <v>2</v>
      </c>
      <c r="T556" s="35">
        <v>1</v>
      </c>
      <c r="U556" s="35"/>
      <c r="V556" s="35">
        <v>6</v>
      </c>
      <c r="W556" s="35">
        <v>2</v>
      </c>
      <c r="X556" s="35">
        <v>4</v>
      </c>
      <c r="Y556" s="35">
        <v>25</v>
      </c>
      <c r="Z556" s="35">
        <v>0</v>
      </c>
      <c r="AA556" s="35">
        <v>0</v>
      </c>
      <c r="AB556" s="37">
        <f>100/(SUM(I556:Z556))</f>
        <v>1</v>
      </c>
      <c r="AC556" s="259">
        <f>SUM(I556:AA556)</f>
        <v>100</v>
      </c>
      <c r="AD556" s="35"/>
      <c r="AE556" s="35"/>
      <c r="AF556" s="35"/>
      <c r="AG556" s="33" t="s">
        <v>144</v>
      </c>
      <c r="AH556" s="190" t="s">
        <v>266</v>
      </c>
      <c r="AI556" s="38" t="s">
        <v>267</v>
      </c>
      <c r="AJ556" s="33"/>
      <c r="AK556" s="33" t="s">
        <v>138</v>
      </c>
      <c r="AL556" s="39">
        <f>(B556-DATE(1970,1,1))*86400</f>
        <v>1714089600</v>
      </c>
      <c r="AM556" s="39">
        <f>(C556-DATE(1970,1,1))*86400</f>
        <v>1714348800</v>
      </c>
      <c r="AN556" s="39">
        <f>AVERAGE(AL556:AM556)</f>
        <v>1714219200</v>
      </c>
    </row>
    <row r="557" spans="1:40" ht="15.75" customHeight="1" x14ac:dyDescent="0.2">
      <c r="A557" s="297" t="s">
        <v>133</v>
      </c>
      <c r="B557" s="60">
        <v>45404</v>
      </c>
      <c r="C557" s="60">
        <v>45408</v>
      </c>
      <c r="D557" s="61" t="s">
        <v>168</v>
      </c>
      <c r="E557" s="334" t="s">
        <v>125</v>
      </c>
      <c r="F557" s="62" t="s">
        <v>195</v>
      </c>
      <c r="G557" s="61" t="s">
        <v>126</v>
      </c>
      <c r="H557" s="334">
        <v>1000</v>
      </c>
      <c r="I557" s="63">
        <v>27</v>
      </c>
      <c r="J557" s="63"/>
      <c r="K557" s="63">
        <v>2</v>
      </c>
      <c r="L557" s="63">
        <v>2</v>
      </c>
      <c r="M557" s="63"/>
      <c r="N557" s="63"/>
      <c r="O557" s="63"/>
      <c r="P557" s="63">
        <v>4</v>
      </c>
      <c r="Q557" s="63">
        <v>19</v>
      </c>
      <c r="R557" s="64"/>
      <c r="S557" s="63">
        <v>0</v>
      </c>
      <c r="T557" s="63">
        <v>1</v>
      </c>
      <c r="U557" s="63"/>
      <c r="V557" s="63">
        <v>5</v>
      </c>
      <c r="W557" s="63">
        <v>1</v>
      </c>
      <c r="X557" s="63">
        <v>5</v>
      </c>
      <c r="Y557" s="63">
        <v>14</v>
      </c>
      <c r="Z557" s="63">
        <v>2</v>
      </c>
      <c r="AA557" s="63">
        <v>19</v>
      </c>
      <c r="AB557" s="65">
        <f>100/(SUM(I557:Z557))</f>
        <v>1.2195121951219512</v>
      </c>
      <c r="AC557" s="259">
        <f>SUM(I557:AA557)</f>
        <v>101</v>
      </c>
      <c r="AD557" s="63">
        <v>73</v>
      </c>
      <c r="AE557" s="64"/>
      <c r="AF557" s="64"/>
      <c r="AG557" s="66" t="s">
        <v>269</v>
      </c>
      <c r="AH557" s="200" t="s">
        <v>270</v>
      </c>
      <c r="AI557" s="67" t="s">
        <v>271</v>
      </c>
      <c r="AJ557" s="67"/>
      <c r="AK557" s="61" t="s">
        <v>272</v>
      </c>
      <c r="AL557" s="66">
        <f>(B557-DATE(1970,1,1))*86400</f>
        <v>1713744000</v>
      </c>
      <c r="AM557" s="66">
        <f>(C557-DATE(1970,1,1))*86400</f>
        <v>1714089600</v>
      </c>
      <c r="AN557" s="66">
        <f>AVERAGE(AL557:AM557)</f>
        <v>1713916800</v>
      </c>
    </row>
    <row r="558" spans="1:40" ht="15.75" customHeight="1" x14ac:dyDescent="0.2">
      <c r="A558" s="288" t="s">
        <v>133</v>
      </c>
      <c r="B558" s="60">
        <v>45404</v>
      </c>
      <c r="C558" s="60">
        <v>45408</v>
      </c>
      <c r="D558" s="61" t="s">
        <v>168</v>
      </c>
      <c r="E558" s="334" t="s">
        <v>125</v>
      </c>
      <c r="F558" s="62" t="s">
        <v>195</v>
      </c>
      <c r="G558" s="61" t="s">
        <v>126</v>
      </c>
      <c r="H558" s="334">
        <v>1000</v>
      </c>
      <c r="I558" s="63">
        <v>35</v>
      </c>
      <c r="J558" s="63"/>
      <c r="K558" s="63">
        <v>2</v>
      </c>
      <c r="L558" s="63">
        <v>2</v>
      </c>
      <c r="M558" s="63"/>
      <c r="N558" s="63"/>
      <c r="O558" s="63"/>
      <c r="P558" s="63">
        <v>5</v>
      </c>
      <c r="Q558" s="63">
        <v>22</v>
      </c>
      <c r="R558" s="64"/>
      <c r="S558" s="63">
        <v>0</v>
      </c>
      <c r="T558" s="63">
        <v>1</v>
      </c>
      <c r="U558" s="63"/>
      <c r="V558" s="63">
        <v>6</v>
      </c>
      <c r="W558" s="63">
        <v>1</v>
      </c>
      <c r="X558" s="63">
        <v>6</v>
      </c>
      <c r="Y558" s="63">
        <v>18</v>
      </c>
      <c r="Z558" s="63">
        <v>2</v>
      </c>
      <c r="AA558" s="63">
        <v>0</v>
      </c>
      <c r="AB558" s="65">
        <f>100/(SUM(I558:Z558))</f>
        <v>1</v>
      </c>
      <c r="AC558" s="259">
        <f>SUM(I558:AA558)</f>
        <v>100</v>
      </c>
      <c r="AD558" s="63"/>
      <c r="AE558" s="64"/>
      <c r="AF558" s="64"/>
      <c r="AG558" s="66" t="s">
        <v>269</v>
      </c>
      <c r="AH558" s="67" t="s">
        <v>270</v>
      </c>
      <c r="AI558" s="67" t="s">
        <v>271</v>
      </c>
      <c r="AJ558" s="67"/>
      <c r="AK558" s="61" t="s">
        <v>273</v>
      </c>
      <c r="AL558" s="66">
        <f>(B558-DATE(1970,1,1))*86400</f>
        <v>1713744000</v>
      </c>
      <c r="AM558" s="66">
        <f>(C558-DATE(1970,1,1))*86400</f>
        <v>1714089600</v>
      </c>
      <c r="AN558" s="66">
        <f>AVERAGE(AL558:AM558)</f>
        <v>1713916800</v>
      </c>
    </row>
    <row r="559" spans="1:40" ht="15.75" customHeight="1" x14ac:dyDescent="0.2">
      <c r="A559" s="288" t="s">
        <v>123</v>
      </c>
      <c r="B559" s="60">
        <v>45404</v>
      </c>
      <c r="C559" s="60">
        <v>45408</v>
      </c>
      <c r="D559" s="61" t="s">
        <v>168</v>
      </c>
      <c r="E559" s="334" t="s">
        <v>125</v>
      </c>
      <c r="F559" s="62" t="s">
        <v>195</v>
      </c>
      <c r="G559" s="61" t="s">
        <v>126</v>
      </c>
      <c r="H559" s="334">
        <v>1000</v>
      </c>
      <c r="I559" s="63">
        <v>37</v>
      </c>
      <c r="J559" s="63"/>
      <c r="K559" s="63">
        <v>2</v>
      </c>
      <c r="L559" s="63">
        <v>1</v>
      </c>
      <c r="M559" s="63"/>
      <c r="N559" s="63"/>
      <c r="O559" s="63"/>
      <c r="P559" s="63">
        <v>5</v>
      </c>
      <c r="Q559" s="63">
        <v>24</v>
      </c>
      <c r="R559" s="64"/>
      <c r="S559" s="63">
        <v>0</v>
      </c>
      <c r="T559" s="63">
        <v>1</v>
      </c>
      <c r="U559" s="63"/>
      <c r="V559" s="63">
        <v>5</v>
      </c>
      <c r="W559" s="63">
        <v>1</v>
      </c>
      <c r="X559" s="63">
        <v>5</v>
      </c>
      <c r="Y559" s="63">
        <v>17</v>
      </c>
      <c r="Z559" s="63">
        <v>2</v>
      </c>
      <c r="AA559" s="63">
        <v>0</v>
      </c>
      <c r="AB559" s="65">
        <f>100/(SUM(I559:Z559))</f>
        <v>1</v>
      </c>
      <c r="AC559" s="259">
        <f>SUM(I559:AA559)</f>
        <v>100</v>
      </c>
      <c r="AD559" s="63"/>
      <c r="AE559" s="64"/>
      <c r="AF559" s="64"/>
      <c r="AG559" s="66" t="s">
        <v>269</v>
      </c>
      <c r="AH559" s="67" t="s">
        <v>270</v>
      </c>
      <c r="AI559" s="67" t="s">
        <v>271</v>
      </c>
      <c r="AJ559" s="67"/>
      <c r="AK559" s="61" t="s">
        <v>274</v>
      </c>
      <c r="AL559" s="66">
        <f>(B559-DATE(1970,1,1))*86400</f>
        <v>1713744000</v>
      </c>
      <c r="AM559" s="66">
        <f>(C559-DATE(1970,1,1))*86400</f>
        <v>1714089600</v>
      </c>
      <c r="AN559" s="66">
        <f>AVERAGE(AL559:AM559)</f>
        <v>1713916800</v>
      </c>
    </row>
    <row r="560" spans="1:40" ht="15.75" customHeight="1" x14ac:dyDescent="0.2">
      <c r="A560" s="438" t="s">
        <v>133</v>
      </c>
      <c r="B560" s="439">
        <v>45397</v>
      </c>
      <c r="C560" s="439">
        <v>45412</v>
      </c>
      <c r="D560" s="440" t="s">
        <v>230</v>
      </c>
      <c r="E560" s="441" t="s">
        <v>184</v>
      </c>
      <c r="F560" s="440" t="s">
        <v>2495</v>
      </c>
      <c r="G560" s="440" t="s">
        <v>126</v>
      </c>
      <c r="H560" s="442">
        <v>1000</v>
      </c>
      <c r="I560" s="443"/>
      <c r="J560" s="443"/>
      <c r="K560" s="443"/>
      <c r="L560" s="443"/>
      <c r="M560" s="443"/>
      <c r="N560" s="443"/>
      <c r="O560" s="443"/>
      <c r="P560" s="443"/>
      <c r="Q560" s="443"/>
      <c r="R560" s="444"/>
      <c r="S560" s="443"/>
      <c r="T560" s="443"/>
      <c r="U560" s="443"/>
      <c r="V560" s="443"/>
      <c r="W560" s="443"/>
      <c r="X560" s="443"/>
      <c r="Y560" s="443"/>
      <c r="Z560" s="444"/>
      <c r="AA560" s="444"/>
      <c r="AB560" s="445" t="e">
        <f>100/(SUM(I560:Z560))</f>
        <v>#DIV/0!</v>
      </c>
      <c r="AC560" s="432">
        <f>SUM(I560:AA560)</f>
        <v>0</v>
      </c>
      <c r="AD560" s="443"/>
      <c r="AE560" s="443"/>
      <c r="AF560" s="443"/>
      <c r="AG560" s="446"/>
      <c r="AH560" s="447" t="s">
        <v>275</v>
      </c>
      <c r="AI560" s="447"/>
      <c r="AJ560" s="447"/>
      <c r="AK560" s="440"/>
      <c r="AL560" s="446">
        <f>(B560-DATE(1970,1,1))*86400</f>
        <v>1713139200</v>
      </c>
      <c r="AM560" s="446">
        <f>(C560-DATE(1970,1,1))*86400</f>
        <v>1714435200</v>
      </c>
      <c r="AN560" s="446">
        <f>AVERAGE(AL560:AM560)</f>
        <v>1713787200</v>
      </c>
    </row>
    <row r="561" spans="1:65" ht="15.75" customHeight="1" x14ac:dyDescent="0.2">
      <c r="A561" s="296" t="s">
        <v>133</v>
      </c>
      <c r="B561" s="100">
        <v>45399</v>
      </c>
      <c r="C561" s="100">
        <v>45401</v>
      </c>
      <c r="D561" s="99" t="s">
        <v>276</v>
      </c>
      <c r="E561" s="326" t="s">
        <v>125</v>
      </c>
      <c r="F561" s="99" t="s">
        <v>195</v>
      </c>
      <c r="G561" s="99" t="s">
        <v>126</v>
      </c>
      <c r="H561" s="326">
        <v>1073</v>
      </c>
      <c r="I561" s="101">
        <v>27</v>
      </c>
      <c r="J561" s="101"/>
      <c r="K561" s="101">
        <v>1</v>
      </c>
      <c r="L561" s="101"/>
      <c r="M561" s="101"/>
      <c r="N561" s="101"/>
      <c r="O561" s="101"/>
      <c r="P561" s="101">
        <v>1</v>
      </c>
      <c r="Q561" s="101">
        <v>5</v>
      </c>
      <c r="R561" s="101"/>
      <c r="S561" s="101"/>
      <c r="T561" s="101"/>
      <c r="U561" s="101"/>
      <c r="V561" s="101">
        <v>3</v>
      </c>
      <c r="W561" s="101">
        <v>1</v>
      </c>
      <c r="X561" s="101">
        <v>3</v>
      </c>
      <c r="Y561" s="101">
        <v>13</v>
      </c>
      <c r="Z561" s="101">
        <v>2</v>
      </c>
      <c r="AA561" s="101">
        <v>44</v>
      </c>
      <c r="AB561" s="102">
        <f>100/(SUM(I561:Z561))</f>
        <v>1.7857142857142858</v>
      </c>
      <c r="AC561" s="259">
        <f>SUM(I561:AA561)</f>
        <v>100</v>
      </c>
      <c r="AD561" s="101"/>
      <c r="AE561" s="101"/>
      <c r="AF561" s="101"/>
      <c r="AG561" s="103" t="s">
        <v>127</v>
      </c>
      <c r="AH561" s="104" t="s">
        <v>277</v>
      </c>
      <c r="AI561" s="104" t="s">
        <v>278</v>
      </c>
      <c r="AJ561" s="104" t="s">
        <v>279</v>
      </c>
      <c r="AK561" s="99" t="s">
        <v>280</v>
      </c>
      <c r="AL561" s="103">
        <f>(B561-DATE(1970,1,1))*86400</f>
        <v>1713312000</v>
      </c>
      <c r="AM561" s="103">
        <f>(C561-DATE(1970,1,1))*86400</f>
        <v>1713484800</v>
      </c>
      <c r="AN561" s="103">
        <f>AVERAGE(AL561:AM561)</f>
        <v>1713398400</v>
      </c>
    </row>
    <row r="562" spans="1:65" ht="15.75" customHeight="1" x14ac:dyDescent="0.2">
      <c r="A562" s="296" t="s">
        <v>133</v>
      </c>
      <c r="B562" s="100">
        <v>45399</v>
      </c>
      <c r="C562" s="100">
        <v>45401</v>
      </c>
      <c r="D562" s="99" t="s">
        <v>276</v>
      </c>
      <c r="E562" s="326" t="s">
        <v>125</v>
      </c>
      <c r="F562" s="99" t="s">
        <v>2495</v>
      </c>
      <c r="G562" s="99" t="s">
        <v>126</v>
      </c>
      <c r="H562" s="365">
        <v>190</v>
      </c>
      <c r="I562" s="101">
        <v>23</v>
      </c>
      <c r="J562" s="101"/>
      <c r="K562" s="101">
        <v>1</v>
      </c>
      <c r="L562" s="101"/>
      <c r="M562" s="101"/>
      <c r="N562" s="101"/>
      <c r="O562" s="101"/>
      <c r="P562" s="101">
        <v>3</v>
      </c>
      <c r="Q562" s="101">
        <v>7</v>
      </c>
      <c r="R562" s="101"/>
      <c r="S562" s="101"/>
      <c r="T562" s="101"/>
      <c r="U562" s="101"/>
      <c r="V562" s="101">
        <v>4</v>
      </c>
      <c r="W562" s="101">
        <v>2</v>
      </c>
      <c r="X562" s="101">
        <v>3</v>
      </c>
      <c r="Y562" s="101">
        <v>16</v>
      </c>
      <c r="Z562" s="101">
        <v>0</v>
      </c>
      <c r="AA562" s="101">
        <v>41</v>
      </c>
      <c r="AB562" s="102">
        <f>100/(SUM(I562:Z562))</f>
        <v>1.6949152542372881</v>
      </c>
      <c r="AC562" s="259">
        <f>SUM(I562:AA562)</f>
        <v>100</v>
      </c>
      <c r="AD562" s="101"/>
      <c r="AE562" s="101"/>
      <c r="AF562" s="101"/>
      <c r="AG562" s="103" t="s">
        <v>127</v>
      </c>
      <c r="AH562" s="104" t="s">
        <v>277</v>
      </c>
      <c r="AI562" s="104" t="s">
        <v>278</v>
      </c>
      <c r="AJ562" s="104" t="s">
        <v>279</v>
      </c>
      <c r="AK562" s="99" t="s">
        <v>280</v>
      </c>
      <c r="AL562" s="103">
        <f>(B562-DATE(1970,1,1))*86400</f>
        <v>1713312000</v>
      </c>
      <c r="AM562" s="103">
        <f>(C562-DATE(1970,1,1))*86400</f>
        <v>1713484800</v>
      </c>
      <c r="AN562" s="103">
        <f>AVERAGE(AL562:AM562)</f>
        <v>1713398400</v>
      </c>
    </row>
    <row r="563" spans="1:65" ht="15.75" customHeight="1" x14ac:dyDescent="0.2">
      <c r="A563" s="296" t="s">
        <v>133</v>
      </c>
      <c r="B563" s="100">
        <v>45399</v>
      </c>
      <c r="C563" s="100">
        <v>45401</v>
      </c>
      <c r="D563" s="99" t="s">
        <v>276</v>
      </c>
      <c r="E563" s="326" t="s">
        <v>125</v>
      </c>
      <c r="F563" s="99" t="s">
        <v>195</v>
      </c>
      <c r="G563" s="99" t="s">
        <v>126</v>
      </c>
      <c r="H563" s="326">
        <v>1073</v>
      </c>
      <c r="I563" s="101">
        <v>49</v>
      </c>
      <c r="J563" s="101"/>
      <c r="K563" s="101">
        <v>3</v>
      </c>
      <c r="L563" s="101"/>
      <c r="M563" s="101"/>
      <c r="N563" s="101"/>
      <c r="O563" s="101"/>
      <c r="P563" s="101">
        <v>3</v>
      </c>
      <c r="Q563" s="101">
        <v>8</v>
      </c>
      <c r="R563" s="101"/>
      <c r="S563" s="101"/>
      <c r="T563" s="101"/>
      <c r="U563" s="101"/>
      <c r="V563" s="101">
        <v>5</v>
      </c>
      <c r="W563" s="101">
        <v>2</v>
      </c>
      <c r="X563" s="101">
        <v>5</v>
      </c>
      <c r="Y563" s="101">
        <v>23</v>
      </c>
      <c r="Z563" s="101">
        <v>2</v>
      </c>
      <c r="AA563" s="101">
        <v>0</v>
      </c>
      <c r="AB563" s="102">
        <f>100/(SUM(I563:Z563))</f>
        <v>1</v>
      </c>
      <c r="AC563" s="259">
        <f>SUM(I563:AA563)</f>
        <v>100</v>
      </c>
      <c r="AD563" s="101"/>
      <c r="AE563" s="101">
        <v>11</v>
      </c>
      <c r="AF563" s="101">
        <v>6</v>
      </c>
      <c r="AG563" s="103" t="s">
        <v>127</v>
      </c>
      <c r="AH563" s="104" t="s">
        <v>277</v>
      </c>
      <c r="AI563" s="104" t="s">
        <v>278</v>
      </c>
      <c r="AJ563" s="104" t="s">
        <v>279</v>
      </c>
      <c r="AK563" s="99" t="s">
        <v>281</v>
      </c>
      <c r="AL563" s="103">
        <f>(B563-DATE(1970,1,1))*86400</f>
        <v>1713312000</v>
      </c>
      <c r="AM563" s="103">
        <f>(C563-DATE(1970,1,1))*86400</f>
        <v>1713484800</v>
      </c>
      <c r="AN563" s="103">
        <f>AVERAGE(AL563:AM563)</f>
        <v>1713398400</v>
      </c>
    </row>
    <row r="564" spans="1:65" ht="15.75" customHeight="1" x14ac:dyDescent="0.2">
      <c r="A564" s="296" t="s">
        <v>123</v>
      </c>
      <c r="B564" s="100">
        <v>45399</v>
      </c>
      <c r="C564" s="100">
        <v>45401</v>
      </c>
      <c r="D564" s="99" t="s">
        <v>276</v>
      </c>
      <c r="E564" s="326" t="s">
        <v>125</v>
      </c>
      <c r="F564" s="99" t="s">
        <v>195</v>
      </c>
      <c r="G564" s="99" t="s">
        <v>126</v>
      </c>
      <c r="H564" s="326">
        <v>1073</v>
      </c>
      <c r="I564" s="101">
        <v>50</v>
      </c>
      <c r="J564" s="101"/>
      <c r="K564" s="101">
        <v>1</v>
      </c>
      <c r="L564" s="101"/>
      <c r="M564" s="101"/>
      <c r="N564" s="101"/>
      <c r="O564" s="101"/>
      <c r="P564" s="101">
        <v>3</v>
      </c>
      <c r="Q564" s="101">
        <v>10</v>
      </c>
      <c r="R564" s="101"/>
      <c r="S564" s="101"/>
      <c r="T564" s="101"/>
      <c r="U564" s="101"/>
      <c r="V564" s="101">
        <v>4</v>
      </c>
      <c r="W564" s="101">
        <v>2</v>
      </c>
      <c r="X564" s="101">
        <v>3</v>
      </c>
      <c r="Y564" s="101">
        <v>26</v>
      </c>
      <c r="Z564" s="101">
        <v>1</v>
      </c>
      <c r="AA564" s="101">
        <v>0</v>
      </c>
      <c r="AB564" s="102">
        <f>100/(SUM(I564:Z564))</f>
        <v>1</v>
      </c>
      <c r="AC564" s="259">
        <f>SUM(I564:AA564)</f>
        <v>100</v>
      </c>
      <c r="AD564" s="101"/>
      <c r="AE564" s="101"/>
      <c r="AF564" s="101"/>
      <c r="AG564" s="103" t="s">
        <v>127</v>
      </c>
      <c r="AH564" s="104" t="s">
        <v>277</v>
      </c>
      <c r="AI564" s="104" t="s">
        <v>278</v>
      </c>
      <c r="AJ564" s="104" t="s">
        <v>279</v>
      </c>
      <c r="AK564" s="99" t="s">
        <v>138</v>
      </c>
      <c r="AL564" s="103">
        <f>(B564-DATE(1970,1,1))*86400</f>
        <v>1713312000</v>
      </c>
      <c r="AM564" s="103">
        <f>(C564-DATE(1970,1,1))*86400</f>
        <v>1713484800</v>
      </c>
      <c r="AN564" s="103">
        <f>AVERAGE(AL564:AM564)</f>
        <v>1713398400</v>
      </c>
    </row>
    <row r="565" spans="1:65" ht="15.75" customHeight="1" x14ac:dyDescent="0.2">
      <c r="A565" s="299" t="s">
        <v>133</v>
      </c>
      <c r="B565" s="105">
        <v>45398</v>
      </c>
      <c r="C565" s="105">
        <v>45400</v>
      </c>
      <c r="D565" s="91" t="s">
        <v>243</v>
      </c>
      <c r="E565" s="342" t="s">
        <v>184</v>
      </c>
      <c r="F565" s="91" t="s">
        <v>2495</v>
      </c>
      <c r="G565" s="91" t="s">
        <v>244</v>
      </c>
      <c r="H565" s="342">
        <v>500</v>
      </c>
      <c r="I565" s="93">
        <v>18</v>
      </c>
      <c r="J565" s="93"/>
      <c r="K565" s="93">
        <v>3</v>
      </c>
      <c r="L565" s="93">
        <v>15</v>
      </c>
      <c r="M565" s="93"/>
      <c r="N565" s="93"/>
      <c r="O565" s="93"/>
      <c r="P565" s="93">
        <v>4</v>
      </c>
      <c r="Q565" s="93">
        <v>29</v>
      </c>
      <c r="R565" s="94"/>
      <c r="S565" s="93"/>
      <c r="T565" s="93"/>
      <c r="U565" s="93"/>
      <c r="V565" s="93"/>
      <c r="W565" s="93"/>
      <c r="X565" s="93">
        <v>3</v>
      </c>
      <c r="Y565" s="93"/>
      <c r="Z565" s="93"/>
      <c r="AA565" s="93"/>
      <c r="AB565" s="95">
        <f>100/(SUM(I565:Z565))</f>
        <v>1.3888888888888888</v>
      </c>
      <c r="AC565" s="259">
        <f>SUM(I565:AA565)</f>
        <v>72</v>
      </c>
      <c r="AD565" s="93"/>
      <c r="AE565" s="94"/>
      <c r="AF565" s="94"/>
      <c r="AG565" s="96" t="s">
        <v>136</v>
      </c>
      <c r="AH565" s="97" t="s">
        <v>282</v>
      </c>
      <c r="AI565" s="97"/>
      <c r="AJ565" s="97"/>
      <c r="AK565" s="91" t="s">
        <v>283</v>
      </c>
      <c r="AL565" s="96">
        <f>(B565-DATE(1970,1,1))*86400</f>
        <v>1713225600</v>
      </c>
      <c r="AM565" s="96">
        <f>(C565-DATE(1970,1,1))*86400</f>
        <v>1713398400</v>
      </c>
      <c r="AN565" s="96">
        <f>AVERAGE(AL565:AM565)</f>
        <v>1713312000</v>
      </c>
    </row>
    <row r="566" spans="1:65" ht="15.75" customHeight="1" x14ac:dyDescent="0.2">
      <c r="A566" s="286" t="s">
        <v>133</v>
      </c>
      <c r="B566" s="106">
        <v>45392</v>
      </c>
      <c r="C566" s="106">
        <v>45402</v>
      </c>
      <c r="D566" s="40" t="s">
        <v>148</v>
      </c>
      <c r="E566" s="325" t="s">
        <v>125</v>
      </c>
      <c r="F566" s="40" t="s">
        <v>2495</v>
      </c>
      <c r="G566" s="40" t="s">
        <v>126</v>
      </c>
      <c r="H566" s="366">
        <v>600</v>
      </c>
      <c r="I566" s="42"/>
      <c r="J566" s="42"/>
      <c r="K566" s="42"/>
      <c r="L566" s="42"/>
      <c r="M566" s="42"/>
      <c r="N566" s="42"/>
      <c r="O566" s="42"/>
      <c r="P566" s="42"/>
      <c r="Q566" s="42"/>
      <c r="R566" s="43"/>
      <c r="S566" s="42"/>
      <c r="T566" s="42"/>
      <c r="U566" s="42"/>
      <c r="V566" s="42"/>
      <c r="W566" s="42"/>
      <c r="X566" s="42"/>
      <c r="Y566" s="42"/>
      <c r="Z566" s="42"/>
      <c r="AA566" s="42"/>
      <c r="AB566" s="44" t="e">
        <f>100/(SUM(I566:Z566))</f>
        <v>#DIV/0!</v>
      </c>
      <c r="AC566" s="259">
        <f>SUM(I566:AA566)</f>
        <v>0</v>
      </c>
      <c r="AD566" s="42"/>
      <c r="AE566" s="43"/>
      <c r="AF566" s="43"/>
      <c r="AG566" s="45"/>
      <c r="AH566" s="46" t="s">
        <v>284</v>
      </c>
      <c r="AI566" s="46"/>
      <c r="AJ566" s="46"/>
      <c r="AK566" s="40" t="s">
        <v>138</v>
      </c>
      <c r="AL566" s="45">
        <f>(B566-DATE(1970,1,1))*86400</f>
        <v>1712707200</v>
      </c>
      <c r="AM566" s="45">
        <f>(C566-DATE(1970,1,1))*86400</f>
        <v>1713571200</v>
      </c>
      <c r="AN566" s="45">
        <f>AVERAGE(AL566:AM566)</f>
        <v>1713139200</v>
      </c>
    </row>
    <row r="567" spans="1:65" ht="15.75" customHeight="1" x14ac:dyDescent="0.2">
      <c r="A567" s="296" t="s">
        <v>133</v>
      </c>
      <c r="B567" s="100">
        <v>45391</v>
      </c>
      <c r="C567" s="100">
        <v>45394</v>
      </c>
      <c r="D567" s="99" t="s">
        <v>276</v>
      </c>
      <c r="E567" s="326" t="s">
        <v>125</v>
      </c>
      <c r="F567" s="99" t="s">
        <v>195</v>
      </c>
      <c r="G567" s="99" t="s">
        <v>126</v>
      </c>
      <c r="H567" s="365">
        <v>1000</v>
      </c>
      <c r="I567" s="101">
        <v>53</v>
      </c>
      <c r="J567" s="101"/>
      <c r="K567" s="101">
        <v>2</v>
      </c>
      <c r="L567" s="101"/>
      <c r="M567" s="101"/>
      <c r="N567" s="101"/>
      <c r="O567" s="101"/>
      <c r="P567" s="101">
        <v>3</v>
      </c>
      <c r="Q567" s="101">
        <v>9</v>
      </c>
      <c r="R567" s="101"/>
      <c r="S567" s="101"/>
      <c r="T567" s="101"/>
      <c r="U567" s="101"/>
      <c r="V567" s="101">
        <v>4</v>
      </c>
      <c r="W567" s="101">
        <v>1</v>
      </c>
      <c r="X567" s="101">
        <v>6</v>
      </c>
      <c r="Y567" s="101">
        <v>20</v>
      </c>
      <c r="Z567" s="101">
        <v>2</v>
      </c>
      <c r="AA567" s="101">
        <v>0</v>
      </c>
      <c r="AB567" s="102">
        <f>100/(SUM(I567:Z567))</f>
        <v>1</v>
      </c>
      <c r="AC567" s="259">
        <f>SUM(I567:AA567)</f>
        <v>100</v>
      </c>
      <c r="AD567" s="101"/>
      <c r="AE567" s="101"/>
      <c r="AF567" s="101"/>
      <c r="AG567" s="103" t="s">
        <v>127</v>
      </c>
      <c r="AH567" s="104" t="s">
        <v>277</v>
      </c>
      <c r="AI567" s="104" t="s">
        <v>278</v>
      </c>
      <c r="AJ567" s="104"/>
      <c r="AK567" s="99" t="s">
        <v>138</v>
      </c>
      <c r="AL567" s="103">
        <f>(B567-DATE(1970,1,1))*86400</f>
        <v>1712620800</v>
      </c>
      <c r="AM567" s="103">
        <f>(C567-DATE(1970,1,1))*86400</f>
        <v>1712880000</v>
      </c>
      <c r="AN567" s="103">
        <f>AVERAGE(AL567:AM567)</f>
        <v>1712750400</v>
      </c>
    </row>
    <row r="568" spans="1:65" ht="15.75" customHeight="1" x14ac:dyDescent="0.2">
      <c r="A568" s="286" t="s">
        <v>133</v>
      </c>
      <c r="B568" s="41">
        <v>45386</v>
      </c>
      <c r="C568" s="41">
        <v>45393</v>
      </c>
      <c r="D568" s="40" t="s">
        <v>148</v>
      </c>
      <c r="E568" s="325" t="s">
        <v>125</v>
      </c>
      <c r="F568" s="40"/>
      <c r="G568" s="40" t="s">
        <v>126</v>
      </c>
      <c r="H568" s="366">
        <v>1000</v>
      </c>
      <c r="I568" s="42">
        <v>25</v>
      </c>
      <c r="J568" s="42">
        <v>2</v>
      </c>
      <c r="K568" s="42">
        <v>2</v>
      </c>
      <c r="L568" s="42">
        <v>2</v>
      </c>
      <c r="M568" s="42">
        <v>13</v>
      </c>
      <c r="N568" s="42"/>
      <c r="O568" s="42">
        <v>1</v>
      </c>
      <c r="P568" s="42">
        <v>5</v>
      </c>
      <c r="Q568" s="42"/>
      <c r="R568" s="43"/>
      <c r="S568" s="42">
        <v>1</v>
      </c>
      <c r="T568" s="42">
        <v>1</v>
      </c>
      <c r="U568" s="42"/>
      <c r="V568" s="42">
        <v>5</v>
      </c>
      <c r="W568" s="42">
        <v>1</v>
      </c>
      <c r="X568" s="42">
        <v>5</v>
      </c>
      <c r="Y568" s="42"/>
      <c r="Z568" s="42">
        <v>5</v>
      </c>
      <c r="AA568" s="42">
        <v>32</v>
      </c>
      <c r="AB568" s="44">
        <f>100/(SUM(I568:Z568))</f>
        <v>1.4705882352941178</v>
      </c>
      <c r="AC568" s="259">
        <f>SUM(I568:AA568)</f>
        <v>100</v>
      </c>
      <c r="AD568" s="42"/>
      <c r="AE568" s="43"/>
      <c r="AF568" s="43"/>
      <c r="AG568" s="45"/>
      <c r="AH568" s="46" t="s">
        <v>285</v>
      </c>
      <c r="AI568" s="46" t="s">
        <v>286</v>
      </c>
      <c r="AJ568" s="46" t="s">
        <v>288</v>
      </c>
      <c r="AK568" s="40" t="s">
        <v>289</v>
      </c>
      <c r="AL568" s="45">
        <f>(B568-DATE(1970,1,1))*86400</f>
        <v>1712188800</v>
      </c>
      <c r="AM568" s="45">
        <f>(C568-DATE(1970,1,1))*86400</f>
        <v>1712793600</v>
      </c>
      <c r="AN568" s="45">
        <f>AVERAGE(AL568:AM568)</f>
        <v>1712491200</v>
      </c>
    </row>
    <row r="569" spans="1:65" ht="15.75" customHeight="1" x14ac:dyDescent="0.2">
      <c r="A569" s="286" t="s">
        <v>133</v>
      </c>
      <c r="B569" s="41">
        <v>45386</v>
      </c>
      <c r="C569" s="41">
        <v>45393</v>
      </c>
      <c r="D569" s="40" t="s">
        <v>148</v>
      </c>
      <c r="E569" s="325" t="s">
        <v>125</v>
      </c>
      <c r="F569" s="40" t="s">
        <v>195</v>
      </c>
      <c r="G569" s="40" t="s">
        <v>126</v>
      </c>
      <c r="H569" s="366">
        <v>1000</v>
      </c>
      <c r="I569" s="42">
        <v>25</v>
      </c>
      <c r="J569" s="42"/>
      <c r="K569" s="42">
        <v>1</v>
      </c>
      <c r="L569" s="42">
        <v>2</v>
      </c>
      <c r="M569" s="42"/>
      <c r="N569" s="42"/>
      <c r="O569" s="42"/>
      <c r="P569" s="42">
        <v>5</v>
      </c>
      <c r="Q569" s="42">
        <v>18</v>
      </c>
      <c r="R569" s="43"/>
      <c r="S569" s="42"/>
      <c r="T569" s="42"/>
      <c r="U569" s="42"/>
      <c r="V569" s="42">
        <v>5</v>
      </c>
      <c r="W569" s="42"/>
      <c r="X569" s="42">
        <v>6</v>
      </c>
      <c r="Y569" s="42">
        <v>11</v>
      </c>
      <c r="Z569" s="42">
        <v>2</v>
      </c>
      <c r="AA569" s="42">
        <v>25</v>
      </c>
      <c r="AB569" s="44">
        <f>100/(SUM(I569:Z569))</f>
        <v>1.3333333333333333</v>
      </c>
      <c r="AC569" s="259">
        <f>SUM(I569:AA569)</f>
        <v>100</v>
      </c>
      <c r="AD569" s="42"/>
      <c r="AE569" s="43"/>
      <c r="AF569" s="43"/>
      <c r="AG569" s="45"/>
      <c r="AH569" s="46" t="s">
        <v>285</v>
      </c>
      <c r="AI569" s="46" t="s">
        <v>286</v>
      </c>
      <c r="AJ569" s="46" t="s">
        <v>287</v>
      </c>
      <c r="AK569" s="40" t="s">
        <v>1811</v>
      </c>
      <c r="AL569" s="45">
        <f>(B569-DATE(1970,1,1))*86400</f>
        <v>1712188800</v>
      </c>
      <c r="AM569" s="45">
        <f>(C569-DATE(1970,1,1))*86400</f>
        <v>1712793600</v>
      </c>
      <c r="AN569" s="45">
        <f>AVERAGE(AL569:AM569)</f>
        <v>1712491200</v>
      </c>
    </row>
    <row r="570" spans="1:65" ht="15.75" customHeight="1" x14ac:dyDescent="0.2">
      <c r="A570" s="286" t="s">
        <v>123</v>
      </c>
      <c r="B570" s="41">
        <v>45386</v>
      </c>
      <c r="C570" s="41">
        <v>45393</v>
      </c>
      <c r="D570" s="40" t="s">
        <v>148</v>
      </c>
      <c r="E570" s="325" t="s">
        <v>125</v>
      </c>
      <c r="F570" s="40" t="s">
        <v>195</v>
      </c>
      <c r="G570" s="40" t="s">
        <v>126</v>
      </c>
      <c r="H570" s="366">
        <v>1000</v>
      </c>
      <c r="I570" s="42">
        <v>33</v>
      </c>
      <c r="J570" s="42"/>
      <c r="K570" s="42">
        <v>1</v>
      </c>
      <c r="L570" s="42">
        <v>3</v>
      </c>
      <c r="M570" s="42"/>
      <c r="N570" s="42"/>
      <c r="O570" s="42"/>
      <c r="P570" s="42">
        <v>7</v>
      </c>
      <c r="Q570" s="42">
        <v>26</v>
      </c>
      <c r="R570" s="43"/>
      <c r="S570" s="42"/>
      <c r="T570" s="42"/>
      <c r="U570" s="42"/>
      <c r="V570" s="42">
        <v>5</v>
      </c>
      <c r="W570" s="42"/>
      <c r="X570" s="42">
        <v>8</v>
      </c>
      <c r="Y570" s="42">
        <v>14</v>
      </c>
      <c r="Z570" s="42">
        <v>3</v>
      </c>
      <c r="AA570" s="42">
        <v>0</v>
      </c>
      <c r="AB570" s="44">
        <f>100/(SUM(I570:Z570))</f>
        <v>1</v>
      </c>
      <c r="AC570" s="259">
        <f>SUM(I570:AA570)</f>
        <v>100</v>
      </c>
      <c r="AD570" s="42"/>
      <c r="AE570" s="43"/>
      <c r="AF570" s="43"/>
      <c r="AG570" s="45"/>
      <c r="AH570" s="189" t="s">
        <v>285</v>
      </c>
      <c r="AI570" s="46" t="s">
        <v>286</v>
      </c>
      <c r="AJ570" s="46" t="s">
        <v>287</v>
      </c>
      <c r="AK570" s="40" t="s">
        <v>1812</v>
      </c>
      <c r="AL570" s="45">
        <f>(B570-DATE(1970,1,1))*86400</f>
        <v>1712188800</v>
      </c>
      <c r="AM570" s="45">
        <f>(C570-DATE(1970,1,1))*86400</f>
        <v>1712793600</v>
      </c>
      <c r="AN570" s="45">
        <f>AVERAGE(AL570:AM570)</f>
        <v>1712491200</v>
      </c>
    </row>
    <row r="571" spans="1:65" ht="15.75" customHeight="1" x14ac:dyDescent="0.2">
      <c r="A571" s="286" t="s">
        <v>123</v>
      </c>
      <c r="B571" s="41">
        <v>45386</v>
      </c>
      <c r="C571" s="41">
        <v>45393</v>
      </c>
      <c r="D571" s="40" t="s">
        <v>148</v>
      </c>
      <c r="E571" s="325" t="s">
        <v>125</v>
      </c>
      <c r="F571" s="40"/>
      <c r="G571" s="40" t="s">
        <v>126</v>
      </c>
      <c r="H571" s="366">
        <v>1000</v>
      </c>
      <c r="I571" s="42">
        <v>34</v>
      </c>
      <c r="J571" s="42">
        <v>4</v>
      </c>
      <c r="K571" s="42">
        <v>2</v>
      </c>
      <c r="L571" s="42">
        <v>2</v>
      </c>
      <c r="M571" s="42">
        <v>22</v>
      </c>
      <c r="N571" s="42"/>
      <c r="O571" s="42">
        <v>1</v>
      </c>
      <c r="P571" s="42">
        <v>8</v>
      </c>
      <c r="Q571" s="42"/>
      <c r="R571" s="43"/>
      <c r="S571" s="42">
        <v>1</v>
      </c>
      <c r="T571" s="42">
        <v>2</v>
      </c>
      <c r="U571" s="42"/>
      <c r="V571" s="42">
        <v>6</v>
      </c>
      <c r="W571" s="42">
        <v>1</v>
      </c>
      <c r="X571" s="42">
        <v>8</v>
      </c>
      <c r="Y571" s="42"/>
      <c r="Z571" s="42">
        <v>9</v>
      </c>
      <c r="AA571" s="42">
        <v>0</v>
      </c>
      <c r="AB571" s="44">
        <f>100/(SUM(I571:Z571))</f>
        <v>1</v>
      </c>
      <c r="AC571" s="259">
        <f>SUM(I571:AA571)</f>
        <v>100</v>
      </c>
      <c r="AD571" s="42"/>
      <c r="AE571" s="43"/>
      <c r="AF571" s="43"/>
      <c r="AG571" s="45"/>
      <c r="AH571" s="46" t="s">
        <v>285</v>
      </c>
      <c r="AI571" s="46" t="s">
        <v>286</v>
      </c>
      <c r="AJ571" s="46" t="s">
        <v>288</v>
      </c>
      <c r="AK571" s="40" t="s">
        <v>289</v>
      </c>
      <c r="AL571" s="45">
        <f>(B571-DATE(1970,1,1))*86400</f>
        <v>1712188800</v>
      </c>
      <c r="AM571" s="45">
        <f>(C571-DATE(1970,1,1))*86400</f>
        <v>1712793600</v>
      </c>
      <c r="AN571" s="45">
        <f>AVERAGE(AL571:AM571)</f>
        <v>1712491200</v>
      </c>
    </row>
    <row r="572" spans="1:65" ht="15.75" customHeight="1" x14ac:dyDescent="0.2">
      <c r="A572" s="284" t="s">
        <v>133</v>
      </c>
      <c r="B572" s="20">
        <v>45382</v>
      </c>
      <c r="C572" s="20">
        <v>45390</v>
      </c>
      <c r="D572" s="19" t="s">
        <v>134</v>
      </c>
      <c r="E572" s="332" t="s">
        <v>125</v>
      </c>
      <c r="F572" s="19"/>
      <c r="G572" s="19" t="s">
        <v>135</v>
      </c>
      <c r="H572" s="332">
        <v>1500</v>
      </c>
      <c r="I572" s="21">
        <v>25</v>
      </c>
      <c r="J572" s="21">
        <v>1</v>
      </c>
      <c r="K572" s="21">
        <v>1</v>
      </c>
      <c r="L572" s="21">
        <v>1</v>
      </c>
      <c r="M572" s="21">
        <v>11</v>
      </c>
      <c r="N572" s="21"/>
      <c r="O572" s="21">
        <v>1</v>
      </c>
      <c r="P572" s="21">
        <v>4</v>
      </c>
      <c r="Q572" s="21"/>
      <c r="R572" s="22"/>
      <c r="S572" s="21">
        <v>2</v>
      </c>
      <c r="T572" s="21">
        <v>3</v>
      </c>
      <c r="U572" s="21"/>
      <c r="V572" s="21">
        <v>4</v>
      </c>
      <c r="W572" s="21"/>
      <c r="X572" s="21">
        <v>4</v>
      </c>
      <c r="Y572" s="21"/>
      <c r="Z572" s="21">
        <v>10</v>
      </c>
      <c r="AA572" s="21">
        <v>33</v>
      </c>
      <c r="AB572" s="23">
        <f>100/(SUM(I572:Z572))</f>
        <v>1.4925373134328359</v>
      </c>
      <c r="AC572" s="259">
        <f>SUM(I572:AA572)</f>
        <v>100</v>
      </c>
      <c r="AD572" s="24"/>
      <c r="AE572" s="24"/>
      <c r="AF572" s="24"/>
      <c r="AG572" s="25" t="s">
        <v>136</v>
      </c>
      <c r="AH572" s="26" t="s">
        <v>290</v>
      </c>
      <c r="AI572" s="26" t="s">
        <v>1810</v>
      </c>
      <c r="AJ572" s="83"/>
      <c r="AK572" s="19"/>
      <c r="AL572" s="25">
        <f>(B572-DATE(1970,1,1))*86400</f>
        <v>1711843200</v>
      </c>
      <c r="AM572" s="25">
        <f>(C572-DATE(1970,1,1))*86400</f>
        <v>1712534400</v>
      </c>
      <c r="AN572" s="25">
        <f>AVERAGE(AL572:AM572)</f>
        <v>1712188800</v>
      </c>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row>
    <row r="573" spans="1:65" ht="15.75" customHeight="1" x14ac:dyDescent="0.2">
      <c r="A573" s="284" t="s">
        <v>123</v>
      </c>
      <c r="B573" s="20">
        <v>45382</v>
      </c>
      <c r="C573" s="20">
        <v>45390</v>
      </c>
      <c r="D573" s="19" t="s">
        <v>134</v>
      </c>
      <c r="E573" s="332" t="s">
        <v>125</v>
      </c>
      <c r="F573" s="19"/>
      <c r="G573" s="19" t="s">
        <v>135</v>
      </c>
      <c r="H573" s="332">
        <v>1500</v>
      </c>
      <c r="I573" s="21">
        <v>38</v>
      </c>
      <c r="J573" s="21">
        <v>2</v>
      </c>
      <c r="K573" s="21">
        <v>1</v>
      </c>
      <c r="L573" s="21">
        <v>1</v>
      </c>
      <c r="M573" s="21">
        <v>17</v>
      </c>
      <c r="N573" s="21"/>
      <c r="O573" s="21">
        <v>1</v>
      </c>
      <c r="P573" s="21">
        <v>6</v>
      </c>
      <c r="Q573" s="21"/>
      <c r="R573" s="22"/>
      <c r="S573" s="21">
        <v>3</v>
      </c>
      <c r="T573" s="21">
        <v>4</v>
      </c>
      <c r="U573" s="21"/>
      <c r="V573" s="21">
        <v>6</v>
      </c>
      <c r="W573" s="21"/>
      <c r="X573" s="21">
        <v>6</v>
      </c>
      <c r="Y573" s="21"/>
      <c r="Z573" s="21">
        <v>15</v>
      </c>
      <c r="AA573" s="21">
        <v>0</v>
      </c>
      <c r="AB573" s="23">
        <f>100/(SUM(I573:Z573))</f>
        <v>1</v>
      </c>
      <c r="AC573" s="259">
        <f>SUM(I573:AA573)</f>
        <v>100</v>
      </c>
      <c r="AD573" s="24"/>
      <c r="AE573" s="24"/>
      <c r="AF573" s="24"/>
      <c r="AG573" s="25" t="s">
        <v>136</v>
      </c>
      <c r="AH573" s="219" t="s">
        <v>1809</v>
      </c>
      <c r="AI573" s="26" t="s">
        <v>1810</v>
      </c>
      <c r="AJ573" s="83"/>
      <c r="AK573" s="19" t="s">
        <v>2215</v>
      </c>
      <c r="AL573" s="25">
        <f>(B573-DATE(1970,1,1))*86400</f>
        <v>1711843200</v>
      </c>
      <c r="AM573" s="25">
        <f>(C573-DATE(1970,1,1))*86400</f>
        <v>1712534400</v>
      </c>
      <c r="AN573" s="25">
        <f>AVERAGE(AL573:AM573)</f>
        <v>1712188800</v>
      </c>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row>
    <row r="574" spans="1:65" ht="15.75" customHeight="1" x14ac:dyDescent="0.2">
      <c r="A574" s="279" t="s">
        <v>123</v>
      </c>
      <c r="B574" s="14">
        <v>45384</v>
      </c>
      <c r="C574" s="14">
        <v>45386</v>
      </c>
      <c r="D574" s="13" t="s">
        <v>124</v>
      </c>
      <c r="E574" s="324" t="s">
        <v>125</v>
      </c>
      <c r="F574" s="13" t="s">
        <v>195</v>
      </c>
      <c r="G574" s="13" t="s">
        <v>126</v>
      </c>
      <c r="H574" s="349">
        <v>1000</v>
      </c>
      <c r="I574" s="15">
        <v>47</v>
      </c>
      <c r="J574" s="15"/>
      <c r="K574" s="15">
        <v>1</v>
      </c>
      <c r="L574" s="15">
        <v>1</v>
      </c>
      <c r="M574" s="15"/>
      <c r="N574" s="15"/>
      <c r="O574" s="15"/>
      <c r="P574" s="15">
        <v>4</v>
      </c>
      <c r="Q574" s="15">
        <v>13</v>
      </c>
      <c r="R574" s="15"/>
      <c r="S574" s="15">
        <v>1</v>
      </c>
      <c r="T574" s="15">
        <v>2</v>
      </c>
      <c r="U574" s="15"/>
      <c r="V574" s="15">
        <v>11</v>
      </c>
      <c r="W574" s="15">
        <v>2</v>
      </c>
      <c r="X574" s="15">
        <v>6</v>
      </c>
      <c r="Y574" s="15">
        <v>13</v>
      </c>
      <c r="Z574" s="15">
        <v>0</v>
      </c>
      <c r="AA574" s="15">
        <v>0</v>
      </c>
      <c r="AB574" s="16">
        <f>100/(SUM(I574:Z574))</f>
        <v>0.99009900990099009</v>
      </c>
      <c r="AC574" s="259">
        <f>SUM(I574:AA574)</f>
        <v>101</v>
      </c>
      <c r="AD574" s="15"/>
      <c r="AE574" s="15"/>
      <c r="AF574" s="15"/>
      <c r="AG574" s="17" t="s">
        <v>127</v>
      </c>
      <c r="AH574" s="18" t="s">
        <v>291</v>
      </c>
      <c r="AI574" s="18" t="s">
        <v>292</v>
      </c>
      <c r="AJ574" s="18"/>
      <c r="AK574" s="13" t="s">
        <v>293</v>
      </c>
      <c r="AL574" s="17">
        <f>(B574-DATE(1970,1,1))*86400</f>
        <v>1712016000</v>
      </c>
      <c r="AM574" s="17">
        <f>(C574-DATE(1970,1,1))*86400</f>
        <v>1712188800</v>
      </c>
      <c r="AN574" s="17">
        <f>AVERAGE(AL574:AM574)</f>
        <v>1712102400</v>
      </c>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row>
    <row r="575" spans="1:65" ht="15.75" customHeight="1" x14ac:dyDescent="0.2">
      <c r="A575" s="297" t="s">
        <v>133</v>
      </c>
      <c r="B575" s="60">
        <v>45377</v>
      </c>
      <c r="C575" s="60">
        <v>45384</v>
      </c>
      <c r="D575" s="61" t="s">
        <v>168</v>
      </c>
      <c r="E575" s="334" t="s">
        <v>125</v>
      </c>
      <c r="F575" s="62"/>
      <c r="G575" s="61" t="s">
        <v>126</v>
      </c>
      <c r="H575" s="334">
        <v>1000</v>
      </c>
      <c r="I575" s="63">
        <v>26</v>
      </c>
      <c r="J575" s="63">
        <v>3</v>
      </c>
      <c r="K575" s="63">
        <v>1</v>
      </c>
      <c r="L575" s="63">
        <v>2</v>
      </c>
      <c r="M575" s="63">
        <v>13</v>
      </c>
      <c r="N575" s="63"/>
      <c r="O575" s="63">
        <v>2</v>
      </c>
      <c r="P575" s="63">
        <v>5</v>
      </c>
      <c r="Q575" s="63"/>
      <c r="R575" s="64"/>
      <c r="S575" s="63">
        <v>0</v>
      </c>
      <c r="T575" s="63">
        <v>1</v>
      </c>
      <c r="U575" s="63"/>
      <c r="V575" s="63">
        <v>5</v>
      </c>
      <c r="W575" s="63">
        <v>0</v>
      </c>
      <c r="X575" s="63">
        <v>6</v>
      </c>
      <c r="Y575" s="63"/>
      <c r="Z575" s="63">
        <v>9</v>
      </c>
      <c r="AA575" s="63">
        <v>27</v>
      </c>
      <c r="AB575" s="65">
        <f>100/(SUM(I575:Z575))</f>
        <v>1.3698630136986301</v>
      </c>
      <c r="AC575" s="259">
        <f>SUM(I575:AA575)</f>
        <v>100</v>
      </c>
      <c r="AD575" s="63">
        <v>69</v>
      </c>
      <c r="AE575" s="64"/>
      <c r="AF575" s="64"/>
      <c r="AG575" s="66" t="s">
        <v>127</v>
      </c>
      <c r="AH575" s="200" t="s">
        <v>294</v>
      </c>
      <c r="AI575" s="67" t="s">
        <v>295</v>
      </c>
      <c r="AJ575" s="67"/>
      <c r="AK575" s="61" t="s">
        <v>2216</v>
      </c>
      <c r="AL575" s="66">
        <f>(B575-DATE(1970,1,1))*86400</f>
        <v>1711411200</v>
      </c>
      <c r="AM575" s="66">
        <f>(C575-DATE(1970,1,1))*86400</f>
        <v>1712016000</v>
      </c>
      <c r="AN575" s="66">
        <f>AVERAGE(AL575:AM575)</f>
        <v>1711713600</v>
      </c>
    </row>
    <row r="576" spans="1:65" ht="15.75" customHeight="1" x14ac:dyDescent="0.2">
      <c r="A576" s="297" t="s">
        <v>133</v>
      </c>
      <c r="B576" s="60">
        <v>45377</v>
      </c>
      <c r="C576" s="60">
        <v>45384</v>
      </c>
      <c r="D576" s="61" t="s">
        <v>168</v>
      </c>
      <c r="E576" s="334" t="s">
        <v>125</v>
      </c>
      <c r="F576" s="62" t="s">
        <v>195</v>
      </c>
      <c r="G576" s="61" t="s">
        <v>126</v>
      </c>
      <c r="H576" s="334">
        <v>1000</v>
      </c>
      <c r="I576" s="63">
        <v>25</v>
      </c>
      <c r="J576" s="63">
        <v>3</v>
      </c>
      <c r="K576" s="63">
        <v>1</v>
      </c>
      <c r="L576" s="63">
        <v>2</v>
      </c>
      <c r="M576" s="63">
        <v>12</v>
      </c>
      <c r="N576" s="63"/>
      <c r="O576" s="63">
        <v>2</v>
      </c>
      <c r="P576" s="63">
        <v>3</v>
      </c>
      <c r="Q576" s="63"/>
      <c r="R576" s="64"/>
      <c r="S576" s="63">
        <v>0</v>
      </c>
      <c r="T576" s="63">
        <v>1</v>
      </c>
      <c r="U576" s="63"/>
      <c r="V576" s="63">
        <v>4</v>
      </c>
      <c r="W576" s="63">
        <v>0</v>
      </c>
      <c r="X576" s="63">
        <v>6</v>
      </c>
      <c r="Y576" s="63">
        <v>11</v>
      </c>
      <c r="Z576" s="63">
        <v>5</v>
      </c>
      <c r="AA576" s="63">
        <v>24</v>
      </c>
      <c r="AB576" s="65">
        <f>100/(SUM(I576:Z576))</f>
        <v>1.3333333333333333</v>
      </c>
      <c r="AC576" s="259">
        <f>SUM(I576:AA576)</f>
        <v>99</v>
      </c>
      <c r="AD576" s="63">
        <v>69</v>
      </c>
      <c r="AE576" s="64"/>
      <c r="AF576" s="64"/>
      <c r="AG576" s="66" t="s">
        <v>127</v>
      </c>
      <c r="AH576" s="67" t="s">
        <v>294</v>
      </c>
      <c r="AI576" s="67" t="s">
        <v>295</v>
      </c>
      <c r="AJ576" s="67"/>
      <c r="AK576" s="61" t="s">
        <v>2217</v>
      </c>
      <c r="AL576" s="66">
        <f>(B576-DATE(1970,1,1))*86400</f>
        <v>1711411200</v>
      </c>
      <c r="AM576" s="66">
        <f>(C576-DATE(1970,1,1))*86400</f>
        <v>1712016000</v>
      </c>
      <c r="AN576" s="66">
        <f>AVERAGE(AL576:AM576)</f>
        <v>1711713600</v>
      </c>
    </row>
    <row r="577" spans="1:65" ht="15.75" customHeight="1" x14ac:dyDescent="0.2">
      <c r="A577" s="288" t="s">
        <v>133</v>
      </c>
      <c r="B577" s="60">
        <v>45377</v>
      </c>
      <c r="C577" s="60">
        <v>45384</v>
      </c>
      <c r="D577" s="61" t="s">
        <v>168</v>
      </c>
      <c r="E577" s="334" t="s">
        <v>125</v>
      </c>
      <c r="F577" s="62" t="s">
        <v>195</v>
      </c>
      <c r="G577" s="61" t="s">
        <v>126</v>
      </c>
      <c r="H577" s="334">
        <v>1000</v>
      </c>
      <c r="I577" s="63">
        <v>34</v>
      </c>
      <c r="J577" s="63">
        <v>4</v>
      </c>
      <c r="K577" s="63">
        <v>2</v>
      </c>
      <c r="L577" s="63">
        <v>3</v>
      </c>
      <c r="M577" s="63">
        <v>16</v>
      </c>
      <c r="N577" s="63"/>
      <c r="O577" s="63">
        <v>2</v>
      </c>
      <c r="P577" s="63">
        <v>4</v>
      </c>
      <c r="Q577" s="63"/>
      <c r="R577" s="64"/>
      <c r="S577" s="63">
        <v>1</v>
      </c>
      <c r="T577" s="63">
        <v>1</v>
      </c>
      <c r="U577" s="63"/>
      <c r="V577" s="63">
        <v>5</v>
      </c>
      <c r="W577" s="63">
        <v>0</v>
      </c>
      <c r="X577" s="63">
        <v>7</v>
      </c>
      <c r="Y577" s="63">
        <v>15</v>
      </c>
      <c r="Z577" s="63">
        <v>5</v>
      </c>
      <c r="AA577" s="63">
        <v>0</v>
      </c>
      <c r="AB577" s="65">
        <f>100/(SUM(I577:Z577))</f>
        <v>1.0101010101010102</v>
      </c>
      <c r="AC577" s="259">
        <f>SUM(I577:AA577)</f>
        <v>99</v>
      </c>
      <c r="AD577" s="63"/>
      <c r="AE577" s="64"/>
      <c r="AF577" s="64"/>
      <c r="AG577" s="66" t="s">
        <v>127</v>
      </c>
      <c r="AH577" s="67" t="s">
        <v>294</v>
      </c>
      <c r="AI577" s="67" t="s">
        <v>295</v>
      </c>
      <c r="AJ577" s="67"/>
      <c r="AK577" s="61" t="s">
        <v>2218</v>
      </c>
      <c r="AL577" s="66">
        <f>(B577-DATE(1970,1,1))*86400</f>
        <v>1711411200</v>
      </c>
      <c r="AM577" s="66">
        <f>(C577-DATE(1970,1,1))*86400</f>
        <v>1712016000</v>
      </c>
      <c r="AN577" s="66">
        <f>AVERAGE(AL577:AM577)</f>
        <v>1711713600</v>
      </c>
    </row>
    <row r="578" spans="1:65" ht="15.75" customHeight="1" x14ac:dyDescent="0.2">
      <c r="A578" s="288" t="s">
        <v>133</v>
      </c>
      <c r="B578" s="60">
        <v>45377</v>
      </c>
      <c r="C578" s="60">
        <v>45384</v>
      </c>
      <c r="D578" s="61" t="s">
        <v>168</v>
      </c>
      <c r="E578" s="334" t="s">
        <v>125</v>
      </c>
      <c r="F578" s="62"/>
      <c r="G578" s="61" t="s">
        <v>126</v>
      </c>
      <c r="H578" s="334">
        <v>1000</v>
      </c>
      <c r="I578" s="63">
        <v>36</v>
      </c>
      <c r="J578" s="63">
        <v>5</v>
      </c>
      <c r="K578" s="63">
        <v>2</v>
      </c>
      <c r="L578" s="63">
        <v>3</v>
      </c>
      <c r="M578" s="63">
        <v>18</v>
      </c>
      <c r="N578" s="63"/>
      <c r="O578" s="63">
        <v>2</v>
      </c>
      <c r="P578" s="63">
        <v>7</v>
      </c>
      <c r="Q578" s="63"/>
      <c r="R578" s="64"/>
      <c r="S578" s="63">
        <v>1</v>
      </c>
      <c r="T578" s="63">
        <v>1</v>
      </c>
      <c r="U578" s="63"/>
      <c r="V578" s="63">
        <v>7</v>
      </c>
      <c r="W578" s="63">
        <v>0</v>
      </c>
      <c r="X578" s="63">
        <v>8</v>
      </c>
      <c r="Y578" s="63"/>
      <c r="Z578" s="63">
        <v>11</v>
      </c>
      <c r="AA578" s="63">
        <v>0</v>
      </c>
      <c r="AB578" s="65">
        <f>100/(SUM(I578:Z578))</f>
        <v>0.99009900990099009</v>
      </c>
      <c r="AC578" s="259">
        <f>SUM(I578:AA578)</f>
        <v>101</v>
      </c>
      <c r="AD578" s="63"/>
      <c r="AE578" s="64"/>
      <c r="AF578" s="64"/>
      <c r="AG578" s="66" t="s">
        <v>127</v>
      </c>
      <c r="AH578" s="67" t="s">
        <v>294</v>
      </c>
      <c r="AI578" s="67" t="s">
        <v>295</v>
      </c>
      <c r="AJ578" s="67"/>
      <c r="AK578" s="61" t="s">
        <v>2219</v>
      </c>
      <c r="AL578" s="66">
        <f>(B578-DATE(1970,1,1))*86400</f>
        <v>1711411200</v>
      </c>
      <c r="AM578" s="66">
        <f>(C578-DATE(1970,1,1))*86400</f>
        <v>1712016000</v>
      </c>
      <c r="AN578" s="66">
        <f>AVERAGE(AL578:AM578)</f>
        <v>1711713600</v>
      </c>
    </row>
    <row r="579" spans="1:65" ht="15.75" customHeight="1" x14ac:dyDescent="0.2">
      <c r="A579" s="438" t="s">
        <v>133</v>
      </c>
      <c r="B579" s="439">
        <v>45366</v>
      </c>
      <c r="C579" s="439">
        <v>45382</v>
      </c>
      <c r="D579" s="440" t="s">
        <v>230</v>
      </c>
      <c r="E579" s="441" t="s">
        <v>184</v>
      </c>
      <c r="F579" s="440" t="s">
        <v>2495</v>
      </c>
      <c r="G579" s="440" t="s">
        <v>126</v>
      </c>
      <c r="H579" s="448">
        <v>1000</v>
      </c>
      <c r="I579" s="443"/>
      <c r="J579" s="443"/>
      <c r="K579" s="443"/>
      <c r="L579" s="443"/>
      <c r="M579" s="443"/>
      <c r="N579" s="443"/>
      <c r="O579" s="443"/>
      <c r="P579" s="443"/>
      <c r="Q579" s="443"/>
      <c r="R579" s="444"/>
      <c r="S579" s="443"/>
      <c r="T579" s="443"/>
      <c r="U579" s="443"/>
      <c r="V579" s="443"/>
      <c r="W579" s="443"/>
      <c r="X579" s="443"/>
      <c r="Y579" s="443"/>
      <c r="Z579" s="444"/>
      <c r="AA579" s="444"/>
      <c r="AB579" s="445" t="e">
        <f>100/(SUM(I579:Z579))</f>
        <v>#DIV/0!</v>
      </c>
      <c r="AC579" s="432">
        <f>SUM(I579:AA579)</f>
        <v>0</v>
      </c>
      <c r="AD579" s="443"/>
      <c r="AE579" s="443"/>
      <c r="AF579" s="443"/>
      <c r="AG579" s="446"/>
      <c r="AH579" s="447" t="s">
        <v>275</v>
      </c>
      <c r="AI579" s="447"/>
      <c r="AJ579" s="447"/>
      <c r="AK579" s="440"/>
      <c r="AL579" s="446">
        <f>(B579-DATE(1970,1,1))*86400</f>
        <v>1710460800</v>
      </c>
      <c r="AM579" s="446">
        <f>(C579-DATE(1970,1,1))*86400</f>
        <v>1711843200</v>
      </c>
      <c r="AN579" s="446">
        <f>AVERAGE(AL579:AM579)</f>
        <v>1711152000</v>
      </c>
    </row>
    <row r="580" spans="1:65" ht="15.75" customHeight="1" x14ac:dyDescent="0.2">
      <c r="A580" s="299" t="s">
        <v>133</v>
      </c>
      <c r="B580" s="105">
        <v>45370</v>
      </c>
      <c r="C580" s="105">
        <v>45372</v>
      </c>
      <c r="D580" s="91" t="s">
        <v>243</v>
      </c>
      <c r="E580" s="342" t="s">
        <v>184</v>
      </c>
      <c r="F580" s="91" t="s">
        <v>2510</v>
      </c>
      <c r="G580" s="91" t="s">
        <v>244</v>
      </c>
      <c r="H580" s="342">
        <v>500</v>
      </c>
      <c r="I580" s="93">
        <v>16</v>
      </c>
      <c r="J580" s="93"/>
      <c r="K580" s="93">
        <v>1</v>
      </c>
      <c r="L580" s="93">
        <v>14</v>
      </c>
      <c r="M580" s="93"/>
      <c r="N580" s="93"/>
      <c r="O580" s="93"/>
      <c r="P580" s="93">
        <v>6</v>
      </c>
      <c r="Q580" s="93">
        <v>30</v>
      </c>
      <c r="R580" s="94"/>
      <c r="S580" s="93"/>
      <c r="T580" s="93"/>
      <c r="U580" s="93"/>
      <c r="V580" s="93">
        <v>10</v>
      </c>
      <c r="W580" s="93"/>
      <c r="X580" s="93">
        <v>3</v>
      </c>
      <c r="Y580" s="93"/>
      <c r="Z580" s="94"/>
      <c r="AA580" s="93">
        <v>20</v>
      </c>
      <c r="AB580" s="95">
        <f>100/(SUM(I580:Z580))</f>
        <v>1.25</v>
      </c>
      <c r="AC580" s="259">
        <f>SUM(I580:AA580)</f>
        <v>100</v>
      </c>
      <c r="AD580" s="93"/>
      <c r="AE580" s="94"/>
      <c r="AF580" s="94"/>
      <c r="AG580" s="96" t="s">
        <v>74</v>
      </c>
      <c r="AH580" s="97" t="s">
        <v>296</v>
      </c>
      <c r="AI580" s="97"/>
      <c r="AJ580" s="97"/>
      <c r="AK580" s="91" t="s">
        <v>297</v>
      </c>
      <c r="AL580" s="96">
        <f>(B580-DATE(1970,1,1))*86400</f>
        <v>1710806400</v>
      </c>
      <c r="AM580" s="96">
        <f>(C580-DATE(1970,1,1))*86400</f>
        <v>1710979200</v>
      </c>
      <c r="AN580" s="96">
        <f>AVERAGE(AL580:AM580)</f>
        <v>1710892800</v>
      </c>
    </row>
    <row r="581" spans="1:65" ht="15.75" customHeight="1" x14ac:dyDescent="0.2">
      <c r="A581" s="285" t="s">
        <v>133</v>
      </c>
      <c r="B581" s="34">
        <v>45364</v>
      </c>
      <c r="C581" s="34">
        <v>45369</v>
      </c>
      <c r="D581" s="33" t="s">
        <v>143</v>
      </c>
      <c r="E581" s="319" t="s">
        <v>125</v>
      </c>
      <c r="F581" s="33" t="s">
        <v>2511</v>
      </c>
      <c r="G581" s="33" t="s">
        <v>126</v>
      </c>
      <c r="H581" s="353">
        <v>1000</v>
      </c>
      <c r="I581" s="35"/>
      <c r="J581" s="35"/>
      <c r="K581" s="35"/>
      <c r="L581" s="35"/>
      <c r="M581" s="35"/>
      <c r="N581" s="35"/>
      <c r="O581" s="35"/>
      <c r="P581" s="35"/>
      <c r="Q581" s="35"/>
      <c r="R581" s="36"/>
      <c r="S581" s="35"/>
      <c r="T581" s="35"/>
      <c r="U581" s="35"/>
      <c r="V581" s="35"/>
      <c r="W581" s="35"/>
      <c r="X581" s="35"/>
      <c r="Y581" s="35"/>
      <c r="Z581" s="35"/>
      <c r="AA581" s="35"/>
      <c r="AB581" s="37" t="e">
        <f>100/(SUM(I581:Z581))</f>
        <v>#DIV/0!</v>
      </c>
      <c r="AC581" s="259">
        <f>SUM(I581:AA581)</f>
        <v>0</v>
      </c>
      <c r="AD581" s="35"/>
      <c r="AE581" s="35"/>
      <c r="AF581" s="35"/>
      <c r="AG581" s="33"/>
      <c r="AH581" s="38" t="s">
        <v>298</v>
      </c>
      <c r="AI581" s="38"/>
      <c r="AJ581" s="33"/>
      <c r="AK581" s="33" t="s">
        <v>299</v>
      </c>
      <c r="AL581" s="39">
        <f>(B581-DATE(1970,1,1))*86400</f>
        <v>1710288000</v>
      </c>
      <c r="AM581" s="39">
        <f>(C581-DATE(1970,1,1))*86400</f>
        <v>1710720000</v>
      </c>
      <c r="AN581" s="39">
        <f>AVERAGE(AL581:AM581)</f>
        <v>1710504000</v>
      </c>
    </row>
    <row r="582" spans="1:65" ht="15.75" customHeight="1" x14ac:dyDescent="0.2">
      <c r="A582" s="285" t="s">
        <v>133</v>
      </c>
      <c r="B582" s="34">
        <v>45357</v>
      </c>
      <c r="C582" s="34">
        <v>45360</v>
      </c>
      <c r="D582" s="33" t="s">
        <v>143</v>
      </c>
      <c r="E582" s="319" t="s">
        <v>125</v>
      </c>
      <c r="F582" s="33"/>
      <c r="G582" s="33" t="s">
        <v>126</v>
      </c>
      <c r="H582" s="353">
        <v>1000</v>
      </c>
      <c r="I582" s="35">
        <v>32</v>
      </c>
      <c r="J582" s="35">
        <v>2</v>
      </c>
      <c r="K582" s="35">
        <v>2</v>
      </c>
      <c r="L582" s="35">
        <v>1</v>
      </c>
      <c r="M582" s="35">
        <v>8</v>
      </c>
      <c r="N582" s="35"/>
      <c r="O582" s="35">
        <v>0</v>
      </c>
      <c r="P582" s="35">
        <v>5</v>
      </c>
      <c r="Q582" s="35"/>
      <c r="R582" s="36"/>
      <c r="S582" s="35">
        <v>2</v>
      </c>
      <c r="T582" s="35">
        <v>2</v>
      </c>
      <c r="U582" s="35"/>
      <c r="V582" s="35">
        <v>8</v>
      </c>
      <c r="W582" s="35">
        <v>2</v>
      </c>
      <c r="X582" s="35">
        <v>6</v>
      </c>
      <c r="Y582" s="35"/>
      <c r="Z582" s="35">
        <v>1</v>
      </c>
      <c r="AA582" s="35">
        <v>29</v>
      </c>
      <c r="AB582" s="37">
        <f>100/(SUM(I582:Z582))</f>
        <v>1.408450704225352</v>
      </c>
      <c r="AC582" s="259">
        <f>SUM(I582:AA582)</f>
        <v>100</v>
      </c>
      <c r="AD582" s="35"/>
      <c r="AE582" s="35"/>
      <c r="AF582" s="35"/>
      <c r="AG582" s="33" t="s">
        <v>144</v>
      </c>
      <c r="AH582" s="38" t="s">
        <v>300</v>
      </c>
      <c r="AI582" s="38"/>
      <c r="AJ582" s="33"/>
      <c r="AK582" s="33" t="s">
        <v>301</v>
      </c>
      <c r="AL582" s="39">
        <f>(B582-DATE(1970,1,1))*86400</f>
        <v>1709683200</v>
      </c>
      <c r="AM582" s="39">
        <f>(C582-DATE(1970,1,1))*86400</f>
        <v>1709942400</v>
      </c>
      <c r="AN582" s="39">
        <f>AVERAGE(AL582:AM582)</f>
        <v>1709812800</v>
      </c>
    </row>
    <row r="583" spans="1:65" ht="15.75" customHeight="1" x14ac:dyDescent="0.2">
      <c r="A583" s="285" t="s">
        <v>133</v>
      </c>
      <c r="B583" s="34">
        <v>45357</v>
      </c>
      <c r="C583" s="34">
        <v>45360</v>
      </c>
      <c r="D583" s="33" t="s">
        <v>143</v>
      </c>
      <c r="E583" s="319" t="s">
        <v>125</v>
      </c>
      <c r="F583" s="33"/>
      <c r="G583" s="33" t="s">
        <v>126</v>
      </c>
      <c r="H583" s="353">
        <v>1000</v>
      </c>
      <c r="I583" s="35">
        <v>45</v>
      </c>
      <c r="J583" s="35">
        <v>2</v>
      </c>
      <c r="K583" s="35">
        <v>3</v>
      </c>
      <c r="L583" s="35">
        <v>1</v>
      </c>
      <c r="M583" s="35">
        <v>11</v>
      </c>
      <c r="N583" s="35"/>
      <c r="O583" s="35">
        <v>1</v>
      </c>
      <c r="P583" s="35">
        <v>7</v>
      </c>
      <c r="Q583" s="35"/>
      <c r="R583" s="36"/>
      <c r="S583" s="35">
        <v>3</v>
      </c>
      <c r="T583" s="35">
        <v>3</v>
      </c>
      <c r="U583" s="35"/>
      <c r="V583" s="35">
        <v>11</v>
      </c>
      <c r="W583" s="35">
        <v>3</v>
      </c>
      <c r="X583" s="35">
        <v>9</v>
      </c>
      <c r="Y583" s="35"/>
      <c r="Z583" s="35">
        <v>1</v>
      </c>
      <c r="AA583" s="35">
        <v>0</v>
      </c>
      <c r="AB583" s="37">
        <f>100/(SUM(I583:Z583))</f>
        <v>1</v>
      </c>
      <c r="AC583" s="259">
        <f>SUM(I583:AA583)</f>
        <v>100</v>
      </c>
      <c r="AD583" s="35"/>
      <c r="AE583" s="35"/>
      <c r="AF583" s="35"/>
      <c r="AG583" s="33" t="s">
        <v>144</v>
      </c>
      <c r="AH583" s="38" t="s">
        <v>300</v>
      </c>
      <c r="AI583" s="38"/>
      <c r="AJ583" s="33"/>
      <c r="AK583" s="33" t="s">
        <v>301</v>
      </c>
      <c r="AL583" s="39">
        <f>(B583-DATE(1970,1,1))*86400</f>
        <v>1709683200</v>
      </c>
      <c r="AM583" s="39">
        <f>(C583-DATE(1970,1,1))*86400</f>
        <v>1709942400</v>
      </c>
      <c r="AN583" s="39">
        <f>AVERAGE(AL583:AM583)</f>
        <v>1709812800</v>
      </c>
    </row>
    <row r="584" spans="1:65" ht="15.75" customHeight="1" x14ac:dyDescent="0.2">
      <c r="A584" s="285" t="s">
        <v>123</v>
      </c>
      <c r="B584" s="34">
        <v>45357</v>
      </c>
      <c r="C584" s="34">
        <v>45360</v>
      </c>
      <c r="D584" s="33" t="s">
        <v>143</v>
      </c>
      <c r="E584" s="319" t="s">
        <v>125</v>
      </c>
      <c r="F584" s="33"/>
      <c r="G584" s="33" t="s">
        <v>126</v>
      </c>
      <c r="H584" s="353">
        <v>1000</v>
      </c>
      <c r="I584" s="35">
        <v>46</v>
      </c>
      <c r="J584" s="35">
        <v>1</v>
      </c>
      <c r="K584" s="35">
        <v>3</v>
      </c>
      <c r="L584" s="35">
        <v>1</v>
      </c>
      <c r="M584" s="35">
        <v>12</v>
      </c>
      <c r="N584" s="35"/>
      <c r="O584" s="35">
        <v>1</v>
      </c>
      <c r="P584" s="35">
        <v>8</v>
      </c>
      <c r="Q584" s="35"/>
      <c r="R584" s="36"/>
      <c r="S584" s="35">
        <v>3</v>
      </c>
      <c r="T584" s="35">
        <v>2</v>
      </c>
      <c r="U584" s="35"/>
      <c r="V584" s="35">
        <v>11</v>
      </c>
      <c r="W584" s="35">
        <v>3</v>
      </c>
      <c r="X584" s="35">
        <v>8</v>
      </c>
      <c r="Y584" s="35"/>
      <c r="Z584" s="35">
        <v>1</v>
      </c>
      <c r="AA584" s="35">
        <v>0</v>
      </c>
      <c r="AB584" s="37">
        <f>100/(SUM(I584:Z584))</f>
        <v>1</v>
      </c>
      <c r="AC584" s="259">
        <f>SUM(I584:AA584)</f>
        <v>100</v>
      </c>
      <c r="AD584" s="35"/>
      <c r="AE584" s="35"/>
      <c r="AF584" s="35"/>
      <c r="AG584" s="33" t="s">
        <v>144</v>
      </c>
      <c r="AH584" s="38" t="s">
        <v>300</v>
      </c>
      <c r="AI584" s="38"/>
      <c r="AJ584" s="33"/>
      <c r="AK584" s="33" t="s">
        <v>301</v>
      </c>
      <c r="AL584" s="39">
        <f>(B584-DATE(1970,1,1))*86400</f>
        <v>1709683200</v>
      </c>
      <c r="AM584" s="39">
        <f>(C584-DATE(1970,1,1))*86400</f>
        <v>1709942400</v>
      </c>
      <c r="AN584" s="39">
        <f>AVERAGE(AL584:AM584)</f>
        <v>1709812800</v>
      </c>
    </row>
    <row r="585" spans="1:65" ht="15.75" customHeight="1" x14ac:dyDescent="0.2">
      <c r="A585" s="284" t="s">
        <v>133</v>
      </c>
      <c r="B585" s="20">
        <v>45351</v>
      </c>
      <c r="C585" s="20">
        <v>45363</v>
      </c>
      <c r="D585" s="19" t="s">
        <v>134</v>
      </c>
      <c r="E585" s="332" t="s">
        <v>125</v>
      </c>
      <c r="F585" s="19"/>
      <c r="G585" s="19" t="s">
        <v>135</v>
      </c>
      <c r="H585" s="363">
        <v>1500</v>
      </c>
      <c r="I585" s="21">
        <v>26</v>
      </c>
      <c r="J585" s="21">
        <v>2</v>
      </c>
      <c r="K585" s="21">
        <v>2</v>
      </c>
      <c r="L585" s="21">
        <v>1</v>
      </c>
      <c r="M585" s="21">
        <v>12</v>
      </c>
      <c r="N585" s="21"/>
      <c r="O585" s="21">
        <v>1</v>
      </c>
      <c r="P585" s="21">
        <v>5</v>
      </c>
      <c r="Q585" s="21"/>
      <c r="R585" s="22"/>
      <c r="S585" s="21"/>
      <c r="T585" s="21">
        <v>2</v>
      </c>
      <c r="U585" s="21"/>
      <c r="V585" s="21">
        <v>5</v>
      </c>
      <c r="W585" s="21"/>
      <c r="X585" s="21">
        <v>5</v>
      </c>
      <c r="Y585" s="21"/>
      <c r="Z585" s="21">
        <v>6</v>
      </c>
      <c r="AA585" s="21">
        <v>33</v>
      </c>
      <c r="AB585" s="23">
        <f>100/(SUM(I585:Z585))</f>
        <v>1.4925373134328359</v>
      </c>
      <c r="AC585" s="259">
        <f>SUM(I585:AA585)</f>
        <v>100</v>
      </c>
      <c r="AD585" s="24"/>
      <c r="AE585" s="24"/>
      <c r="AF585" s="24"/>
      <c r="AG585" s="25" t="s">
        <v>136</v>
      </c>
      <c r="AH585" s="26" t="s">
        <v>302</v>
      </c>
      <c r="AI585" s="26"/>
      <c r="AJ585" s="83" t="s">
        <v>303</v>
      </c>
      <c r="AK585" s="19"/>
      <c r="AL585" s="25">
        <f>(B585-DATE(1970,1,1))*86400</f>
        <v>1709164800</v>
      </c>
      <c r="AM585" s="25">
        <f>(C585-DATE(1970,1,1))*86400</f>
        <v>1710201600</v>
      </c>
      <c r="AN585" s="25">
        <f>AVERAGE(AL585:AM585)</f>
        <v>1709683200</v>
      </c>
    </row>
    <row r="586" spans="1:65" ht="15.75" customHeight="1" x14ac:dyDescent="0.2">
      <c r="A586" s="675" t="s">
        <v>123</v>
      </c>
      <c r="B586" s="676">
        <v>45351</v>
      </c>
      <c r="C586" s="676">
        <v>45363</v>
      </c>
      <c r="D586" s="677" t="s">
        <v>134</v>
      </c>
      <c r="E586" s="678" t="s">
        <v>125</v>
      </c>
      <c r="F586" s="677"/>
      <c r="G586" s="677" t="s">
        <v>135</v>
      </c>
      <c r="H586" s="679">
        <v>1500</v>
      </c>
      <c r="I586" s="680">
        <v>42</v>
      </c>
      <c r="J586" s="680">
        <v>3</v>
      </c>
      <c r="K586" s="680">
        <v>2</v>
      </c>
      <c r="L586" s="680">
        <v>1</v>
      </c>
      <c r="M586" s="680">
        <v>18</v>
      </c>
      <c r="N586" s="680"/>
      <c r="O586" s="680">
        <v>2</v>
      </c>
      <c r="P586" s="680">
        <v>8</v>
      </c>
      <c r="Q586" s="680"/>
      <c r="R586" s="682"/>
      <c r="S586" s="680"/>
      <c r="T586" s="680">
        <v>3</v>
      </c>
      <c r="U586" s="680"/>
      <c r="V586" s="680">
        <v>7</v>
      </c>
      <c r="W586" s="680"/>
      <c r="X586" s="680">
        <v>7</v>
      </c>
      <c r="Y586" s="680"/>
      <c r="Z586" s="680">
        <v>7</v>
      </c>
      <c r="AA586" s="680">
        <v>0</v>
      </c>
      <c r="AB586" s="683">
        <f>100/(SUM(I586:Z586))</f>
        <v>1</v>
      </c>
      <c r="AC586" s="259">
        <f>SUM(I586:AA586)</f>
        <v>100</v>
      </c>
      <c r="AD586" s="684"/>
      <c r="AE586" s="684"/>
      <c r="AF586" s="684"/>
      <c r="AG586" s="685" t="s">
        <v>136</v>
      </c>
      <c r="AH586" s="687" t="s">
        <v>302</v>
      </c>
      <c r="AI586" s="687"/>
      <c r="AJ586" s="689" t="s">
        <v>303</v>
      </c>
      <c r="AK586" s="677" t="s">
        <v>2220</v>
      </c>
      <c r="AL586" s="685">
        <f>(B586-DATE(1970,1,1))*86400</f>
        <v>1709164800</v>
      </c>
      <c r="AM586" s="685">
        <f>(C586-DATE(1970,1,1))*86400</f>
        <v>1710201600</v>
      </c>
      <c r="AN586" s="685">
        <f>AVERAGE(AL586:AM586)</f>
        <v>1709683200</v>
      </c>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row>
    <row r="587" spans="1:65" ht="15.75" customHeight="1" x14ac:dyDescent="0.2">
      <c r="A587" s="291" t="s">
        <v>123</v>
      </c>
      <c r="B587" s="48">
        <v>45355</v>
      </c>
      <c r="C587" s="48">
        <v>45357</v>
      </c>
      <c r="D587" s="47" t="s">
        <v>152</v>
      </c>
      <c r="E587" s="337" t="s">
        <v>125</v>
      </c>
      <c r="F587" s="47"/>
      <c r="G587" s="47" t="s">
        <v>126</v>
      </c>
      <c r="H587" s="356">
        <v>1000</v>
      </c>
      <c r="I587" s="49">
        <v>48</v>
      </c>
      <c r="J587" s="49">
        <v>0</v>
      </c>
      <c r="K587" s="49">
        <v>4</v>
      </c>
      <c r="L587" s="49">
        <v>1</v>
      </c>
      <c r="M587" s="49">
        <v>9</v>
      </c>
      <c r="N587" s="49"/>
      <c r="O587" s="49">
        <v>1</v>
      </c>
      <c r="P587" s="49">
        <v>8</v>
      </c>
      <c r="Q587" s="49"/>
      <c r="R587" s="49"/>
      <c r="S587" s="49">
        <v>3</v>
      </c>
      <c r="T587" s="49">
        <v>3</v>
      </c>
      <c r="U587" s="49"/>
      <c r="V587" s="49">
        <v>11</v>
      </c>
      <c r="W587" s="49">
        <v>2</v>
      </c>
      <c r="X587" s="49">
        <v>10</v>
      </c>
      <c r="Y587" s="49"/>
      <c r="Z587" s="49">
        <v>0</v>
      </c>
      <c r="AA587" s="49">
        <v>0</v>
      </c>
      <c r="AB587" s="50">
        <f>100/(SUM(I587:Z587))</f>
        <v>1</v>
      </c>
      <c r="AC587" s="259">
        <f>SUM(I587:AA587)</f>
        <v>100</v>
      </c>
      <c r="AD587" s="49"/>
      <c r="AE587" s="49"/>
      <c r="AF587" s="49"/>
      <c r="AG587" s="51"/>
      <c r="AH587" s="52" t="s">
        <v>304</v>
      </c>
      <c r="AI587" s="52" t="s">
        <v>305</v>
      </c>
      <c r="AJ587" s="52"/>
      <c r="AK587" s="47" t="s">
        <v>306</v>
      </c>
      <c r="AL587" s="51">
        <f>(B587-DATE(1970,1,1))*86400</f>
        <v>1709510400</v>
      </c>
      <c r="AM587" s="51">
        <f>(C587-DATE(1970,1,1))*86400</f>
        <v>1709683200</v>
      </c>
      <c r="AN587" s="51">
        <f>AVERAGE(AL587:AM587)</f>
        <v>1709596800</v>
      </c>
    </row>
    <row r="588" spans="1:65" ht="15.75" customHeight="1" x14ac:dyDescent="0.2">
      <c r="A588" s="286" t="s">
        <v>133</v>
      </c>
      <c r="B588" s="41">
        <v>45351</v>
      </c>
      <c r="C588" s="41">
        <v>45360</v>
      </c>
      <c r="D588" s="40" t="s">
        <v>148</v>
      </c>
      <c r="E588" s="325" t="s">
        <v>125</v>
      </c>
      <c r="F588" s="40"/>
      <c r="G588" s="40" t="s">
        <v>149</v>
      </c>
      <c r="H588" s="325">
        <v>1000</v>
      </c>
      <c r="I588" s="42">
        <v>29</v>
      </c>
      <c r="J588" s="42">
        <v>3</v>
      </c>
      <c r="K588" s="42">
        <v>3</v>
      </c>
      <c r="L588" s="42">
        <v>2</v>
      </c>
      <c r="M588" s="42">
        <v>13</v>
      </c>
      <c r="N588" s="42"/>
      <c r="O588" s="42">
        <v>1</v>
      </c>
      <c r="P588" s="42">
        <v>5</v>
      </c>
      <c r="Q588" s="42"/>
      <c r="R588" s="43"/>
      <c r="S588" s="42"/>
      <c r="T588" s="42">
        <v>1</v>
      </c>
      <c r="U588" s="42"/>
      <c r="V588" s="42">
        <v>3</v>
      </c>
      <c r="W588" s="42"/>
      <c r="X588" s="42">
        <v>6</v>
      </c>
      <c r="Y588" s="42"/>
      <c r="Z588" s="42">
        <v>2</v>
      </c>
      <c r="AA588" s="42">
        <v>32</v>
      </c>
      <c r="AB588" s="44">
        <f>100/(SUM(I588:Z588))</f>
        <v>1.4705882352941178</v>
      </c>
      <c r="AC588" s="259">
        <f>SUM(I588:AA588)</f>
        <v>100</v>
      </c>
      <c r="AD588" s="42"/>
      <c r="AE588" s="43"/>
      <c r="AF588" s="43"/>
      <c r="AG588" s="45"/>
      <c r="AH588" s="46" t="s">
        <v>307</v>
      </c>
      <c r="AI588" s="46" t="s">
        <v>288</v>
      </c>
      <c r="AJ588" s="46" t="s">
        <v>308</v>
      </c>
      <c r="AK588" s="40" t="s">
        <v>1871</v>
      </c>
      <c r="AL588" s="45">
        <f>(B588-DATE(1970,1,1))*86400</f>
        <v>1709164800</v>
      </c>
      <c r="AM588" s="45">
        <f>(C588-DATE(1970,1,1))*86400</f>
        <v>1709942400</v>
      </c>
      <c r="AN588" s="45">
        <f>AVERAGE(AL588:AM588)</f>
        <v>1709553600</v>
      </c>
    </row>
    <row r="589" spans="1:65" ht="15.75" customHeight="1" x14ac:dyDescent="0.2">
      <c r="A589" s="286" t="s">
        <v>123</v>
      </c>
      <c r="B589" s="41">
        <v>45351</v>
      </c>
      <c r="C589" s="41">
        <v>45360</v>
      </c>
      <c r="D589" s="40" t="s">
        <v>148</v>
      </c>
      <c r="E589" s="325" t="s">
        <v>125</v>
      </c>
      <c r="F589" s="40"/>
      <c r="G589" s="40" t="s">
        <v>149</v>
      </c>
      <c r="H589" s="325">
        <v>1000</v>
      </c>
      <c r="I589" s="42">
        <v>45</v>
      </c>
      <c r="J589" s="42">
        <v>4</v>
      </c>
      <c r="K589" s="42">
        <v>4</v>
      </c>
      <c r="L589" s="42">
        <v>2</v>
      </c>
      <c r="M589" s="42">
        <v>19</v>
      </c>
      <c r="N589" s="42"/>
      <c r="O589" s="42">
        <v>2</v>
      </c>
      <c r="P589" s="42">
        <v>7</v>
      </c>
      <c r="Q589" s="42"/>
      <c r="R589" s="43"/>
      <c r="S589" s="42"/>
      <c r="T589" s="42">
        <v>1</v>
      </c>
      <c r="U589" s="42"/>
      <c r="V589" s="42">
        <v>4</v>
      </c>
      <c r="W589" s="42"/>
      <c r="X589" s="42">
        <v>10</v>
      </c>
      <c r="Y589" s="42"/>
      <c r="Z589" s="42">
        <v>2</v>
      </c>
      <c r="AA589" s="42">
        <v>0</v>
      </c>
      <c r="AB589" s="44">
        <f>100/(SUM(I589:Z589))</f>
        <v>1</v>
      </c>
      <c r="AC589" s="259">
        <f>SUM(I589:AA589)</f>
        <v>100</v>
      </c>
      <c r="AD589" s="42"/>
      <c r="AE589" s="43"/>
      <c r="AF589" s="43"/>
      <c r="AG589" s="45"/>
      <c r="AH589" s="46" t="s">
        <v>307</v>
      </c>
      <c r="AI589" s="46" t="s">
        <v>288</v>
      </c>
      <c r="AJ589" s="46" t="s">
        <v>308</v>
      </c>
      <c r="AK589" s="40" t="s">
        <v>309</v>
      </c>
      <c r="AL589" s="45">
        <f>(B589-DATE(1970,1,1))*86400</f>
        <v>1709164800</v>
      </c>
      <c r="AM589" s="45">
        <f>(C589-DATE(1970,1,1))*86400</f>
        <v>1709942400</v>
      </c>
      <c r="AN589" s="45">
        <f>AVERAGE(AL589:AM589)</f>
        <v>1709553600</v>
      </c>
    </row>
    <row r="590" spans="1:65" ht="15.75" customHeight="1" x14ac:dyDescent="0.2">
      <c r="A590" s="281" t="s">
        <v>133</v>
      </c>
      <c r="B590" s="54">
        <v>45349</v>
      </c>
      <c r="C590" s="54">
        <v>45357</v>
      </c>
      <c r="D590" s="53" t="s">
        <v>154</v>
      </c>
      <c r="E590" s="323" t="s">
        <v>125</v>
      </c>
      <c r="F590" s="53" t="s">
        <v>140</v>
      </c>
      <c r="G590" s="53" t="s">
        <v>126</v>
      </c>
      <c r="H590" s="357">
        <v>1000</v>
      </c>
      <c r="I590" s="55"/>
      <c r="J590" s="55"/>
      <c r="K590" s="55"/>
      <c r="L590" s="55"/>
      <c r="M590" s="55"/>
      <c r="N590" s="55"/>
      <c r="O590" s="55"/>
      <c r="P590" s="55"/>
      <c r="Q590" s="55"/>
      <c r="R590" s="56"/>
      <c r="S590" s="55"/>
      <c r="T590" s="55"/>
      <c r="U590" s="55"/>
      <c r="V590" s="55"/>
      <c r="W590" s="55"/>
      <c r="X590" s="55"/>
      <c r="Y590" s="55"/>
      <c r="Z590" s="55"/>
      <c r="AA590" s="55"/>
      <c r="AB590" s="57" t="e">
        <f>100/(SUM(I590:Z590))</f>
        <v>#DIV/0!</v>
      </c>
      <c r="AC590" s="259">
        <f>SUM(I590:AA590)</f>
        <v>0</v>
      </c>
      <c r="AD590" s="55"/>
      <c r="AE590" s="55"/>
      <c r="AF590" s="55"/>
      <c r="AG590" s="58"/>
      <c r="AH590" s="59"/>
      <c r="AI590" s="59" t="s">
        <v>310</v>
      </c>
      <c r="AJ590" s="59" t="s">
        <v>311</v>
      </c>
      <c r="AK590" s="53" t="s">
        <v>299</v>
      </c>
      <c r="AL590" s="58">
        <f>(B590-DATE(1970,1,1))*86400</f>
        <v>1708992000</v>
      </c>
      <c r="AM590" s="58">
        <f>(C590-DATE(1970,1,1))*86400</f>
        <v>1709683200</v>
      </c>
      <c r="AN590" s="58">
        <f>AVERAGE(AL590:AM590)</f>
        <v>1709337600</v>
      </c>
    </row>
    <row r="591" spans="1:65" ht="15.75" customHeight="1" x14ac:dyDescent="0.2">
      <c r="A591" s="300" t="s">
        <v>133</v>
      </c>
      <c r="B591" s="255">
        <v>45345</v>
      </c>
      <c r="C591" s="255">
        <v>45356</v>
      </c>
      <c r="D591" s="256" t="s">
        <v>312</v>
      </c>
      <c r="E591" s="343"/>
      <c r="F591" s="256" t="s">
        <v>195</v>
      </c>
      <c r="G591" s="256" t="s">
        <v>135</v>
      </c>
      <c r="H591" s="343">
        <v>1025</v>
      </c>
      <c r="I591" s="257">
        <v>47.6</v>
      </c>
      <c r="J591" s="257"/>
      <c r="K591" s="257">
        <v>2.8</v>
      </c>
      <c r="L591" s="257">
        <v>2.6</v>
      </c>
      <c r="M591" s="257">
        <v>16.5</v>
      </c>
      <c r="N591" s="257"/>
      <c r="O591" s="257"/>
      <c r="P591" s="257">
        <v>7.2</v>
      </c>
      <c r="Q591" s="257"/>
      <c r="R591" s="258"/>
      <c r="S591" s="257">
        <v>3</v>
      </c>
      <c r="T591" s="257"/>
      <c r="U591" s="257"/>
      <c r="V591" s="257">
        <v>4.2</v>
      </c>
      <c r="W591" s="257"/>
      <c r="X591" s="257">
        <v>9.4</v>
      </c>
      <c r="Y591" s="257"/>
      <c r="Z591" s="258">
        <v>6.7</v>
      </c>
      <c r="AA591" s="257">
        <v>0</v>
      </c>
      <c r="AB591" s="259">
        <f>100/(SUM(I591:Z591))</f>
        <v>0.99999999999999989</v>
      </c>
      <c r="AC591" s="259">
        <f>SUM(I591:AA591)</f>
        <v>100.00000000000001</v>
      </c>
      <c r="AD591" s="257"/>
      <c r="AE591" s="258"/>
      <c r="AF591" s="258"/>
      <c r="AG591" s="260"/>
      <c r="AH591" s="261" t="s">
        <v>313</v>
      </c>
      <c r="AI591" s="261"/>
      <c r="AJ591" s="261"/>
      <c r="AK591" s="256" t="s">
        <v>314</v>
      </c>
      <c r="AL591" s="260">
        <f>(B591-DATE(1970,1,1))*86400</f>
        <v>1708646400</v>
      </c>
      <c r="AM591" s="260">
        <f>(C591-DATE(1970,1,1))*86400</f>
        <v>1709596800</v>
      </c>
      <c r="AN591" s="260">
        <f>AVERAGE(AL591:AM591)</f>
        <v>1709121600</v>
      </c>
    </row>
    <row r="592" spans="1:65" ht="15.75" customHeight="1" x14ac:dyDescent="0.2">
      <c r="A592" s="279" t="s">
        <v>123</v>
      </c>
      <c r="B592" s="14">
        <v>45348</v>
      </c>
      <c r="C592" s="14">
        <v>45350</v>
      </c>
      <c r="D592" s="13" t="s">
        <v>124</v>
      </c>
      <c r="E592" s="324" t="s">
        <v>125</v>
      </c>
      <c r="F592" s="13" t="s">
        <v>195</v>
      </c>
      <c r="G592" s="13" t="s">
        <v>126</v>
      </c>
      <c r="H592" s="349">
        <v>1000</v>
      </c>
      <c r="I592" s="15">
        <v>47</v>
      </c>
      <c r="J592" s="15">
        <v>2</v>
      </c>
      <c r="K592" s="15">
        <v>2</v>
      </c>
      <c r="L592" s="15">
        <v>2</v>
      </c>
      <c r="M592" s="15">
        <v>14</v>
      </c>
      <c r="N592" s="15"/>
      <c r="O592" s="15">
        <v>2</v>
      </c>
      <c r="P592" s="15">
        <v>7</v>
      </c>
      <c r="Q592" s="15"/>
      <c r="R592" s="15"/>
      <c r="S592" s="15">
        <v>4</v>
      </c>
      <c r="T592" s="15">
        <v>1</v>
      </c>
      <c r="U592" s="15"/>
      <c r="V592" s="15">
        <v>8</v>
      </c>
      <c r="W592" s="15">
        <v>4</v>
      </c>
      <c r="X592" s="15">
        <v>8</v>
      </c>
      <c r="Y592" s="15"/>
      <c r="Z592" s="15">
        <v>0</v>
      </c>
      <c r="AA592" s="15">
        <v>0</v>
      </c>
      <c r="AB592" s="16">
        <f>100/(SUM(I592:Z592))</f>
        <v>0.99009900990099009</v>
      </c>
      <c r="AC592" s="259">
        <f>SUM(I592:AA592)</f>
        <v>101</v>
      </c>
      <c r="AD592" s="15"/>
      <c r="AE592" s="15"/>
      <c r="AF592" s="15"/>
      <c r="AG592" s="17"/>
      <c r="AH592" s="18" t="s">
        <v>291</v>
      </c>
      <c r="AI592" s="18" t="s">
        <v>308</v>
      </c>
      <c r="AJ592" s="18"/>
      <c r="AK592" s="13" t="s">
        <v>315</v>
      </c>
      <c r="AL592" s="17">
        <f>(B592-DATE(1970,1,1))*86400</f>
        <v>1708905600</v>
      </c>
      <c r="AM592" s="17">
        <f>(C592-DATE(1970,1,1))*86400</f>
        <v>1709078400</v>
      </c>
      <c r="AN592" s="17">
        <f>AVERAGE(AL592:AM592)</f>
        <v>1708992000</v>
      </c>
    </row>
    <row r="593" spans="1:40" ht="15.75" customHeight="1" x14ac:dyDescent="0.2">
      <c r="A593" s="281" t="s">
        <v>133</v>
      </c>
      <c r="B593" s="54">
        <v>45343</v>
      </c>
      <c r="C593" s="54">
        <v>45350</v>
      </c>
      <c r="D593" s="53" t="s">
        <v>154</v>
      </c>
      <c r="E593" s="323" t="s">
        <v>125</v>
      </c>
      <c r="F593" s="53" t="s">
        <v>2512</v>
      </c>
      <c r="G593" s="53" t="s">
        <v>216</v>
      </c>
      <c r="H593" s="357">
        <v>1003</v>
      </c>
      <c r="I593" s="55"/>
      <c r="J593" s="55"/>
      <c r="K593" s="55"/>
      <c r="L593" s="55"/>
      <c r="M593" s="55"/>
      <c r="N593" s="55"/>
      <c r="O593" s="55"/>
      <c r="P593" s="55"/>
      <c r="Q593" s="55"/>
      <c r="R593" s="56"/>
      <c r="S593" s="55"/>
      <c r="T593" s="55"/>
      <c r="U593" s="55"/>
      <c r="V593" s="55"/>
      <c r="W593" s="55"/>
      <c r="X593" s="55"/>
      <c r="Y593" s="55"/>
      <c r="Z593" s="55"/>
      <c r="AA593" s="55"/>
      <c r="AB593" s="57" t="e">
        <f>100/(SUM(I593:Z593))</f>
        <v>#DIV/0!</v>
      </c>
      <c r="AC593" s="259">
        <f>SUM(I593:AA593)</f>
        <v>0</v>
      </c>
      <c r="AD593" s="55"/>
      <c r="AE593" s="55"/>
      <c r="AF593" s="55"/>
      <c r="AG593" s="58"/>
      <c r="AH593" s="59" t="s">
        <v>316</v>
      </c>
      <c r="AI593" s="59"/>
      <c r="AJ593" s="59"/>
      <c r="AK593" s="53" t="s">
        <v>317</v>
      </c>
      <c r="AL593" s="58">
        <f>(B593-DATE(1970,1,1))*86400</f>
        <v>1708473600</v>
      </c>
      <c r="AM593" s="58">
        <f>(C593-DATE(1970,1,1))*86400</f>
        <v>1709078400</v>
      </c>
      <c r="AN593" s="58">
        <f>AVERAGE(AL593:AM593)</f>
        <v>1708776000</v>
      </c>
    </row>
    <row r="594" spans="1:40" ht="15.75" customHeight="1" x14ac:dyDescent="0.2">
      <c r="A594" s="297" t="s">
        <v>133</v>
      </c>
      <c r="B594" s="60">
        <v>45343</v>
      </c>
      <c r="C594" s="60">
        <v>45350</v>
      </c>
      <c r="D594" s="61" t="s">
        <v>168</v>
      </c>
      <c r="E594" s="334" t="s">
        <v>125</v>
      </c>
      <c r="F594" s="61"/>
      <c r="G594" s="61" t="s">
        <v>126</v>
      </c>
      <c r="H594" s="334">
        <v>1000</v>
      </c>
      <c r="I594" s="63">
        <v>26</v>
      </c>
      <c r="J594" s="63">
        <v>3</v>
      </c>
      <c r="K594" s="63">
        <v>3</v>
      </c>
      <c r="L594" s="63">
        <v>3</v>
      </c>
      <c r="M594" s="63">
        <v>12</v>
      </c>
      <c r="N594" s="63"/>
      <c r="O594" s="63">
        <v>2</v>
      </c>
      <c r="P594" s="63">
        <v>6</v>
      </c>
      <c r="Q594" s="63"/>
      <c r="R594" s="64"/>
      <c r="S594" s="63">
        <v>0</v>
      </c>
      <c r="T594" s="63">
        <v>1</v>
      </c>
      <c r="U594" s="63"/>
      <c r="V594" s="63">
        <v>6</v>
      </c>
      <c r="W594" s="63">
        <v>0</v>
      </c>
      <c r="X594" s="63">
        <v>6</v>
      </c>
      <c r="Y594" s="63"/>
      <c r="Z594" s="63">
        <v>3</v>
      </c>
      <c r="AA594" s="63">
        <v>29</v>
      </c>
      <c r="AB594" s="65">
        <f>100/(SUM(I594:Z594))</f>
        <v>1.408450704225352</v>
      </c>
      <c r="AC594" s="259">
        <f>SUM(I594:AA594)</f>
        <v>100</v>
      </c>
      <c r="AD594" s="63">
        <v>61</v>
      </c>
      <c r="AE594" s="64"/>
      <c r="AF594" s="64"/>
      <c r="AG594" s="66" t="s">
        <v>127</v>
      </c>
      <c r="AH594" s="67" t="s">
        <v>318</v>
      </c>
      <c r="AI594" s="67" t="s">
        <v>319</v>
      </c>
      <c r="AJ594" s="67" t="s">
        <v>308</v>
      </c>
      <c r="AK594" s="61" t="s">
        <v>320</v>
      </c>
      <c r="AL594" s="66">
        <f>(B594-DATE(1970,1,1))*86400</f>
        <v>1708473600</v>
      </c>
      <c r="AM594" s="66">
        <f>(C594-DATE(1970,1,1))*86400</f>
        <v>1709078400</v>
      </c>
      <c r="AN594" s="66">
        <f>AVERAGE(AL594:AM594)</f>
        <v>1708776000</v>
      </c>
    </row>
    <row r="595" spans="1:40" ht="15.75" customHeight="1" x14ac:dyDescent="0.2">
      <c r="A595" s="288" t="s">
        <v>133</v>
      </c>
      <c r="B595" s="60">
        <v>45343</v>
      </c>
      <c r="C595" s="60">
        <v>45350</v>
      </c>
      <c r="D595" s="61" t="s">
        <v>168</v>
      </c>
      <c r="E595" s="334" t="s">
        <v>125</v>
      </c>
      <c r="F595" s="61"/>
      <c r="G595" s="61" t="s">
        <v>126</v>
      </c>
      <c r="H595" s="334">
        <v>1000</v>
      </c>
      <c r="I595" s="63">
        <v>37</v>
      </c>
      <c r="J595" s="63">
        <v>5</v>
      </c>
      <c r="K595" s="63">
        <v>4</v>
      </c>
      <c r="L595" s="63">
        <v>4</v>
      </c>
      <c r="M595" s="63">
        <v>17</v>
      </c>
      <c r="N595" s="63"/>
      <c r="O595" s="63">
        <v>3</v>
      </c>
      <c r="P595" s="63">
        <v>9</v>
      </c>
      <c r="Q595" s="63"/>
      <c r="R595" s="64"/>
      <c r="S595" s="63">
        <v>0</v>
      </c>
      <c r="T595" s="63">
        <v>1</v>
      </c>
      <c r="U595" s="63"/>
      <c r="V595" s="63">
        <v>8</v>
      </c>
      <c r="W595" s="63">
        <v>0</v>
      </c>
      <c r="X595" s="63">
        <v>9</v>
      </c>
      <c r="Y595" s="63"/>
      <c r="Z595" s="63">
        <v>3</v>
      </c>
      <c r="AA595" s="63">
        <v>0</v>
      </c>
      <c r="AB595" s="65">
        <f>100/(SUM(I595:Z595))</f>
        <v>1</v>
      </c>
      <c r="AC595" s="259">
        <f>SUM(I595:AA595)</f>
        <v>100</v>
      </c>
      <c r="AD595" s="63"/>
      <c r="AE595" s="64"/>
      <c r="AF595" s="64"/>
      <c r="AG595" s="66" t="s">
        <v>127</v>
      </c>
      <c r="AH595" s="67" t="s">
        <v>318</v>
      </c>
      <c r="AI595" s="67" t="s">
        <v>319</v>
      </c>
      <c r="AJ595" s="67" t="s">
        <v>308</v>
      </c>
      <c r="AK595" s="61" t="s">
        <v>321</v>
      </c>
      <c r="AL595" s="66">
        <f>(B595-DATE(1970,1,1))*86400</f>
        <v>1708473600</v>
      </c>
      <c r="AM595" s="66">
        <f>(C595-DATE(1970,1,1))*86400</f>
        <v>1709078400</v>
      </c>
      <c r="AN595" s="66">
        <f>AVERAGE(AL595:AM595)</f>
        <v>1708776000</v>
      </c>
    </row>
    <row r="596" spans="1:40" ht="15.75" customHeight="1" x14ac:dyDescent="0.2">
      <c r="A596" s="287" t="s">
        <v>133</v>
      </c>
      <c r="B596" s="70">
        <v>45344</v>
      </c>
      <c r="C596" s="70">
        <v>45348</v>
      </c>
      <c r="D596" s="69" t="s">
        <v>183</v>
      </c>
      <c r="E596" s="333" t="s">
        <v>184</v>
      </c>
      <c r="F596" s="69" t="s">
        <v>195</v>
      </c>
      <c r="G596" s="69" t="s">
        <v>135</v>
      </c>
      <c r="H596" s="360">
        <v>1200</v>
      </c>
      <c r="I596" s="71">
        <v>30</v>
      </c>
      <c r="J596" s="71">
        <v>2</v>
      </c>
      <c r="K596" s="71">
        <v>3</v>
      </c>
      <c r="L596" s="71">
        <v>1</v>
      </c>
      <c r="M596" s="71">
        <v>9</v>
      </c>
      <c r="N596" s="71"/>
      <c r="O596" s="71">
        <v>1</v>
      </c>
      <c r="P596" s="71">
        <v>5</v>
      </c>
      <c r="Q596" s="71"/>
      <c r="R596" s="72"/>
      <c r="S596" s="71">
        <v>2</v>
      </c>
      <c r="T596" s="71">
        <v>2</v>
      </c>
      <c r="U596" s="71"/>
      <c r="V596" s="71">
        <v>6</v>
      </c>
      <c r="W596" s="71">
        <v>1</v>
      </c>
      <c r="X596" s="71">
        <v>5</v>
      </c>
      <c r="Y596" s="71"/>
      <c r="Z596" s="71"/>
      <c r="AA596" s="71">
        <v>32</v>
      </c>
      <c r="AB596" s="73">
        <f>100/(SUM(I596:Z596))</f>
        <v>1.4925373134328359</v>
      </c>
      <c r="AC596" s="259">
        <f>SUM(I596:AA596)</f>
        <v>99</v>
      </c>
      <c r="AD596" s="71"/>
      <c r="AE596" s="71"/>
      <c r="AF596" s="71"/>
      <c r="AG596" s="74"/>
      <c r="AH596" s="75" t="s">
        <v>323</v>
      </c>
      <c r="AI596" s="75"/>
      <c r="AJ596" s="75"/>
      <c r="AK596" s="69" t="s">
        <v>324</v>
      </c>
      <c r="AL596" s="74">
        <f>(B596-DATE(1970,1,1))*86400</f>
        <v>1708560000</v>
      </c>
      <c r="AM596" s="74">
        <f>(C596-DATE(1970,1,1))*86400</f>
        <v>1708905600</v>
      </c>
      <c r="AN596" s="74">
        <f>AVERAGE(AL596:AM596)</f>
        <v>1708732800</v>
      </c>
    </row>
    <row r="597" spans="1:40" ht="15.75" customHeight="1" x14ac:dyDescent="0.2">
      <c r="A597" s="287" t="s">
        <v>123</v>
      </c>
      <c r="B597" s="70">
        <v>45344</v>
      </c>
      <c r="C597" s="70">
        <v>45348</v>
      </c>
      <c r="D597" s="69" t="s">
        <v>183</v>
      </c>
      <c r="E597" s="333" t="s">
        <v>184</v>
      </c>
      <c r="F597" s="69" t="s">
        <v>195</v>
      </c>
      <c r="G597" s="69" t="s">
        <v>135</v>
      </c>
      <c r="H597" s="360">
        <v>1200</v>
      </c>
      <c r="I597" s="71">
        <v>44</v>
      </c>
      <c r="J597" s="71">
        <v>2</v>
      </c>
      <c r="K597" s="71">
        <v>3</v>
      </c>
      <c r="L597" s="71">
        <v>1</v>
      </c>
      <c r="M597" s="71">
        <v>18</v>
      </c>
      <c r="N597" s="71"/>
      <c r="O597" s="71">
        <v>1</v>
      </c>
      <c r="P597" s="71">
        <v>9</v>
      </c>
      <c r="Q597" s="71"/>
      <c r="R597" s="72"/>
      <c r="S597" s="71">
        <v>3</v>
      </c>
      <c r="T597" s="71">
        <v>1</v>
      </c>
      <c r="U597" s="71"/>
      <c r="V597" s="71">
        <v>8</v>
      </c>
      <c r="W597" s="71">
        <v>2</v>
      </c>
      <c r="X597" s="71">
        <v>7</v>
      </c>
      <c r="Y597" s="71"/>
      <c r="Z597" s="71"/>
      <c r="AA597" s="71">
        <v>0</v>
      </c>
      <c r="AB597" s="73">
        <f>100/(SUM(I597:Z597))</f>
        <v>1.0101010101010102</v>
      </c>
      <c r="AC597" s="259">
        <f>SUM(I597:AA597)</f>
        <v>99</v>
      </c>
      <c r="AD597" s="71"/>
      <c r="AE597" s="71"/>
      <c r="AF597" s="71"/>
      <c r="AG597" s="74"/>
      <c r="AH597" s="75" t="s">
        <v>323</v>
      </c>
      <c r="AI597" s="75"/>
      <c r="AJ597" s="75"/>
      <c r="AK597" s="69" t="s">
        <v>324</v>
      </c>
      <c r="AL597" s="74">
        <f>(B597-DATE(1970,1,1))*86400</f>
        <v>1708560000</v>
      </c>
      <c r="AM597" s="74">
        <f>(C597-DATE(1970,1,1))*86400</f>
        <v>1708905600</v>
      </c>
      <c r="AN597" s="74">
        <f>AVERAGE(AL597:AM597)</f>
        <v>1708732800</v>
      </c>
    </row>
    <row r="598" spans="1:40" ht="15.75" customHeight="1" x14ac:dyDescent="0.2">
      <c r="A598" s="287" t="s">
        <v>123</v>
      </c>
      <c r="B598" s="70">
        <v>45344</v>
      </c>
      <c r="C598" s="70">
        <v>45348</v>
      </c>
      <c r="D598" s="69" t="s">
        <v>183</v>
      </c>
      <c r="E598" s="333" t="s">
        <v>184</v>
      </c>
      <c r="F598" s="69" t="s">
        <v>322</v>
      </c>
      <c r="G598" s="69" t="s">
        <v>135</v>
      </c>
      <c r="H598" s="360">
        <v>1200</v>
      </c>
      <c r="I598" s="71">
        <v>44</v>
      </c>
      <c r="J598" s="71">
        <v>1</v>
      </c>
      <c r="K598" s="71">
        <v>2</v>
      </c>
      <c r="L598" s="71">
        <v>1</v>
      </c>
      <c r="M598" s="71">
        <v>17</v>
      </c>
      <c r="N598" s="71"/>
      <c r="O598" s="71">
        <v>1</v>
      </c>
      <c r="P598" s="71">
        <v>9</v>
      </c>
      <c r="Q598" s="71"/>
      <c r="R598" s="72"/>
      <c r="S598" s="71">
        <v>5</v>
      </c>
      <c r="T598" s="71">
        <v>3</v>
      </c>
      <c r="U598" s="71"/>
      <c r="V598" s="71">
        <v>6</v>
      </c>
      <c r="W598" s="71">
        <v>3</v>
      </c>
      <c r="X598" s="71">
        <v>5</v>
      </c>
      <c r="Y598" s="71"/>
      <c r="Z598" s="71"/>
      <c r="AA598" s="71">
        <v>0</v>
      </c>
      <c r="AB598" s="73">
        <f>100/(SUM(I598:Z598))</f>
        <v>1.0309278350515463</v>
      </c>
      <c r="AC598" s="259">
        <f>SUM(I598:AA598)</f>
        <v>97</v>
      </c>
      <c r="AD598" s="71"/>
      <c r="AE598" s="71"/>
      <c r="AF598" s="71"/>
      <c r="AG598" s="74"/>
      <c r="AH598" s="75" t="s">
        <v>323</v>
      </c>
      <c r="AI598" s="75"/>
      <c r="AJ598" s="75"/>
      <c r="AK598" s="69" t="s">
        <v>187</v>
      </c>
      <c r="AL598" s="74">
        <f>(B598-DATE(1970,1,1))*86400</f>
        <v>1708560000</v>
      </c>
      <c r="AM598" s="74">
        <f>(C598-DATE(1970,1,1))*86400</f>
        <v>1708905600</v>
      </c>
      <c r="AN598" s="74">
        <f>AVERAGE(AL598:AM598)</f>
        <v>1708732800</v>
      </c>
    </row>
    <row r="599" spans="1:40" ht="15.75" customHeight="1" x14ac:dyDescent="0.2">
      <c r="A599" s="288" t="s">
        <v>133</v>
      </c>
      <c r="B599" s="60">
        <v>45343</v>
      </c>
      <c r="C599" s="60">
        <v>45345</v>
      </c>
      <c r="D599" s="61" t="s">
        <v>168</v>
      </c>
      <c r="E599" s="334" t="s">
        <v>125</v>
      </c>
      <c r="F599" s="61" t="s">
        <v>2510</v>
      </c>
      <c r="G599" s="61" t="s">
        <v>126</v>
      </c>
      <c r="H599" s="334">
        <v>800</v>
      </c>
      <c r="I599" s="63">
        <v>26</v>
      </c>
      <c r="J599" s="63">
        <v>3</v>
      </c>
      <c r="K599" s="63">
        <v>3</v>
      </c>
      <c r="L599" s="63">
        <v>3</v>
      </c>
      <c r="M599" s="63">
        <v>15</v>
      </c>
      <c r="N599" s="63"/>
      <c r="O599" s="63">
        <v>6</v>
      </c>
      <c r="P599" s="63">
        <v>10</v>
      </c>
      <c r="Q599" s="63"/>
      <c r="R599" s="64"/>
      <c r="S599" s="63">
        <v>2</v>
      </c>
      <c r="T599" s="63">
        <v>1</v>
      </c>
      <c r="U599" s="63"/>
      <c r="V599" s="63">
        <v>12</v>
      </c>
      <c r="W599" s="63">
        <v>2</v>
      </c>
      <c r="X599" s="63">
        <v>5</v>
      </c>
      <c r="Y599" s="63"/>
      <c r="Z599" s="63">
        <v>0</v>
      </c>
      <c r="AA599" s="63">
        <v>11</v>
      </c>
      <c r="AB599" s="65">
        <f>100/(SUM(I599:Z599))</f>
        <v>1.1363636363636365</v>
      </c>
      <c r="AC599" s="259">
        <f>SUM(I599:AA599)</f>
        <v>99</v>
      </c>
      <c r="AD599" s="63"/>
      <c r="AE599" s="64"/>
      <c r="AF599" s="64"/>
      <c r="AG599" s="66" t="s">
        <v>127</v>
      </c>
      <c r="AH599" s="67" t="s">
        <v>325</v>
      </c>
      <c r="AI599" s="67" t="s">
        <v>326</v>
      </c>
      <c r="AJ599" s="67"/>
      <c r="AK599" s="61" t="s">
        <v>138</v>
      </c>
      <c r="AL599" s="66">
        <f>(B599-DATE(1970,1,1))*86400</f>
        <v>1708473600</v>
      </c>
      <c r="AM599" s="66">
        <f>(C599-DATE(1970,1,1))*86400</f>
        <v>1708646400</v>
      </c>
      <c r="AN599" s="66">
        <f>AVERAGE(AL599:AM599)</f>
        <v>1708560000</v>
      </c>
    </row>
    <row r="600" spans="1:40" ht="15.75" customHeight="1" x14ac:dyDescent="0.2">
      <c r="A600" s="288" t="s">
        <v>133</v>
      </c>
      <c r="B600" s="60">
        <v>45343</v>
      </c>
      <c r="C600" s="60">
        <v>45345</v>
      </c>
      <c r="D600" s="61" t="s">
        <v>168</v>
      </c>
      <c r="E600" s="334" t="s">
        <v>125</v>
      </c>
      <c r="F600" s="61" t="s">
        <v>2510</v>
      </c>
      <c r="G600" s="61" t="s">
        <v>126</v>
      </c>
      <c r="H600" s="334">
        <v>800</v>
      </c>
      <c r="I600" s="63">
        <v>30</v>
      </c>
      <c r="J600" s="63">
        <v>4</v>
      </c>
      <c r="K600" s="63">
        <v>3</v>
      </c>
      <c r="L600" s="63">
        <v>4</v>
      </c>
      <c r="M600" s="63">
        <v>17</v>
      </c>
      <c r="N600" s="63"/>
      <c r="O600" s="63">
        <v>7</v>
      </c>
      <c r="P600" s="63">
        <v>12</v>
      </c>
      <c r="Q600" s="63"/>
      <c r="R600" s="64"/>
      <c r="S600" s="63">
        <v>2</v>
      </c>
      <c r="T600" s="63">
        <v>1</v>
      </c>
      <c r="U600" s="63"/>
      <c r="V600" s="63">
        <v>13</v>
      </c>
      <c r="W600" s="63">
        <v>2</v>
      </c>
      <c r="X600" s="63">
        <v>6</v>
      </c>
      <c r="Y600" s="63"/>
      <c r="Z600" s="63">
        <v>0</v>
      </c>
      <c r="AA600" s="63">
        <v>0</v>
      </c>
      <c r="AB600" s="65">
        <f>100/(SUM(I600:Z600))</f>
        <v>0.99009900990099009</v>
      </c>
      <c r="AC600" s="259">
        <f>SUM(I600:AA600)</f>
        <v>101</v>
      </c>
      <c r="AD600" s="63"/>
      <c r="AE600" s="64"/>
      <c r="AF600" s="64"/>
      <c r="AG600" s="66" t="s">
        <v>127</v>
      </c>
      <c r="AH600" s="67" t="s">
        <v>325</v>
      </c>
      <c r="AI600" s="67" t="s">
        <v>326</v>
      </c>
      <c r="AJ600" s="67"/>
      <c r="AK600" s="61" t="s">
        <v>138</v>
      </c>
      <c r="AL600" s="66">
        <f>(B600-DATE(1970,1,1))*86400</f>
        <v>1708473600</v>
      </c>
      <c r="AM600" s="66">
        <f>(C600-DATE(1970,1,1))*86400</f>
        <v>1708646400</v>
      </c>
      <c r="AN600" s="66">
        <f>AVERAGE(AL600:AM600)</f>
        <v>1708560000</v>
      </c>
    </row>
    <row r="601" spans="1:40" ht="15.75" customHeight="1" x14ac:dyDescent="0.2">
      <c r="A601" s="285" t="s">
        <v>133</v>
      </c>
      <c r="B601" s="107">
        <v>45323</v>
      </c>
      <c r="C601" s="107">
        <v>45360</v>
      </c>
      <c r="D601" s="33" t="s">
        <v>143</v>
      </c>
      <c r="E601" s="319" t="s">
        <v>125</v>
      </c>
      <c r="F601" s="33" t="s">
        <v>2513</v>
      </c>
      <c r="G601" s="82" t="s">
        <v>126</v>
      </c>
      <c r="H601" s="358">
        <v>1000</v>
      </c>
      <c r="I601" s="35">
        <v>28.1</v>
      </c>
      <c r="J601" s="35">
        <v>0.2</v>
      </c>
      <c r="K601" s="35">
        <v>0.2</v>
      </c>
      <c r="L601" s="35">
        <v>0.6</v>
      </c>
      <c r="M601" s="35">
        <v>2.4</v>
      </c>
      <c r="N601" s="35"/>
      <c r="O601" s="35">
        <v>0</v>
      </c>
      <c r="P601" s="35">
        <v>2.1</v>
      </c>
      <c r="Q601" s="35"/>
      <c r="R601" s="36"/>
      <c r="S601" s="35">
        <v>16.2</v>
      </c>
      <c r="T601" s="35">
        <v>0.5</v>
      </c>
      <c r="U601" s="35"/>
      <c r="V601" s="35">
        <v>4.0999999999999996</v>
      </c>
      <c r="W601" s="35">
        <v>0.9</v>
      </c>
      <c r="X601" s="35">
        <v>4.7</v>
      </c>
      <c r="Y601" s="35"/>
      <c r="Z601" s="35">
        <v>0.4</v>
      </c>
      <c r="AA601" s="35">
        <v>39.6</v>
      </c>
      <c r="AB601" s="37">
        <f>100/(SUM(I601:Z601))</f>
        <v>1.6556291390728477</v>
      </c>
      <c r="AC601" s="259">
        <f>SUM(I601:AA601)</f>
        <v>100</v>
      </c>
      <c r="AD601" s="35"/>
      <c r="AE601" s="35"/>
      <c r="AF601" s="35"/>
      <c r="AG601" s="33" t="s">
        <v>327</v>
      </c>
      <c r="AH601" s="38" t="s">
        <v>328</v>
      </c>
      <c r="AI601" s="38"/>
      <c r="AJ601" s="33"/>
      <c r="AK601" s="33"/>
      <c r="AL601" s="39">
        <f>(B601-DATE(1970,1,1))*86400</f>
        <v>1706745600</v>
      </c>
      <c r="AM601" s="39">
        <f>(C601-DATE(1970,1,1))*86400</f>
        <v>1709942400</v>
      </c>
      <c r="AN601" s="39">
        <f>AVERAGE(AL601:AM601)</f>
        <v>1708344000</v>
      </c>
    </row>
    <row r="602" spans="1:40" ht="15.75" customHeight="1" x14ac:dyDescent="0.2">
      <c r="A602" s="285" t="s">
        <v>133</v>
      </c>
      <c r="B602" s="107">
        <v>45323</v>
      </c>
      <c r="C602" s="107">
        <v>45360</v>
      </c>
      <c r="D602" s="33" t="s">
        <v>143</v>
      </c>
      <c r="E602" s="319" t="s">
        <v>125</v>
      </c>
      <c r="F602" s="33" t="s">
        <v>2513</v>
      </c>
      <c r="G602" s="82" t="s">
        <v>126</v>
      </c>
      <c r="H602" s="358">
        <v>1000</v>
      </c>
      <c r="I602" s="35">
        <v>46.5</v>
      </c>
      <c r="J602" s="35">
        <v>0.9</v>
      </c>
      <c r="K602" s="35">
        <v>0.3</v>
      </c>
      <c r="L602" s="35">
        <v>1</v>
      </c>
      <c r="M602" s="35">
        <v>4</v>
      </c>
      <c r="N602" s="35"/>
      <c r="O602" s="35">
        <v>0</v>
      </c>
      <c r="P602" s="35">
        <v>3.4</v>
      </c>
      <c r="Q602" s="35"/>
      <c r="R602" s="36"/>
      <c r="S602" s="35">
        <v>26.8</v>
      </c>
      <c r="T602" s="35">
        <v>0.9</v>
      </c>
      <c r="U602" s="35"/>
      <c r="V602" s="35">
        <v>6.8</v>
      </c>
      <c r="W602" s="35">
        <v>1</v>
      </c>
      <c r="X602" s="35">
        <v>7.8</v>
      </c>
      <c r="Y602" s="35"/>
      <c r="Z602" s="35">
        <v>0.8</v>
      </c>
      <c r="AA602" s="35">
        <v>0</v>
      </c>
      <c r="AB602" s="37">
        <f>100/(SUM(I602:Z602))</f>
        <v>0.99800399201596812</v>
      </c>
      <c r="AC602" s="259">
        <f>SUM(I602:AA602)</f>
        <v>100.19999999999999</v>
      </c>
      <c r="AD602" s="35"/>
      <c r="AE602" s="35"/>
      <c r="AF602" s="35"/>
      <c r="AG602" s="33" t="s">
        <v>327</v>
      </c>
      <c r="AH602" s="38" t="s">
        <v>328</v>
      </c>
      <c r="AI602" s="38"/>
      <c r="AJ602" s="33"/>
      <c r="AK602" s="33"/>
      <c r="AL602" s="39">
        <f>(B602-DATE(1970,1,1))*86400</f>
        <v>1706745600</v>
      </c>
      <c r="AM602" s="39">
        <f>(C602-DATE(1970,1,1))*86400</f>
        <v>1709942400</v>
      </c>
      <c r="AN602" s="39">
        <f>AVERAGE(AL602:AM602)</f>
        <v>1708344000</v>
      </c>
    </row>
    <row r="603" spans="1:40" ht="15.75" customHeight="1" x14ac:dyDescent="0.2">
      <c r="A603" s="285" t="s">
        <v>123</v>
      </c>
      <c r="B603" s="107">
        <v>45323</v>
      </c>
      <c r="C603" s="107">
        <v>45360</v>
      </c>
      <c r="D603" s="33" t="s">
        <v>143</v>
      </c>
      <c r="E603" s="319" t="s">
        <v>125</v>
      </c>
      <c r="F603" s="33" t="s">
        <v>2513</v>
      </c>
      <c r="G603" s="82" t="s">
        <v>126</v>
      </c>
      <c r="H603" s="358">
        <v>1000</v>
      </c>
      <c r="I603" s="35">
        <v>47.3</v>
      </c>
      <c r="J603" s="35">
        <v>0.4</v>
      </c>
      <c r="K603" s="35">
        <v>0.4</v>
      </c>
      <c r="L603" s="35">
        <v>1.1000000000000001</v>
      </c>
      <c r="M603" s="35">
        <v>3.6</v>
      </c>
      <c r="N603" s="35"/>
      <c r="O603" s="35">
        <v>0</v>
      </c>
      <c r="P603" s="35">
        <v>3.6</v>
      </c>
      <c r="Q603" s="35"/>
      <c r="R603" s="36"/>
      <c r="S603" s="35">
        <v>27.9</v>
      </c>
      <c r="T603" s="35">
        <v>1</v>
      </c>
      <c r="U603" s="35"/>
      <c r="V603" s="35">
        <v>4.5</v>
      </c>
      <c r="W603" s="35">
        <v>1.2</v>
      </c>
      <c r="X603" s="35">
        <v>8.1999999999999993</v>
      </c>
      <c r="Y603" s="35"/>
      <c r="Z603" s="35">
        <v>0.9</v>
      </c>
      <c r="AA603" s="35">
        <v>0</v>
      </c>
      <c r="AB603" s="37">
        <f>100/(SUM(I603:Z603))</f>
        <v>0.99900099900099892</v>
      </c>
      <c r="AC603" s="259">
        <f>SUM(I603:AA603)</f>
        <v>100.10000000000001</v>
      </c>
      <c r="AD603" s="35"/>
      <c r="AE603" s="35"/>
      <c r="AF603" s="35"/>
      <c r="AG603" s="33" t="s">
        <v>327</v>
      </c>
      <c r="AH603" s="38" t="s">
        <v>328</v>
      </c>
      <c r="AI603" s="38"/>
      <c r="AJ603" s="33"/>
      <c r="AK603" s="33"/>
      <c r="AL603" s="39">
        <f>(B603-DATE(1970,1,1))*86400</f>
        <v>1706745600</v>
      </c>
      <c r="AM603" s="39">
        <f>(C603-DATE(1970,1,1))*86400</f>
        <v>1709942400</v>
      </c>
      <c r="AN603" s="39">
        <f>AVERAGE(AL603:AM603)</f>
        <v>1708344000</v>
      </c>
    </row>
    <row r="604" spans="1:40" ht="15.75" customHeight="1" x14ac:dyDescent="0.2">
      <c r="A604" s="281" t="s">
        <v>133</v>
      </c>
      <c r="B604" s="54">
        <v>45335</v>
      </c>
      <c r="C604" s="54">
        <v>45342</v>
      </c>
      <c r="D604" s="53" t="s">
        <v>154</v>
      </c>
      <c r="E604" s="323" t="s">
        <v>125</v>
      </c>
      <c r="F604" s="53" t="s">
        <v>140</v>
      </c>
      <c r="G604" s="53" t="s">
        <v>126</v>
      </c>
      <c r="H604" s="362">
        <v>1003</v>
      </c>
      <c r="I604" s="55"/>
      <c r="J604" s="55"/>
      <c r="K604" s="55"/>
      <c r="L604" s="55"/>
      <c r="M604" s="55"/>
      <c r="N604" s="55"/>
      <c r="O604" s="55"/>
      <c r="P604" s="55"/>
      <c r="Q604" s="55"/>
      <c r="R604" s="56"/>
      <c r="S604" s="55"/>
      <c r="T604" s="55"/>
      <c r="U604" s="55"/>
      <c r="V604" s="55"/>
      <c r="W604" s="55"/>
      <c r="X604" s="55"/>
      <c r="Y604" s="55"/>
      <c r="Z604" s="55"/>
      <c r="AA604" s="55"/>
      <c r="AB604" s="57" t="e">
        <f>100/(SUM(I604:Z604))</f>
        <v>#DIV/0!</v>
      </c>
      <c r="AC604" s="259">
        <f>SUM(I604:AA604)</f>
        <v>0</v>
      </c>
      <c r="AD604" s="55"/>
      <c r="AE604" s="55"/>
      <c r="AF604" s="55"/>
      <c r="AG604" s="58"/>
      <c r="AH604" s="59" t="s">
        <v>329</v>
      </c>
      <c r="AI604" s="59"/>
      <c r="AJ604" s="59"/>
      <c r="AK604" s="53" t="s">
        <v>324</v>
      </c>
      <c r="AL604" s="58">
        <f>(B604-DATE(1970,1,1))*86400</f>
        <v>1707782400</v>
      </c>
      <c r="AM604" s="58">
        <f>(C604-DATE(1970,1,1))*86400</f>
        <v>1708387200</v>
      </c>
      <c r="AN604" s="58">
        <f>AVERAGE(AL604:AM604)</f>
        <v>1708084800</v>
      </c>
    </row>
    <row r="605" spans="1:40" ht="15.75" customHeight="1" x14ac:dyDescent="0.2">
      <c r="A605" s="296" t="s">
        <v>133</v>
      </c>
      <c r="B605" s="100">
        <v>45337</v>
      </c>
      <c r="C605" s="100">
        <v>45339</v>
      </c>
      <c r="D605" s="99" t="s">
        <v>276</v>
      </c>
      <c r="E605" s="326" t="s">
        <v>125</v>
      </c>
      <c r="F605" s="99" t="s">
        <v>140</v>
      </c>
      <c r="G605" s="99" t="s">
        <v>126</v>
      </c>
      <c r="H605" s="326">
        <v>1000</v>
      </c>
      <c r="I605" s="101"/>
      <c r="J605" s="101"/>
      <c r="K605" s="101"/>
      <c r="L605" s="101"/>
      <c r="M605" s="101"/>
      <c r="N605" s="101"/>
      <c r="O605" s="101"/>
      <c r="P605" s="101"/>
      <c r="Q605" s="101"/>
      <c r="R605" s="101"/>
      <c r="S605" s="101"/>
      <c r="T605" s="101"/>
      <c r="U605" s="101"/>
      <c r="V605" s="101"/>
      <c r="W605" s="101"/>
      <c r="X605" s="101"/>
      <c r="Y605" s="101"/>
      <c r="Z605" s="101"/>
      <c r="AA605" s="101"/>
      <c r="AB605" s="102" t="e">
        <f>100/(SUM(I605:Z605))</f>
        <v>#DIV/0!</v>
      </c>
      <c r="AC605" s="259">
        <f>SUM(I605:AA605)</f>
        <v>0</v>
      </c>
      <c r="AD605" s="101"/>
      <c r="AE605" s="101"/>
      <c r="AF605" s="101"/>
      <c r="AG605" s="103" t="s">
        <v>127</v>
      </c>
      <c r="AH605" s="104" t="s">
        <v>330</v>
      </c>
      <c r="AI605" s="104"/>
      <c r="AJ605" s="104"/>
      <c r="AK605" s="99" t="s">
        <v>331</v>
      </c>
      <c r="AL605" s="103">
        <f>(B605-DATE(1970,1,1))*86400</f>
        <v>1707955200</v>
      </c>
      <c r="AM605" s="103">
        <f>(C605-DATE(1970,1,1))*86400</f>
        <v>1708128000</v>
      </c>
      <c r="AN605" s="103">
        <f>AVERAGE(AL605:AM605)</f>
        <v>1708041600</v>
      </c>
    </row>
    <row r="606" spans="1:40" ht="15.75" customHeight="1" x14ac:dyDescent="0.2">
      <c r="A606" s="438" t="s">
        <v>133</v>
      </c>
      <c r="B606" s="439">
        <v>45334</v>
      </c>
      <c r="C606" s="439">
        <v>45337</v>
      </c>
      <c r="D606" s="440" t="s">
        <v>230</v>
      </c>
      <c r="E606" s="441" t="s">
        <v>184</v>
      </c>
      <c r="F606" s="440" t="s">
        <v>2495</v>
      </c>
      <c r="G606" s="440" t="s">
        <v>126</v>
      </c>
      <c r="H606" s="442">
        <v>1000</v>
      </c>
      <c r="I606" s="443"/>
      <c r="J606" s="443"/>
      <c r="K606" s="443"/>
      <c r="L606" s="443"/>
      <c r="M606" s="443"/>
      <c r="N606" s="443"/>
      <c r="O606" s="443"/>
      <c r="P606" s="443"/>
      <c r="Q606" s="443"/>
      <c r="R606" s="444"/>
      <c r="S606" s="443"/>
      <c r="T606" s="443"/>
      <c r="U606" s="443"/>
      <c r="V606" s="443"/>
      <c r="W606" s="443"/>
      <c r="X606" s="443"/>
      <c r="Y606" s="443"/>
      <c r="Z606" s="444"/>
      <c r="AA606" s="444"/>
      <c r="AB606" s="445" t="e">
        <f>100/(SUM(I606:Z606))</f>
        <v>#DIV/0!</v>
      </c>
      <c r="AC606" s="432">
        <f>SUM(I606:AA606)</f>
        <v>0</v>
      </c>
      <c r="AD606" s="443"/>
      <c r="AE606" s="443"/>
      <c r="AF606" s="443"/>
      <c r="AG606" s="446" t="s">
        <v>332</v>
      </c>
      <c r="AH606" s="447" t="s">
        <v>333</v>
      </c>
      <c r="AI606" s="447"/>
      <c r="AJ606" s="447"/>
      <c r="AK606" s="440"/>
      <c r="AL606" s="446">
        <f>(B606-DATE(1970,1,1))*86400</f>
        <v>1707696000</v>
      </c>
      <c r="AM606" s="446">
        <f>(C606-DATE(1970,1,1))*86400</f>
        <v>1707955200</v>
      </c>
      <c r="AN606" s="446">
        <f>AVERAGE(AL606:AM606)</f>
        <v>1707825600</v>
      </c>
    </row>
    <row r="607" spans="1:40" ht="15.75" customHeight="1" x14ac:dyDescent="0.2">
      <c r="A607" s="285" t="s">
        <v>133</v>
      </c>
      <c r="B607" s="34">
        <v>45329</v>
      </c>
      <c r="C607" s="34">
        <v>45331</v>
      </c>
      <c r="D607" s="33" t="s">
        <v>143</v>
      </c>
      <c r="E607" s="319" t="s">
        <v>125</v>
      </c>
      <c r="F607" s="33" t="s">
        <v>2514</v>
      </c>
      <c r="G607" s="33" t="s">
        <v>126</v>
      </c>
      <c r="H607" s="353">
        <v>1000</v>
      </c>
      <c r="I607" s="35"/>
      <c r="J607" s="35"/>
      <c r="K607" s="35"/>
      <c r="L607" s="35"/>
      <c r="M607" s="35"/>
      <c r="N607" s="35"/>
      <c r="O607" s="35"/>
      <c r="P607" s="35"/>
      <c r="Q607" s="35"/>
      <c r="R607" s="36"/>
      <c r="S607" s="35"/>
      <c r="T607" s="35"/>
      <c r="U607" s="35"/>
      <c r="V607" s="35"/>
      <c r="W607" s="35"/>
      <c r="X607" s="35"/>
      <c r="Y607" s="35"/>
      <c r="Z607" s="35"/>
      <c r="AA607" s="35"/>
      <c r="AB607" s="37" t="e">
        <f>100/(SUM(I607:Z607))</f>
        <v>#DIV/0!</v>
      </c>
      <c r="AC607" s="259">
        <f>SUM(I607:AA607)</f>
        <v>0</v>
      </c>
      <c r="AD607" s="35"/>
      <c r="AE607" s="35"/>
      <c r="AF607" s="35"/>
      <c r="AG607" s="33"/>
      <c r="AH607" s="38" t="s">
        <v>334</v>
      </c>
      <c r="AI607" s="38"/>
      <c r="AJ607" s="33"/>
      <c r="AK607" s="33"/>
      <c r="AL607" s="39">
        <f>(B607-DATE(1970,1,1))*86400</f>
        <v>1707264000</v>
      </c>
      <c r="AM607" s="39">
        <f>(C607-DATE(1970,1,1))*86400</f>
        <v>1707436800</v>
      </c>
      <c r="AN607" s="39">
        <f>AVERAGE(AL607:AM607)</f>
        <v>1707350400</v>
      </c>
    </row>
    <row r="608" spans="1:40" ht="15.75" customHeight="1" x14ac:dyDescent="0.2">
      <c r="A608" s="286" t="s">
        <v>133</v>
      </c>
      <c r="B608" s="106">
        <v>45323</v>
      </c>
      <c r="C608" s="106">
        <v>45336</v>
      </c>
      <c r="D608" s="40" t="s">
        <v>148</v>
      </c>
      <c r="E608" s="325" t="s">
        <v>125</v>
      </c>
      <c r="F608" s="40" t="s">
        <v>2515</v>
      </c>
      <c r="G608" s="40" t="s">
        <v>126</v>
      </c>
      <c r="H608" s="325">
        <v>600</v>
      </c>
      <c r="I608" s="42">
        <v>30</v>
      </c>
      <c r="J608" s="42">
        <v>4</v>
      </c>
      <c r="K608" s="42">
        <v>1</v>
      </c>
      <c r="L608" s="42">
        <v>3</v>
      </c>
      <c r="M608" s="42">
        <v>18</v>
      </c>
      <c r="N608" s="42"/>
      <c r="O608" s="42">
        <v>3</v>
      </c>
      <c r="P608" s="42">
        <v>8</v>
      </c>
      <c r="Q608" s="42"/>
      <c r="R608" s="43"/>
      <c r="S608" s="42"/>
      <c r="T608" s="42"/>
      <c r="U608" s="42"/>
      <c r="V608" s="42">
        <v>4</v>
      </c>
      <c r="W608" s="42"/>
      <c r="X608" s="42">
        <v>1</v>
      </c>
      <c r="Y608" s="42"/>
      <c r="Z608" s="43">
        <v>2</v>
      </c>
      <c r="AA608" s="42">
        <v>26</v>
      </c>
      <c r="AB608" s="44">
        <f>100/(SUM(I608:Z608))</f>
        <v>1.3513513513513513</v>
      </c>
      <c r="AC608" s="259">
        <f>SUM(I608:AA608)</f>
        <v>100</v>
      </c>
      <c r="AD608" s="42"/>
      <c r="AE608" s="43"/>
      <c r="AF608" s="43"/>
      <c r="AG608" s="45" t="s">
        <v>127</v>
      </c>
      <c r="AH608" s="46" t="s">
        <v>335</v>
      </c>
      <c r="AI608" s="46"/>
      <c r="AJ608" s="46"/>
      <c r="AK608" s="40" t="s">
        <v>299</v>
      </c>
      <c r="AL608" s="45">
        <f>(B608-DATE(1970,1,1))*86400</f>
        <v>1706745600</v>
      </c>
      <c r="AM608" s="45">
        <f>(C608-DATE(1970,1,1))*86400</f>
        <v>1707868800</v>
      </c>
      <c r="AN608" s="45">
        <f>AVERAGE(AL608:AM608)</f>
        <v>1707307200</v>
      </c>
    </row>
    <row r="609" spans="1:40" ht="15.75" customHeight="1" x14ac:dyDescent="0.2">
      <c r="A609" s="286" t="s">
        <v>123</v>
      </c>
      <c r="B609" s="106">
        <v>45323</v>
      </c>
      <c r="C609" s="106">
        <v>45336</v>
      </c>
      <c r="D609" s="40" t="s">
        <v>148</v>
      </c>
      <c r="E609" s="325" t="s">
        <v>125</v>
      </c>
      <c r="F609" s="40" t="s">
        <v>2515</v>
      </c>
      <c r="G609" s="40" t="s">
        <v>126</v>
      </c>
      <c r="H609" s="325">
        <v>600</v>
      </c>
      <c r="I609" s="42">
        <v>40</v>
      </c>
      <c r="J609" s="42"/>
      <c r="K609" s="42"/>
      <c r="L609" s="42"/>
      <c r="M609" s="42">
        <v>25</v>
      </c>
      <c r="N609" s="42"/>
      <c r="O609" s="42"/>
      <c r="P609" s="42">
        <v>12</v>
      </c>
      <c r="Q609" s="42"/>
      <c r="R609" s="43"/>
      <c r="S609" s="42"/>
      <c r="T609" s="42"/>
      <c r="U609" s="42"/>
      <c r="V609" s="42"/>
      <c r="W609" s="42"/>
      <c r="X609" s="42"/>
      <c r="Y609" s="42"/>
      <c r="Z609" s="42"/>
      <c r="AA609" s="42"/>
      <c r="AB609" s="44">
        <f>100/(SUM(I609:Z609))</f>
        <v>1.2987012987012987</v>
      </c>
      <c r="AC609" s="259">
        <f>SUM(I609:AA609)</f>
        <v>77</v>
      </c>
      <c r="AD609" s="42"/>
      <c r="AE609" s="43"/>
      <c r="AF609" s="43"/>
      <c r="AG609" s="45" t="s">
        <v>127</v>
      </c>
      <c r="AH609" s="46" t="s">
        <v>335</v>
      </c>
      <c r="AI609" s="46"/>
      <c r="AJ609" s="46"/>
      <c r="AK609" s="40"/>
      <c r="AL609" s="45">
        <f>(B609-DATE(1970,1,1))*86400</f>
        <v>1706745600</v>
      </c>
      <c r="AM609" s="45">
        <f>(C609-DATE(1970,1,1))*86400</f>
        <v>1707868800</v>
      </c>
      <c r="AN609" s="45">
        <f>AVERAGE(AL609:AM609)</f>
        <v>1707307200</v>
      </c>
    </row>
    <row r="610" spans="1:40" ht="15.75" customHeight="1" x14ac:dyDescent="0.2">
      <c r="A610" s="284" t="s">
        <v>133</v>
      </c>
      <c r="B610" s="20">
        <v>45322</v>
      </c>
      <c r="C610" s="20">
        <v>45331</v>
      </c>
      <c r="D610" s="19" t="s">
        <v>134</v>
      </c>
      <c r="E610" s="332" t="s">
        <v>125</v>
      </c>
      <c r="F610" s="19"/>
      <c r="G610" s="19" t="s">
        <v>135</v>
      </c>
      <c r="H610" s="332">
        <v>1500</v>
      </c>
      <c r="I610" s="21">
        <v>27</v>
      </c>
      <c r="J610" s="21">
        <v>2</v>
      </c>
      <c r="K610" s="21">
        <v>1</v>
      </c>
      <c r="L610" s="21">
        <v>1</v>
      </c>
      <c r="M610" s="21">
        <v>13</v>
      </c>
      <c r="N610" s="21"/>
      <c r="O610" s="21">
        <v>1</v>
      </c>
      <c r="P610" s="21">
        <v>5</v>
      </c>
      <c r="Q610" s="21"/>
      <c r="R610" s="22"/>
      <c r="S610" s="21"/>
      <c r="T610" s="21">
        <v>2</v>
      </c>
      <c r="U610" s="21"/>
      <c r="V610" s="21">
        <v>5</v>
      </c>
      <c r="W610" s="21"/>
      <c r="X610" s="21">
        <v>6</v>
      </c>
      <c r="Y610" s="21"/>
      <c r="Z610" s="21">
        <v>3</v>
      </c>
      <c r="AA610" s="21">
        <v>34</v>
      </c>
      <c r="AB610" s="23">
        <f>100/(SUM(I610:Z610))</f>
        <v>1.5151515151515151</v>
      </c>
      <c r="AC610" s="259">
        <f>SUM(I610:AA610)</f>
        <v>100</v>
      </c>
      <c r="AD610" s="24"/>
      <c r="AE610" s="24"/>
      <c r="AF610" s="24"/>
      <c r="AG610" s="25" t="s">
        <v>136</v>
      </c>
      <c r="AH610" s="26" t="s">
        <v>336</v>
      </c>
      <c r="AI610" s="26" t="s">
        <v>337</v>
      </c>
      <c r="AJ610" s="83"/>
      <c r="AK610" s="19"/>
      <c r="AL610" s="25">
        <f>(B610-DATE(1970,1,1))*86400</f>
        <v>1706659200</v>
      </c>
      <c r="AM610" s="25">
        <f>(C610-DATE(1970,1,1))*86400</f>
        <v>1707436800</v>
      </c>
      <c r="AN610" s="25">
        <f>AVERAGE(AL610:AM610)</f>
        <v>1707048000</v>
      </c>
    </row>
    <row r="611" spans="1:40" ht="15.75" customHeight="1" x14ac:dyDescent="0.2">
      <c r="A611" s="284" t="s">
        <v>123</v>
      </c>
      <c r="B611" s="20">
        <v>45322</v>
      </c>
      <c r="C611" s="20">
        <v>45331</v>
      </c>
      <c r="D611" s="19" t="s">
        <v>134</v>
      </c>
      <c r="E611" s="332" t="s">
        <v>125</v>
      </c>
      <c r="F611" s="19"/>
      <c r="G611" s="19" t="s">
        <v>135</v>
      </c>
      <c r="H611" s="332">
        <v>1500</v>
      </c>
      <c r="I611" s="21">
        <v>44</v>
      </c>
      <c r="J611" s="21">
        <v>3</v>
      </c>
      <c r="K611" s="21">
        <v>1</v>
      </c>
      <c r="L611" s="21">
        <v>2</v>
      </c>
      <c r="M611" s="21">
        <v>20</v>
      </c>
      <c r="N611" s="21"/>
      <c r="O611" s="21">
        <v>1</v>
      </c>
      <c r="P611" s="21">
        <v>7</v>
      </c>
      <c r="Q611" s="21"/>
      <c r="R611" s="22"/>
      <c r="S611" s="21"/>
      <c r="T611" s="21">
        <v>3</v>
      </c>
      <c r="U611" s="21"/>
      <c r="V611" s="21">
        <v>6</v>
      </c>
      <c r="W611" s="21"/>
      <c r="X611" s="21">
        <v>9</v>
      </c>
      <c r="Y611" s="21"/>
      <c r="Z611" s="21">
        <v>4</v>
      </c>
      <c r="AA611" s="21">
        <v>0</v>
      </c>
      <c r="AB611" s="23">
        <f>100/(SUM(I611:Z611))</f>
        <v>1</v>
      </c>
      <c r="AC611" s="259">
        <f>SUM(I611:AA611)</f>
        <v>100</v>
      </c>
      <c r="AD611" s="24"/>
      <c r="AE611" s="24"/>
      <c r="AF611" s="24"/>
      <c r="AG611" s="25" t="s">
        <v>136</v>
      </c>
      <c r="AH611" s="26" t="s">
        <v>336</v>
      </c>
      <c r="AI611" s="26" t="s">
        <v>337</v>
      </c>
      <c r="AJ611" s="83"/>
      <c r="AK611" s="19"/>
      <c r="AL611" s="25">
        <f>(B611-DATE(1970,1,1))*86400</f>
        <v>1706659200</v>
      </c>
      <c r="AM611" s="25">
        <f>(C611-DATE(1970,1,1))*86400</f>
        <v>1707436800</v>
      </c>
      <c r="AN611" s="25">
        <f>AVERAGE(AL611:AM611)</f>
        <v>1707048000</v>
      </c>
    </row>
    <row r="612" spans="1:40" ht="15.75" customHeight="1" x14ac:dyDescent="0.2">
      <c r="A612" s="281" t="s">
        <v>133</v>
      </c>
      <c r="B612" s="54">
        <v>45321</v>
      </c>
      <c r="C612" s="54">
        <v>45328</v>
      </c>
      <c r="D612" s="53" t="s">
        <v>154</v>
      </c>
      <c r="E612" s="323" t="s">
        <v>125</v>
      </c>
      <c r="F612" s="53" t="s">
        <v>140</v>
      </c>
      <c r="G612" s="53" t="s">
        <v>126</v>
      </c>
      <c r="H612" s="362">
        <v>1003</v>
      </c>
      <c r="I612" s="55"/>
      <c r="J612" s="55"/>
      <c r="K612" s="55"/>
      <c r="L612" s="55"/>
      <c r="M612" s="55"/>
      <c r="N612" s="55"/>
      <c r="O612" s="55"/>
      <c r="P612" s="55"/>
      <c r="Q612" s="55"/>
      <c r="R612" s="56"/>
      <c r="S612" s="55"/>
      <c r="T612" s="55"/>
      <c r="U612" s="55"/>
      <c r="V612" s="55"/>
      <c r="W612" s="55"/>
      <c r="X612" s="55"/>
      <c r="Y612" s="55"/>
      <c r="Z612" s="55"/>
      <c r="AA612" s="55"/>
      <c r="AB612" s="57" t="e">
        <f>100/(SUM(I612:Z612))</f>
        <v>#DIV/0!</v>
      </c>
      <c r="AC612" s="259">
        <f>SUM(I612:AA612)</f>
        <v>0</v>
      </c>
      <c r="AD612" s="55"/>
      <c r="AE612" s="55"/>
      <c r="AF612" s="55"/>
      <c r="AG612" s="58"/>
      <c r="AH612" s="59" t="s">
        <v>338</v>
      </c>
      <c r="AI612" s="59"/>
      <c r="AJ612" s="59"/>
      <c r="AK612" s="53"/>
      <c r="AL612" s="58">
        <f>(B612-DATE(1970,1,1))*86400</f>
        <v>1706572800</v>
      </c>
      <c r="AM612" s="58">
        <f>(C612-DATE(1970,1,1))*86400</f>
        <v>1707177600</v>
      </c>
      <c r="AN612" s="58">
        <f>AVERAGE(AL612:AM612)</f>
        <v>1706875200</v>
      </c>
    </row>
    <row r="613" spans="1:40" ht="15.75" customHeight="1" x14ac:dyDescent="0.2">
      <c r="A613" s="299" t="s">
        <v>133</v>
      </c>
      <c r="B613" s="105">
        <v>45317</v>
      </c>
      <c r="C613" s="105">
        <v>45320</v>
      </c>
      <c r="D613" s="91" t="s">
        <v>243</v>
      </c>
      <c r="E613" s="342" t="s">
        <v>125</v>
      </c>
      <c r="F613" s="91" t="s">
        <v>2510</v>
      </c>
      <c r="G613" s="91" t="s">
        <v>244</v>
      </c>
      <c r="H613" s="342">
        <v>500</v>
      </c>
      <c r="I613" s="93">
        <v>20</v>
      </c>
      <c r="J613" s="93"/>
      <c r="K613" s="93">
        <v>1</v>
      </c>
      <c r="L613" s="93">
        <v>8</v>
      </c>
      <c r="M613" s="93"/>
      <c r="N613" s="93"/>
      <c r="O613" s="93"/>
      <c r="P613" s="93">
        <v>9</v>
      </c>
      <c r="Q613" s="93">
        <v>28</v>
      </c>
      <c r="R613" s="94"/>
      <c r="S613" s="93"/>
      <c r="T613" s="93"/>
      <c r="U613" s="93"/>
      <c r="V613" s="93">
        <v>8</v>
      </c>
      <c r="W613" s="93"/>
      <c r="X613" s="93">
        <v>3</v>
      </c>
      <c r="Y613" s="93"/>
      <c r="Z613" s="94"/>
      <c r="AA613" s="93">
        <v>20</v>
      </c>
      <c r="AB613" s="95">
        <f>100/(SUM(I613:Z613))</f>
        <v>1.2987012987012987</v>
      </c>
      <c r="AC613" s="259">
        <f>SUM(I613:AA613)</f>
        <v>97</v>
      </c>
      <c r="AD613" s="93"/>
      <c r="AE613" s="94"/>
      <c r="AF613" s="94"/>
      <c r="AG613" s="96" t="s">
        <v>74</v>
      </c>
      <c r="AH613" s="97" t="s">
        <v>296</v>
      </c>
      <c r="AI613" s="97"/>
      <c r="AJ613" s="97"/>
      <c r="AK613" s="91" t="s">
        <v>339</v>
      </c>
      <c r="AL613" s="96">
        <f>(B613-DATE(1970,1,1))*86400</f>
        <v>1706227200</v>
      </c>
      <c r="AM613" s="96">
        <f>(C613-DATE(1970,1,1))*86400</f>
        <v>1706486400</v>
      </c>
      <c r="AN613" s="96">
        <f>AVERAGE(AL613:AM613)</f>
        <v>1706356800</v>
      </c>
    </row>
    <row r="614" spans="1:40" ht="15.75" customHeight="1" x14ac:dyDescent="0.2">
      <c r="A614" s="285" t="s">
        <v>133</v>
      </c>
      <c r="B614" s="34">
        <v>45315</v>
      </c>
      <c r="C614" s="34">
        <v>45316</v>
      </c>
      <c r="D614" s="33" t="s">
        <v>143</v>
      </c>
      <c r="E614" s="319" t="s">
        <v>125</v>
      </c>
      <c r="F614" s="33"/>
      <c r="G614" s="33" t="s">
        <v>126</v>
      </c>
      <c r="H614" s="353">
        <v>1000</v>
      </c>
      <c r="I614" s="35"/>
      <c r="J614" s="35"/>
      <c r="K614" s="35"/>
      <c r="L614" s="35"/>
      <c r="M614" s="35"/>
      <c r="N614" s="35"/>
      <c r="O614" s="35"/>
      <c r="P614" s="35"/>
      <c r="Q614" s="35"/>
      <c r="R614" s="36"/>
      <c r="S614" s="35"/>
      <c r="T614" s="35"/>
      <c r="U614" s="35"/>
      <c r="V614" s="35"/>
      <c r="W614" s="35"/>
      <c r="X614" s="35"/>
      <c r="Y614" s="35"/>
      <c r="Z614" s="35"/>
      <c r="AA614" s="35"/>
      <c r="AB614" s="37" t="e">
        <f>100/(SUM(I614:Z614))</f>
        <v>#DIV/0!</v>
      </c>
      <c r="AC614" s="259">
        <f>SUM(I614:AA614)</f>
        <v>0</v>
      </c>
      <c r="AD614" s="35"/>
      <c r="AE614" s="35"/>
      <c r="AF614" s="35"/>
      <c r="AG614" s="33" t="s">
        <v>74</v>
      </c>
      <c r="AH614" s="38" t="s">
        <v>340</v>
      </c>
      <c r="AI614" s="38"/>
      <c r="AJ614" s="33"/>
      <c r="AK614" s="33"/>
      <c r="AL614" s="39">
        <f>(B614-DATE(1970,1,1))*86400</f>
        <v>1706054400</v>
      </c>
      <c r="AM614" s="39">
        <f>(C614-DATE(1970,1,1))*86400</f>
        <v>1706140800</v>
      </c>
      <c r="AN614" s="39">
        <f>AVERAGE(AL614:AM614)</f>
        <v>1706097600</v>
      </c>
    </row>
    <row r="615" spans="1:40" ht="15.75" customHeight="1" x14ac:dyDescent="0.2">
      <c r="A615" s="285" t="s">
        <v>133</v>
      </c>
      <c r="B615" s="34">
        <v>45310</v>
      </c>
      <c r="C615" s="34">
        <v>45315</v>
      </c>
      <c r="D615" s="33" t="s">
        <v>143</v>
      </c>
      <c r="E615" s="319" t="s">
        <v>125</v>
      </c>
      <c r="F615" s="33" t="s">
        <v>2505</v>
      </c>
      <c r="G615" s="33" t="s">
        <v>126</v>
      </c>
      <c r="H615" s="353">
        <v>1000</v>
      </c>
      <c r="I615" s="35">
        <v>29</v>
      </c>
      <c r="J615" s="35">
        <v>2</v>
      </c>
      <c r="K615" s="35">
        <v>1</v>
      </c>
      <c r="L615" s="35">
        <v>2</v>
      </c>
      <c r="M615" s="35">
        <v>12</v>
      </c>
      <c r="N615" s="35"/>
      <c r="O615" s="35">
        <v>2</v>
      </c>
      <c r="P615" s="35">
        <v>12</v>
      </c>
      <c r="Q615" s="35"/>
      <c r="R615" s="36"/>
      <c r="S615" s="35">
        <v>1</v>
      </c>
      <c r="T615" s="35">
        <v>0</v>
      </c>
      <c r="U615" s="35"/>
      <c r="V615" s="35">
        <v>11</v>
      </c>
      <c r="W615" s="35">
        <v>1</v>
      </c>
      <c r="X615" s="35">
        <v>5</v>
      </c>
      <c r="Y615" s="35"/>
      <c r="Z615" s="35">
        <v>0</v>
      </c>
      <c r="AA615" s="35">
        <v>22</v>
      </c>
      <c r="AB615" s="37">
        <f>100/(SUM(I615:Z615))</f>
        <v>1.2820512820512822</v>
      </c>
      <c r="AC615" s="259">
        <f>SUM(I615:AA615)</f>
        <v>100</v>
      </c>
      <c r="AD615" s="35"/>
      <c r="AE615" s="35"/>
      <c r="AF615" s="35"/>
      <c r="AG615" s="33" t="s">
        <v>144</v>
      </c>
      <c r="AH615" s="38" t="s">
        <v>341</v>
      </c>
      <c r="AI615" s="38"/>
      <c r="AJ615" s="33"/>
      <c r="AK615" s="33"/>
      <c r="AL615" s="39">
        <f>(B615-DATE(1970,1,1))*86400</f>
        <v>1705622400</v>
      </c>
      <c r="AM615" s="39">
        <f>(C615-DATE(1970,1,1))*86400</f>
        <v>1706054400</v>
      </c>
      <c r="AN615" s="39">
        <f>AVERAGE(AL615:AM615)</f>
        <v>1705838400</v>
      </c>
    </row>
    <row r="616" spans="1:40" ht="15.75" customHeight="1" x14ac:dyDescent="0.2">
      <c r="A616" s="287" t="s">
        <v>133</v>
      </c>
      <c r="B616" s="70">
        <v>45309</v>
      </c>
      <c r="C616" s="70">
        <v>45314</v>
      </c>
      <c r="D616" s="69" t="s">
        <v>183</v>
      </c>
      <c r="E616" s="333" t="s">
        <v>184</v>
      </c>
      <c r="F616" s="69" t="s">
        <v>2516</v>
      </c>
      <c r="G616" s="69" t="s">
        <v>126</v>
      </c>
      <c r="H616" s="360">
        <v>650</v>
      </c>
      <c r="I616" s="71"/>
      <c r="J616" s="71"/>
      <c r="K616" s="71"/>
      <c r="L616" s="71"/>
      <c r="M616" s="71"/>
      <c r="N616" s="71"/>
      <c r="O616" s="71"/>
      <c r="P616" s="71"/>
      <c r="Q616" s="71"/>
      <c r="R616" s="72"/>
      <c r="S616" s="71"/>
      <c r="T616" s="71"/>
      <c r="U616" s="71"/>
      <c r="V616" s="71"/>
      <c r="W616" s="71"/>
      <c r="X616" s="71"/>
      <c r="Y616" s="71"/>
      <c r="Z616" s="72"/>
      <c r="AA616" s="72"/>
      <c r="AB616" s="73" t="e">
        <f>100/(SUM(I616:Z616))</f>
        <v>#DIV/0!</v>
      </c>
      <c r="AC616" s="259">
        <f>SUM(I616:AA616)</f>
        <v>0</v>
      </c>
      <c r="AD616" s="71"/>
      <c r="AE616" s="71"/>
      <c r="AF616" s="71"/>
      <c r="AG616" s="74" t="s">
        <v>127</v>
      </c>
      <c r="AH616" s="75" t="s">
        <v>342</v>
      </c>
      <c r="AI616" s="75"/>
      <c r="AJ616" s="75"/>
      <c r="AK616" s="69" t="s">
        <v>343</v>
      </c>
      <c r="AL616" s="74">
        <f>(B616-DATE(1970,1,1))*86400</f>
        <v>1705536000</v>
      </c>
      <c r="AM616" s="74">
        <f>(C616-DATE(1970,1,1))*86400</f>
        <v>1705968000</v>
      </c>
      <c r="AN616" s="74">
        <f>AVERAGE(AL616:AM616)</f>
        <v>1705752000</v>
      </c>
    </row>
    <row r="617" spans="1:40" ht="15.75" customHeight="1" x14ac:dyDescent="0.2">
      <c r="A617" s="297" t="s">
        <v>133</v>
      </c>
      <c r="B617" s="60">
        <v>45306</v>
      </c>
      <c r="C617" s="60">
        <v>45311</v>
      </c>
      <c r="D617" s="61" t="s">
        <v>168</v>
      </c>
      <c r="E617" s="334" t="s">
        <v>125</v>
      </c>
      <c r="F617" s="61"/>
      <c r="G617" s="61" t="s">
        <v>126</v>
      </c>
      <c r="H617" s="334">
        <v>1000</v>
      </c>
      <c r="I617" s="63">
        <v>28</v>
      </c>
      <c r="J617" s="63">
        <v>3</v>
      </c>
      <c r="K617" s="63">
        <v>2</v>
      </c>
      <c r="L617" s="63">
        <v>2</v>
      </c>
      <c r="M617" s="63">
        <v>12</v>
      </c>
      <c r="N617" s="63"/>
      <c r="O617" s="63">
        <v>2</v>
      </c>
      <c r="P617" s="63">
        <v>5</v>
      </c>
      <c r="Q617" s="63"/>
      <c r="R617" s="64"/>
      <c r="S617" s="63"/>
      <c r="T617" s="63"/>
      <c r="U617" s="63"/>
      <c r="V617" s="63">
        <v>5</v>
      </c>
      <c r="W617" s="63"/>
      <c r="X617" s="63">
        <v>6</v>
      </c>
      <c r="Y617" s="63"/>
      <c r="Z617" s="63">
        <v>0</v>
      </c>
      <c r="AA617" s="63">
        <v>34</v>
      </c>
      <c r="AB617" s="65">
        <f>100/(SUM(I617:Z617))</f>
        <v>1.5384615384615385</v>
      </c>
      <c r="AC617" s="259">
        <f>SUM(I617:AA617)</f>
        <v>99</v>
      </c>
      <c r="AD617" s="63">
        <v>61</v>
      </c>
      <c r="AE617" s="64"/>
      <c r="AF617" s="64"/>
      <c r="AG617" s="66" t="s">
        <v>127</v>
      </c>
      <c r="AH617" s="67" t="s">
        <v>344</v>
      </c>
      <c r="AI617" s="67" t="s">
        <v>345</v>
      </c>
      <c r="AJ617" s="67"/>
      <c r="AK617" s="61" t="s">
        <v>346</v>
      </c>
      <c r="AL617" s="66">
        <f>(B617-DATE(1970,1,1))*86400</f>
        <v>1705276800</v>
      </c>
      <c r="AM617" s="66">
        <f>(C617-DATE(1970,1,1))*86400</f>
        <v>1705708800</v>
      </c>
      <c r="AN617" s="66">
        <f>AVERAGE(AL617:AM617)</f>
        <v>1705492800</v>
      </c>
    </row>
    <row r="618" spans="1:40" ht="15.75" customHeight="1" x14ac:dyDescent="0.2">
      <c r="A618" s="288" t="s">
        <v>133</v>
      </c>
      <c r="B618" s="60">
        <v>45306</v>
      </c>
      <c r="C618" s="60">
        <v>45311</v>
      </c>
      <c r="D618" s="61" t="s">
        <v>168</v>
      </c>
      <c r="E618" s="334" t="s">
        <v>125</v>
      </c>
      <c r="F618" s="61"/>
      <c r="G618" s="61" t="s">
        <v>126</v>
      </c>
      <c r="H618" s="334">
        <v>1000</v>
      </c>
      <c r="I618" s="63">
        <v>43</v>
      </c>
      <c r="J618" s="63">
        <v>5</v>
      </c>
      <c r="K618" s="63">
        <v>3</v>
      </c>
      <c r="L618" s="63">
        <v>4</v>
      </c>
      <c r="M618" s="63">
        <v>19</v>
      </c>
      <c r="N618" s="63"/>
      <c r="O618" s="63">
        <v>3</v>
      </c>
      <c r="P618" s="63">
        <v>7</v>
      </c>
      <c r="Q618" s="63"/>
      <c r="R618" s="64"/>
      <c r="S618" s="63"/>
      <c r="T618" s="63"/>
      <c r="U618" s="63"/>
      <c r="V618" s="63">
        <v>8</v>
      </c>
      <c r="W618" s="63"/>
      <c r="X618" s="63">
        <v>9</v>
      </c>
      <c r="Y618" s="63"/>
      <c r="Z618" s="63">
        <v>0</v>
      </c>
      <c r="AA618" s="63">
        <v>0</v>
      </c>
      <c r="AB618" s="65">
        <f>100/(SUM(I618:Z618))</f>
        <v>0.99009900990099009</v>
      </c>
      <c r="AC618" s="259">
        <f>SUM(I618:AA618)</f>
        <v>101</v>
      </c>
      <c r="AD618" s="63"/>
      <c r="AE618" s="64"/>
      <c r="AF618" s="64"/>
      <c r="AG618" s="66" t="s">
        <v>127</v>
      </c>
      <c r="AH618" s="67" t="s">
        <v>344</v>
      </c>
      <c r="AI618" s="67" t="s">
        <v>345</v>
      </c>
      <c r="AJ618" s="67"/>
      <c r="AK618" s="61" t="s">
        <v>347</v>
      </c>
      <c r="AL618" s="66">
        <f>(B618-DATE(1970,1,1))*86400</f>
        <v>1705276800</v>
      </c>
      <c r="AM618" s="66">
        <f>(C618-DATE(1970,1,1))*86400</f>
        <v>1705708800</v>
      </c>
      <c r="AN618" s="66">
        <f>AVERAGE(AL618:AM618)</f>
        <v>1705492800</v>
      </c>
    </row>
    <row r="619" spans="1:40" ht="15.75" customHeight="1" x14ac:dyDescent="0.2">
      <c r="A619" s="279" t="s">
        <v>123</v>
      </c>
      <c r="B619" s="14">
        <v>45306</v>
      </c>
      <c r="C619" s="14">
        <v>45308</v>
      </c>
      <c r="D619" s="13" t="s">
        <v>124</v>
      </c>
      <c r="E619" s="324" t="s">
        <v>125</v>
      </c>
      <c r="F619" s="13"/>
      <c r="G619" s="13" t="s">
        <v>126</v>
      </c>
      <c r="H619" s="349">
        <v>1000</v>
      </c>
      <c r="I619" s="15"/>
      <c r="J619" s="15"/>
      <c r="K619" s="15"/>
      <c r="L619" s="15"/>
      <c r="M619" s="15"/>
      <c r="N619" s="15"/>
      <c r="O619" s="15"/>
      <c r="P619" s="15"/>
      <c r="Q619" s="15"/>
      <c r="R619" s="15"/>
      <c r="S619" s="15"/>
      <c r="T619" s="15"/>
      <c r="U619" s="15"/>
      <c r="V619" s="15"/>
      <c r="W619" s="15"/>
      <c r="X619" s="15"/>
      <c r="Y619" s="15"/>
      <c r="Z619" s="15"/>
      <c r="AA619" s="15"/>
      <c r="AB619" s="16" t="e">
        <f>100/(SUM(I619:Z619))</f>
        <v>#DIV/0!</v>
      </c>
      <c r="AC619" s="259">
        <f>SUM(I619:AA619)</f>
        <v>0</v>
      </c>
      <c r="AD619" s="15"/>
      <c r="AE619" s="15"/>
      <c r="AF619" s="15"/>
      <c r="AG619" s="17" t="s">
        <v>348</v>
      </c>
      <c r="AH619" s="18" t="s">
        <v>349</v>
      </c>
      <c r="AI619" s="18"/>
      <c r="AJ619" s="18"/>
      <c r="AK619" s="13"/>
      <c r="AL619" s="17">
        <f>(B619-DATE(1970,1,1))*86400</f>
        <v>1705276800</v>
      </c>
      <c r="AM619" s="17">
        <f>(C619-DATE(1970,1,1))*86400</f>
        <v>1705449600</v>
      </c>
      <c r="AN619" s="17">
        <f>AVERAGE(AL619:AM619)</f>
        <v>1705363200</v>
      </c>
    </row>
    <row r="620" spans="1:40" ht="15.75" customHeight="1" x14ac:dyDescent="0.2">
      <c r="A620" s="285" t="s">
        <v>133</v>
      </c>
      <c r="B620" s="34">
        <v>45300</v>
      </c>
      <c r="C620" s="34">
        <v>45302</v>
      </c>
      <c r="D620" s="33" t="s">
        <v>143</v>
      </c>
      <c r="E620" s="319" t="s">
        <v>125</v>
      </c>
      <c r="F620" s="33"/>
      <c r="G620" s="33" t="s">
        <v>126</v>
      </c>
      <c r="H620" s="353">
        <v>1000</v>
      </c>
      <c r="I620" s="35">
        <v>32</v>
      </c>
      <c r="J620" s="35">
        <v>1</v>
      </c>
      <c r="K620" s="35">
        <v>4</v>
      </c>
      <c r="L620" s="35">
        <v>1</v>
      </c>
      <c r="M620" s="35">
        <v>6</v>
      </c>
      <c r="N620" s="35"/>
      <c r="O620" s="35">
        <v>1</v>
      </c>
      <c r="P620" s="35">
        <v>4</v>
      </c>
      <c r="Q620" s="35"/>
      <c r="R620" s="36"/>
      <c r="S620" s="35">
        <v>1</v>
      </c>
      <c r="T620" s="35">
        <v>2</v>
      </c>
      <c r="U620" s="35"/>
      <c r="V620" s="35">
        <v>5</v>
      </c>
      <c r="W620" s="35">
        <v>1</v>
      </c>
      <c r="X620" s="35">
        <v>5</v>
      </c>
      <c r="Y620" s="35"/>
      <c r="Z620" s="35"/>
      <c r="AA620" s="35">
        <v>37</v>
      </c>
      <c r="AB620" s="37">
        <f>100/(SUM(I620:Z620))</f>
        <v>1.5873015873015872</v>
      </c>
      <c r="AC620" s="259">
        <f>SUM(I620:AA620)</f>
        <v>100</v>
      </c>
      <c r="AD620" s="35"/>
      <c r="AE620" s="35"/>
      <c r="AF620" s="35"/>
      <c r="AG620" s="33" t="s">
        <v>144</v>
      </c>
      <c r="AH620" s="38" t="s">
        <v>350</v>
      </c>
      <c r="AI620" s="38"/>
      <c r="AJ620" s="33"/>
      <c r="AK620" s="33"/>
      <c r="AL620" s="39">
        <f>(B620-DATE(1970,1,1))*86400</f>
        <v>1704758400</v>
      </c>
      <c r="AM620" s="39">
        <f>(C620-DATE(1970,1,1))*86400</f>
        <v>1704931200</v>
      </c>
      <c r="AN620" s="39">
        <f>AVERAGE(AL620:AM620)</f>
        <v>1704844800</v>
      </c>
    </row>
    <row r="621" spans="1:40" ht="15.75" customHeight="1" x14ac:dyDescent="0.2">
      <c r="A621" s="285" t="s">
        <v>133</v>
      </c>
      <c r="B621" s="34">
        <v>45300</v>
      </c>
      <c r="C621" s="34">
        <v>45302</v>
      </c>
      <c r="D621" s="33" t="s">
        <v>143</v>
      </c>
      <c r="E621" s="319" t="s">
        <v>125</v>
      </c>
      <c r="F621" s="33"/>
      <c r="G621" s="33" t="s">
        <v>126</v>
      </c>
      <c r="H621" s="353">
        <v>1000</v>
      </c>
      <c r="I621" s="35">
        <v>51</v>
      </c>
      <c r="J621" s="35">
        <v>2</v>
      </c>
      <c r="K621" s="35">
        <v>6</v>
      </c>
      <c r="L621" s="35">
        <v>1</v>
      </c>
      <c r="M621" s="35">
        <v>10</v>
      </c>
      <c r="N621" s="35"/>
      <c r="O621" s="35">
        <v>1</v>
      </c>
      <c r="P621" s="35">
        <v>6</v>
      </c>
      <c r="Q621" s="35"/>
      <c r="R621" s="36"/>
      <c r="S621" s="35">
        <v>1</v>
      </c>
      <c r="T621" s="35">
        <v>3</v>
      </c>
      <c r="U621" s="35"/>
      <c r="V621" s="35">
        <v>9</v>
      </c>
      <c r="W621" s="35">
        <v>2</v>
      </c>
      <c r="X621" s="35">
        <v>8</v>
      </c>
      <c r="Y621" s="35"/>
      <c r="Z621" s="35"/>
      <c r="AA621" s="35">
        <v>0</v>
      </c>
      <c r="AB621" s="37">
        <f>100/(SUM(I621:Z621))</f>
        <v>1</v>
      </c>
      <c r="AC621" s="259">
        <f>SUM(I621:AA621)</f>
        <v>100</v>
      </c>
      <c r="AD621" s="35"/>
      <c r="AE621" s="35"/>
      <c r="AF621" s="35"/>
      <c r="AG621" s="33" t="s">
        <v>144</v>
      </c>
      <c r="AH621" s="38" t="s">
        <v>350</v>
      </c>
      <c r="AI621" s="38"/>
      <c r="AJ621" s="33"/>
      <c r="AK621" s="33"/>
      <c r="AL621" s="39">
        <f>(B621-DATE(1970,1,1))*86400</f>
        <v>1704758400</v>
      </c>
      <c r="AM621" s="39">
        <f>(C621-DATE(1970,1,1))*86400</f>
        <v>1704931200</v>
      </c>
      <c r="AN621" s="39">
        <f>AVERAGE(AL621:AM621)</f>
        <v>1704844800</v>
      </c>
    </row>
    <row r="622" spans="1:40" ht="15.75" customHeight="1" x14ac:dyDescent="0.2">
      <c r="A622" s="285" t="s">
        <v>123</v>
      </c>
      <c r="B622" s="34">
        <v>45300</v>
      </c>
      <c r="C622" s="34">
        <v>45302</v>
      </c>
      <c r="D622" s="33" t="s">
        <v>143</v>
      </c>
      <c r="E622" s="319" t="s">
        <v>125</v>
      </c>
      <c r="F622" s="33"/>
      <c r="G622" s="33" t="s">
        <v>126</v>
      </c>
      <c r="H622" s="353">
        <v>1000</v>
      </c>
      <c r="I622" s="35">
        <v>53</v>
      </c>
      <c r="J622" s="35">
        <v>2</v>
      </c>
      <c r="K622" s="35">
        <v>5</v>
      </c>
      <c r="L622" s="35">
        <v>1</v>
      </c>
      <c r="M622" s="35">
        <v>11</v>
      </c>
      <c r="N622" s="35"/>
      <c r="O622" s="35">
        <v>1</v>
      </c>
      <c r="P622" s="35">
        <v>7</v>
      </c>
      <c r="Q622" s="35"/>
      <c r="R622" s="36"/>
      <c r="S622" s="35">
        <v>1</v>
      </c>
      <c r="T622" s="35">
        <v>3</v>
      </c>
      <c r="U622" s="35"/>
      <c r="V622" s="35">
        <v>6</v>
      </c>
      <c r="W622" s="35">
        <v>2</v>
      </c>
      <c r="X622" s="35">
        <v>8</v>
      </c>
      <c r="Y622" s="35"/>
      <c r="Z622" s="35"/>
      <c r="AA622" s="35">
        <v>0</v>
      </c>
      <c r="AB622" s="37">
        <f>100/(SUM(I622:Z622))</f>
        <v>1</v>
      </c>
      <c r="AC622" s="259">
        <f>SUM(I622:AA622)</f>
        <v>100</v>
      </c>
      <c r="AD622" s="35"/>
      <c r="AE622" s="35"/>
      <c r="AF622" s="35"/>
      <c r="AG622" s="33" t="s">
        <v>144</v>
      </c>
      <c r="AH622" s="38" t="s">
        <v>350</v>
      </c>
      <c r="AI622" s="38"/>
      <c r="AJ622" s="33"/>
      <c r="AK622" s="33" t="s">
        <v>347</v>
      </c>
      <c r="AL622" s="39">
        <f>(B622-DATE(1970,1,1))*86400</f>
        <v>1704758400</v>
      </c>
      <c r="AM622" s="39">
        <f>(C622-DATE(1970,1,1))*86400</f>
        <v>1704931200</v>
      </c>
      <c r="AN622" s="39">
        <f>AVERAGE(AL622:AM622)</f>
        <v>1704844800</v>
      </c>
    </row>
    <row r="623" spans="1:40" ht="15.75" customHeight="1" x14ac:dyDescent="0.2">
      <c r="A623" s="406" t="s">
        <v>123</v>
      </c>
      <c r="B623" s="407">
        <v>45299</v>
      </c>
      <c r="C623" s="407">
        <v>45300</v>
      </c>
      <c r="D623" s="408" t="s">
        <v>227</v>
      </c>
      <c r="E623" s="409" t="s">
        <v>125</v>
      </c>
      <c r="F623" s="408"/>
      <c r="G623" s="408" t="s">
        <v>126</v>
      </c>
      <c r="H623" s="410">
        <v>1000</v>
      </c>
      <c r="I623" s="411">
        <v>51</v>
      </c>
      <c r="J623" s="411">
        <v>1</v>
      </c>
      <c r="K623" s="411">
        <v>2</v>
      </c>
      <c r="L623" s="411">
        <v>2</v>
      </c>
      <c r="M623" s="411">
        <v>11</v>
      </c>
      <c r="N623" s="411"/>
      <c r="O623" s="411">
        <v>1</v>
      </c>
      <c r="P623" s="411">
        <v>4</v>
      </c>
      <c r="Q623" s="411"/>
      <c r="R623" s="411"/>
      <c r="S623" s="411">
        <v>1</v>
      </c>
      <c r="T623" s="411">
        <v>4</v>
      </c>
      <c r="U623" s="411"/>
      <c r="V623" s="411">
        <v>9</v>
      </c>
      <c r="W623" s="411">
        <v>4</v>
      </c>
      <c r="X623" s="411">
        <v>10</v>
      </c>
      <c r="Y623" s="411"/>
      <c r="Z623" s="411"/>
      <c r="AA623" s="411">
        <v>0</v>
      </c>
      <c r="AB623" s="412">
        <f>100/(SUM(I623:Z623))</f>
        <v>1</v>
      </c>
      <c r="AC623" s="413">
        <f>SUM(I623:AA623)</f>
        <v>100</v>
      </c>
      <c r="AD623" s="411"/>
      <c r="AE623" s="411"/>
      <c r="AF623" s="411"/>
      <c r="AG623" s="414"/>
      <c r="AH623" s="419" t="s">
        <v>351</v>
      </c>
      <c r="AI623" s="419" t="s">
        <v>352</v>
      </c>
      <c r="AJ623" s="419" t="s">
        <v>353</v>
      </c>
      <c r="AK623" s="408" t="s">
        <v>354</v>
      </c>
      <c r="AL623" s="414">
        <f>(B623-DATE(1970,1,1))*86400</f>
        <v>1704672000</v>
      </c>
      <c r="AM623" s="414">
        <f>(C623-DATE(1970,1,1))*86400</f>
        <v>1704758400</v>
      </c>
      <c r="AN623" s="414">
        <f>AVERAGE(AL623:AM623)</f>
        <v>1704715200</v>
      </c>
    </row>
    <row r="624" spans="1:40" ht="15.75" customHeight="1" x14ac:dyDescent="0.2">
      <c r="A624" s="280" t="s">
        <v>123</v>
      </c>
      <c r="B624" s="108">
        <v>45293</v>
      </c>
      <c r="C624" s="108">
        <v>45301</v>
      </c>
      <c r="D624" s="76" t="s">
        <v>200</v>
      </c>
      <c r="E624" s="320" t="s">
        <v>125</v>
      </c>
      <c r="F624" s="76"/>
      <c r="G624" s="76" t="s">
        <v>126</v>
      </c>
      <c r="H624" s="350">
        <v>1000</v>
      </c>
      <c r="I624" s="78">
        <v>51</v>
      </c>
      <c r="J624" s="78">
        <v>1</v>
      </c>
      <c r="K624" s="78">
        <v>1</v>
      </c>
      <c r="L624" s="78">
        <v>1</v>
      </c>
      <c r="M624" s="78">
        <v>11</v>
      </c>
      <c r="N624" s="78"/>
      <c r="O624" s="78">
        <v>1</v>
      </c>
      <c r="P624" s="78">
        <v>8</v>
      </c>
      <c r="Q624" s="78"/>
      <c r="R624" s="78"/>
      <c r="S624" s="78">
        <v>1</v>
      </c>
      <c r="T624" s="78">
        <v>1</v>
      </c>
      <c r="U624" s="78"/>
      <c r="V624" s="78">
        <v>9</v>
      </c>
      <c r="W624" s="78" t="s">
        <v>355</v>
      </c>
      <c r="X624" s="78">
        <v>10</v>
      </c>
      <c r="Y624" s="78"/>
      <c r="Z624" s="78">
        <v>5</v>
      </c>
      <c r="AA624" s="78">
        <v>0</v>
      </c>
      <c r="AB624" s="79">
        <f>100/(SUM(I624:Z624))</f>
        <v>1</v>
      </c>
      <c r="AC624" s="259">
        <f>SUM(I624:AA624)</f>
        <v>100</v>
      </c>
      <c r="AD624" s="78"/>
      <c r="AE624" s="78"/>
      <c r="AF624" s="78"/>
      <c r="AG624" s="80"/>
      <c r="AH624" s="81" t="s">
        <v>351</v>
      </c>
      <c r="AI624" s="81" t="s">
        <v>352</v>
      </c>
      <c r="AJ624" s="81" t="s">
        <v>353</v>
      </c>
      <c r="AK624" s="76" t="s">
        <v>354</v>
      </c>
      <c r="AL624" s="80">
        <f>(B624-DATE(1970,1,1))*86400</f>
        <v>1704153600</v>
      </c>
      <c r="AM624" s="80">
        <f>(C624-DATE(1970,1,1))*86400</f>
        <v>1704844800</v>
      </c>
      <c r="AN624" s="80">
        <f>AVERAGE(AL624:AM624)</f>
        <v>1704499200</v>
      </c>
    </row>
    <row r="625" spans="1:40" ht="15.75" customHeight="1" x14ac:dyDescent="0.2">
      <c r="A625" s="279" t="s">
        <v>123</v>
      </c>
      <c r="B625" s="14">
        <v>45293</v>
      </c>
      <c r="C625" s="14">
        <v>45296</v>
      </c>
      <c r="D625" s="13" t="s">
        <v>124</v>
      </c>
      <c r="E625" s="324" t="s">
        <v>125</v>
      </c>
      <c r="F625" s="13" t="s">
        <v>195</v>
      </c>
      <c r="G625" s="13" t="s">
        <v>126</v>
      </c>
      <c r="H625" s="349">
        <v>1000</v>
      </c>
      <c r="I625" s="15">
        <v>50</v>
      </c>
      <c r="J625" s="15">
        <v>2</v>
      </c>
      <c r="K625" s="15">
        <v>3</v>
      </c>
      <c r="L625" s="15">
        <v>2</v>
      </c>
      <c r="M625" s="15">
        <v>14</v>
      </c>
      <c r="N625" s="15"/>
      <c r="O625" s="15">
        <v>1</v>
      </c>
      <c r="P625" s="15">
        <v>8</v>
      </c>
      <c r="Q625" s="15"/>
      <c r="R625" s="15"/>
      <c r="S625" s="15">
        <v>2</v>
      </c>
      <c r="T625" s="15">
        <v>1</v>
      </c>
      <c r="U625" s="15"/>
      <c r="V625" s="15">
        <v>8</v>
      </c>
      <c r="W625" s="15">
        <v>2</v>
      </c>
      <c r="X625" s="15">
        <v>7</v>
      </c>
      <c r="Y625" s="15"/>
      <c r="Z625" s="15"/>
      <c r="AA625" s="15">
        <v>0</v>
      </c>
      <c r="AB625" s="16">
        <f>100/(SUM(I625:Z625))</f>
        <v>1</v>
      </c>
      <c r="AC625" s="259">
        <f>SUM(I625:AA625)</f>
        <v>100</v>
      </c>
      <c r="AD625" s="15"/>
      <c r="AE625" s="15"/>
      <c r="AF625" s="15"/>
      <c r="AG625" s="17"/>
      <c r="AH625" s="18" t="s">
        <v>351</v>
      </c>
      <c r="AI625" s="18" t="s">
        <v>352</v>
      </c>
      <c r="AJ625" s="18" t="s">
        <v>353</v>
      </c>
      <c r="AK625" s="13" t="s">
        <v>354</v>
      </c>
      <c r="AL625" s="17">
        <f>(B625-DATE(1970,1,1))*86400</f>
        <v>1704153600</v>
      </c>
      <c r="AM625" s="17">
        <f>(C625-DATE(1970,1,1))*86400</f>
        <v>1704412800</v>
      </c>
      <c r="AN625" s="17">
        <f>AVERAGE(AL625:AM625)</f>
        <v>1704283200</v>
      </c>
    </row>
    <row r="626" spans="1:40" ht="15.75" customHeight="1" x14ac:dyDescent="0.2">
      <c r="A626" s="284" t="s">
        <v>133</v>
      </c>
      <c r="B626" s="20">
        <v>45287</v>
      </c>
      <c r="C626" s="20">
        <v>45299</v>
      </c>
      <c r="D626" s="19" t="s">
        <v>134</v>
      </c>
      <c r="E626" s="332" t="s">
        <v>125</v>
      </c>
      <c r="F626" s="19"/>
      <c r="G626" s="19" t="s">
        <v>135</v>
      </c>
      <c r="H626" s="332">
        <v>1500</v>
      </c>
      <c r="I626" s="21">
        <v>26</v>
      </c>
      <c r="J626" s="21">
        <v>2</v>
      </c>
      <c r="K626" s="21">
        <v>1</v>
      </c>
      <c r="L626" s="21">
        <v>1</v>
      </c>
      <c r="M626" s="21">
        <v>12</v>
      </c>
      <c r="N626" s="21"/>
      <c r="O626" s="21">
        <v>1</v>
      </c>
      <c r="P626" s="21">
        <v>5</v>
      </c>
      <c r="Q626" s="21"/>
      <c r="R626" s="22"/>
      <c r="S626" s="21"/>
      <c r="T626" s="21">
        <v>2</v>
      </c>
      <c r="U626" s="21"/>
      <c r="V626" s="21">
        <v>4</v>
      </c>
      <c r="W626" s="21"/>
      <c r="X626" s="21">
        <v>6</v>
      </c>
      <c r="Y626" s="21"/>
      <c r="Z626" s="21">
        <v>3</v>
      </c>
      <c r="AA626" s="21">
        <v>37</v>
      </c>
      <c r="AB626" s="23">
        <f>100/(SUM(I626:Z626))</f>
        <v>1.5873015873015872</v>
      </c>
      <c r="AC626" s="259">
        <f>SUM(I626:AA626)</f>
        <v>100</v>
      </c>
      <c r="AD626" s="24"/>
      <c r="AE626" s="24"/>
      <c r="AF626" s="24"/>
      <c r="AG626" s="25" t="s">
        <v>136</v>
      </c>
      <c r="AH626" s="26"/>
      <c r="AI626" s="26" t="s">
        <v>356</v>
      </c>
      <c r="AJ626" s="83" t="s">
        <v>357</v>
      </c>
      <c r="AK626" s="19" t="s">
        <v>358</v>
      </c>
      <c r="AL626" s="25">
        <f>(B626-DATE(1970,1,1))*86400</f>
        <v>1703635200</v>
      </c>
      <c r="AM626" s="25">
        <f>(C626-DATE(1970,1,1))*86400</f>
        <v>1704672000</v>
      </c>
      <c r="AN626" s="25">
        <f>AVERAGE(AL626:AM626)</f>
        <v>1704153600</v>
      </c>
    </row>
    <row r="627" spans="1:40" ht="15.75" customHeight="1" x14ac:dyDescent="0.2">
      <c r="A627" s="284" t="s">
        <v>123</v>
      </c>
      <c r="B627" s="20">
        <v>45287</v>
      </c>
      <c r="C627" s="20">
        <v>45299</v>
      </c>
      <c r="D627" s="19" t="s">
        <v>134</v>
      </c>
      <c r="E627" s="332" t="s">
        <v>125</v>
      </c>
      <c r="F627" s="19"/>
      <c r="G627" s="19" t="s">
        <v>135</v>
      </c>
      <c r="H627" s="332">
        <v>1500</v>
      </c>
      <c r="I627" s="21">
        <v>46</v>
      </c>
      <c r="J627" s="21">
        <v>3</v>
      </c>
      <c r="K627" s="21">
        <v>1</v>
      </c>
      <c r="L627" s="21">
        <v>2</v>
      </c>
      <c r="M627" s="21">
        <v>20</v>
      </c>
      <c r="N627" s="21"/>
      <c r="O627" s="21">
        <v>1</v>
      </c>
      <c r="P627" s="21">
        <v>7</v>
      </c>
      <c r="Q627" s="21"/>
      <c r="R627" s="22"/>
      <c r="S627" s="21"/>
      <c r="T627" s="21">
        <v>3</v>
      </c>
      <c r="U627" s="21"/>
      <c r="V627" s="21">
        <v>5</v>
      </c>
      <c r="W627" s="21"/>
      <c r="X627" s="21">
        <v>9</v>
      </c>
      <c r="Y627" s="21"/>
      <c r="Z627" s="21">
        <v>6</v>
      </c>
      <c r="AA627" s="21">
        <v>0</v>
      </c>
      <c r="AB627" s="23">
        <f>100/(SUM(I627:Z627))</f>
        <v>0.970873786407767</v>
      </c>
      <c r="AC627" s="259">
        <f>SUM(I627:AA627)</f>
        <v>103</v>
      </c>
      <c r="AD627" s="24"/>
      <c r="AE627" s="24"/>
      <c r="AF627" s="24"/>
      <c r="AG627" s="25" t="s">
        <v>136</v>
      </c>
      <c r="AH627" s="26"/>
      <c r="AI627" s="26" t="s">
        <v>356</v>
      </c>
      <c r="AJ627" s="83" t="s">
        <v>357</v>
      </c>
      <c r="AK627" s="19" t="s">
        <v>359</v>
      </c>
      <c r="AL627" s="25">
        <f>(B627-DATE(1970,1,1))*86400</f>
        <v>1703635200</v>
      </c>
      <c r="AM627" s="25">
        <f>(C627-DATE(1970,1,1))*86400</f>
        <v>1704672000</v>
      </c>
      <c r="AN627" s="25">
        <f>AVERAGE(AL627:AM627)</f>
        <v>1704153600</v>
      </c>
    </row>
    <row r="628" spans="1:40" ht="15.75" customHeight="1" x14ac:dyDescent="0.2">
      <c r="A628" s="283" t="s">
        <v>123</v>
      </c>
      <c r="B628" s="28">
        <v>45278</v>
      </c>
      <c r="C628" s="28">
        <v>45281</v>
      </c>
      <c r="D628" s="27" t="s">
        <v>139</v>
      </c>
      <c r="E628" s="331" t="s">
        <v>125</v>
      </c>
      <c r="F628" s="27"/>
      <c r="G628" s="27" t="s">
        <v>126</v>
      </c>
      <c r="H628" s="352">
        <v>1000</v>
      </c>
      <c r="I628" s="29">
        <v>47</v>
      </c>
      <c r="J628" s="29">
        <v>2</v>
      </c>
      <c r="K628" s="29">
        <v>3</v>
      </c>
      <c r="L628" s="29">
        <v>2</v>
      </c>
      <c r="M628" s="29">
        <v>12</v>
      </c>
      <c r="N628" s="29"/>
      <c r="O628" s="29">
        <v>1</v>
      </c>
      <c r="P628" s="29">
        <v>6</v>
      </c>
      <c r="Q628" s="29"/>
      <c r="R628" s="29"/>
      <c r="S628" s="29">
        <v>2</v>
      </c>
      <c r="T628" s="29">
        <v>3</v>
      </c>
      <c r="U628" s="29"/>
      <c r="V628" s="29">
        <v>11</v>
      </c>
      <c r="W628" s="29">
        <v>3</v>
      </c>
      <c r="X628" s="29">
        <v>8</v>
      </c>
      <c r="Y628" s="29"/>
      <c r="Z628" s="29"/>
      <c r="AA628" s="29">
        <v>0</v>
      </c>
      <c r="AB628" s="30">
        <f>100/(SUM(I628:Z628))</f>
        <v>1</v>
      </c>
      <c r="AC628" s="259">
        <f>SUM(I628:AA628)</f>
        <v>100</v>
      </c>
      <c r="AD628" s="29"/>
      <c r="AE628" s="29"/>
      <c r="AF628" s="29">
        <v>15</v>
      </c>
      <c r="AG628" s="31"/>
      <c r="AH628" s="32" t="s">
        <v>351</v>
      </c>
      <c r="AI628" s="32" t="s">
        <v>352</v>
      </c>
      <c r="AJ628" s="32" t="s">
        <v>353</v>
      </c>
      <c r="AK628" s="27" t="s">
        <v>354</v>
      </c>
      <c r="AL628" s="31">
        <f>(B628-DATE(1970,1,1))*86400</f>
        <v>1702857600</v>
      </c>
      <c r="AM628" s="31">
        <f>(C628-DATE(1970,1,1))*86400</f>
        <v>1703116800</v>
      </c>
      <c r="AN628" s="31">
        <f>AVERAGE(AL628:AM628)</f>
        <v>1702987200</v>
      </c>
    </row>
    <row r="629" spans="1:40" ht="15.75" customHeight="1" x14ac:dyDescent="0.2">
      <c r="A629" s="291" t="s">
        <v>123</v>
      </c>
      <c r="B629" s="90">
        <v>45261</v>
      </c>
      <c r="C629" s="90">
        <v>45291</v>
      </c>
      <c r="D629" s="47" t="s">
        <v>152</v>
      </c>
      <c r="E629" s="337" t="s">
        <v>125</v>
      </c>
      <c r="F629" s="47"/>
      <c r="G629" s="47" t="s">
        <v>126</v>
      </c>
      <c r="H629" s="356">
        <v>4000</v>
      </c>
      <c r="I629" s="49">
        <v>49</v>
      </c>
      <c r="J629" s="49">
        <v>2</v>
      </c>
      <c r="K629" s="49">
        <v>2</v>
      </c>
      <c r="L629" s="49">
        <v>1</v>
      </c>
      <c r="M629" s="49">
        <v>10</v>
      </c>
      <c r="N629" s="49"/>
      <c r="O629" s="49">
        <v>0</v>
      </c>
      <c r="P629" s="49">
        <v>4</v>
      </c>
      <c r="Q629" s="49"/>
      <c r="R629" s="49"/>
      <c r="S629" s="49">
        <v>2</v>
      </c>
      <c r="T629" s="49">
        <v>3</v>
      </c>
      <c r="U629" s="49"/>
      <c r="V629" s="49">
        <v>10</v>
      </c>
      <c r="W629" s="49">
        <v>2</v>
      </c>
      <c r="X629" s="49">
        <v>10</v>
      </c>
      <c r="Y629" s="49"/>
      <c r="Z629" s="49">
        <v>4</v>
      </c>
      <c r="AA629" s="49">
        <v>0</v>
      </c>
      <c r="AB629" s="50">
        <f>100/(SUM(I629:Z629))</f>
        <v>1.0101010101010102</v>
      </c>
      <c r="AC629" s="259">
        <f>SUM(I629:AA629)</f>
        <v>99</v>
      </c>
      <c r="AD629" s="49"/>
      <c r="AE629" s="49"/>
      <c r="AF629" s="49"/>
      <c r="AG629" s="51"/>
      <c r="AH629" s="52" t="s">
        <v>351</v>
      </c>
      <c r="AI629" s="52" t="s">
        <v>352</v>
      </c>
      <c r="AJ629" s="52" t="s">
        <v>353</v>
      </c>
      <c r="AK629" s="47" t="s">
        <v>354</v>
      </c>
      <c r="AL629" s="51">
        <f>(B629-DATE(1970,1,1))*86400</f>
        <v>1701388800</v>
      </c>
      <c r="AM629" s="51">
        <f>(C629-DATE(1970,1,1))*86400</f>
        <v>1703980800</v>
      </c>
      <c r="AN629" s="51">
        <f>AVERAGE(AL629:AM629)</f>
        <v>1702684800</v>
      </c>
    </row>
    <row r="630" spans="1:40" ht="15.75" customHeight="1" x14ac:dyDescent="0.2">
      <c r="A630" s="281" t="s">
        <v>133</v>
      </c>
      <c r="B630" s="54">
        <v>45272</v>
      </c>
      <c r="C630" s="54">
        <v>45275</v>
      </c>
      <c r="D630" s="53" t="s">
        <v>154</v>
      </c>
      <c r="E630" s="323" t="s">
        <v>125</v>
      </c>
      <c r="F630" s="53"/>
      <c r="G630" s="53" t="s">
        <v>126</v>
      </c>
      <c r="H630" s="357">
        <v>1003</v>
      </c>
      <c r="I630" s="55">
        <v>25</v>
      </c>
      <c r="J630" s="55">
        <v>4</v>
      </c>
      <c r="K630" s="55">
        <v>1</v>
      </c>
      <c r="L630" s="55">
        <v>1</v>
      </c>
      <c r="M630" s="55">
        <v>14</v>
      </c>
      <c r="N630" s="55"/>
      <c r="O630" s="55">
        <v>1</v>
      </c>
      <c r="P630" s="55">
        <v>4</v>
      </c>
      <c r="Q630" s="55"/>
      <c r="R630" s="56"/>
      <c r="S630" s="55">
        <v>1</v>
      </c>
      <c r="T630" s="55"/>
      <c r="U630" s="55">
        <v>5</v>
      </c>
      <c r="V630" s="55">
        <v>3</v>
      </c>
      <c r="W630" s="55"/>
      <c r="X630" s="55">
        <v>3</v>
      </c>
      <c r="Y630" s="55"/>
      <c r="Z630" s="55">
        <v>2</v>
      </c>
      <c r="AA630" s="55">
        <v>36</v>
      </c>
      <c r="AB630" s="57">
        <f>100/(SUM(I630:Z630))</f>
        <v>1.5625</v>
      </c>
      <c r="AC630" s="259">
        <f>SUM(I630:AA630)</f>
        <v>100</v>
      </c>
      <c r="AD630" s="55">
        <v>79</v>
      </c>
      <c r="AE630" s="55"/>
      <c r="AF630" s="55"/>
      <c r="AG630" s="58" t="s">
        <v>155</v>
      </c>
      <c r="AH630" s="59" t="s">
        <v>360</v>
      </c>
      <c r="AI630" s="59" t="s">
        <v>361</v>
      </c>
      <c r="AJ630" s="59"/>
      <c r="AK630" s="53" t="s">
        <v>362</v>
      </c>
      <c r="AL630" s="58">
        <f>(B630-DATE(1970,1,1))*86400</f>
        <v>1702339200</v>
      </c>
      <c r="AM630" s="58">
        <f>(C630-DATE(1970,1,1))*86400</f>
        <v>1702598400</v>
      </c>
      <c r="AN630" s="58">
        <f>AVERAGE(AL630:AM630)</f>
        <v>1702468800</v>
      </c>
    </row>
    <row r="631" spans="1:40" ht="15.75" customHeight="1" x14ac:dyDescent="0.2">
      <c r="A631" s="281" t="s">
        <v>133</v>
      </c>
      <c r="B631" s="54">
        <v>45272</v>
      </c>
      <c r="C631" s="54">
        <v>45275</v>
      </c>
      <c r="D631" s="53" t="s">
        <v>154</v>
      </c>
      <c r="E631" s="323" t="s">
        <v>125</v>
      </c>
      <c r="F631" s="53"/>
      <c r="G631" s="53" t="s">
        <v>126</v>
      </c>
      <c r="H631" s="357">
        <v>1003</v>
      </c>
      <c r="I631" s="55">
        <v>33</v>
      </c>
      <c r="J631" s="55">
        <v>5</v>
      </c>
      <c r="K631" s="55">
        <v>1</v>
      </c>
      <c r="L631" s="55">
        <v>1</v>
      </c>
      <c r="M631" s="55">
        <v>16</v>
      </c>
      <c r="N631" s="55"/>
      <c r="O631" s="55">
        <v>1</v>
      </c>
      <c r="P631" s="55">
        <v>5</v>
      </c>
      <c r="Q631" s="55"/>
      <c r="R631" s="56"/>
      <c r="S631" s="55">
        <v>0</v>
      </c>
      <c r="T631" s="55"/>
      <c r="U631" s="55">
        <v>6</v>
      </c>
      <c r="V631" s="55">
        <v>3</v>
      </c>
      <c r="W631" s="55"/>
      <c r="X631" s="55">
        <v>3</v>
      </c>
      <c r="Y631" s="55"/>
      <c r="Z631" s="55">
        <v>2</v>
      </c>
      <c r="AA631" s="55">
        <v>24</v>
      </c>
      <c r="AB631" s="57">
        <f>100/(SUM(I631:Z631))</f>
        <v>1.3157894736842106</v>
      </c>
      <c r="AC631" s="259">
        <f>SUM(I631:AA631)</f>
        <v>100</v>
      </c>
      <c r="AD631" s="55"/>
      <c r="AE631" s="55"/>
      <c r="AF631" s="55"/>
      <c r="AG631" s="58" t="s">
        <v>155</v>
      </c>
      <c r="AH631" s="59" t="s">
        <v>360</v>
      </c>
      <c r="AI631" s="59" t="s">
        <v>361</v>
      </c>
      <c r="AJ631" s="59"/>
      <c r="AK631" s="53" t="s">
        <v>363</v>
      </c>
      <c r="AL631" s="58">
        <f>(B631-DATE(1970,1,1))*86400</f>
        <v>1702339200</v>
      </c>
      <c r="AM631" s="58">
        <f>(C631-DATE(1970,1,1))*86400</f>
        <v>1702598400</v>
      </c>
      <c r="AN631" s="58">
        <f>AVERAGE(AL631:AM631)</f>
        <v>1702468800</v>
      </c>
    </row>
    <row r="632" spans="1:40" ht="15.75" customHeight="1" x14ac:dyDescent="0.2">
      <c r="A632" s="281" t="s">
        <v>123</v>
      </c>
      <c r="B632" s="54">
        <v>45272</v>
      </c>
      <c r="C632" s="54">
        <v>45275</v>
      </c>
      <c r="D632" s="53" t="s">
        <v>154</v>
      </c>
      <c r="E632" s="323" t="s">
        <v>125</v>
      </c>
      <c r="F632" s="53"/>
      <c r="G632" s="53" t="s">
        <v>126</v>
      </c>
      <c r="H632" s="357">
        <v>1003</v>
      </c>
      <c r="I632" s="55">
        <v>46</v>
      </c>
      <c r="J632" s="55">
        <v>6</v>
      </c>
      <c r="K632" s="55">
        <v>2</v>
      </c>
      <c r="L632" s="55">
        <v>1</v>
      </c>
      <c r="M632" s="55">
        <v>18</v>
      </c>
      <c r="N632" s="55"/>
      <c r="O632" s="55">
        <v>1</v>
      </c>
      <c r="P632" s="55">
        <v>7</v>
      </c>
      <c r="Q632" s="55"/>
      <c r="R632" s="56"/>
      <c r="S632" s="55">
        <v>1</v>
      </c>
      <c r="T632" s="55"/>
      <c r="U632" s="55">
        <v>7</v>
      </c>
      <c r="V632" s="55">
        <v>4</v>
      </c>
      <c r="W632" s="55"/>
      <c r="X632" s="55">
        <v>4</v>
      </c>
      <c r="Y632" s="55"/>
      <c r="Z632" s="55">
        <v>3</v>
      </c>
      <c r="AA632" s="55">
        <v>0</v>
      </c>
      <c r="AB632" s="57">
        <f>100/(SUM(I632:Z632))</f>
        <v>1</v>
      </c>
      <c r="AC632" s="259">
        <f>SUM(I632:AA632)</f>
        <v>100</v>
      </c>
      <c r="AD632" s="55"/>
      <c r="AE632" s="55"/>
      <c r="AF632" s="55"/>
      <c r="AG632" s="58" t="s">
        <v>155</v>
      </c>
      <c r="AH632" s="59" t="s">
        <v>360</v>
      </c>
      <c r="AI632" s="59" t="s">
        <v>361</v>
      </c>
      <c r="AJ632" s="59"/>
      <c r="AK632" s="53" t="s">
        <v>364</v>
      </c>
      <c r="AL632" s="58">
        <f>(B632-DATE(1970,1,1))*86400</f>
        <v>1702339200</v>
      </c>
      <c r="AM632" s="58">
        <f>(C632-DATE(1970,1,1))*86400</f>
        <v>1702598400</v>
      </c>
      <c r="AN632" s="58">
        <f>AVERAGE(AL632:AM632)</f>
        <v>1702468800</v>
      </c>
    </row>
    <row r="633" spans="1:40" ht="15.75" customHeight="1" x14ac:dyDescent="0.2">
      <c r="A633" s="283" t="s">
        <v>123</v>
      </c>
      <c r="B633" s="28">
        <v>45272</v>
      </c>
      <c r="C633" s="28">
        <v>45274</v>
      </c>
      <c r="D633" s="27" t="s">
        <v>139</v>
      </c>
      <c r="E633" s="331" t="s">
        <v>125</v>
      </c>
      <c r="F633" s="27" t="s">
        <v>2495</v>
      </c>
      <c r="G633" s="27" t="s">
        <v>126</v>
      </c>
      <c r="H633" s="368">
        <v>180</v>
      </c>
      <c r="I633" s="29">
        <v>38</v>
      </c>
      <c r="J633" s="29"/>
      <c r="K633" s="29"/>
      <c r="L633" s="29"/>
      <c r="M633" s="29">
        <v>17</v>
      </c>
      <c r="N633" s="29"/>
      <c r="O633" s="29"/>
      <c r="P633" s="29">
        <v>18</v>
      </c>
      <c r="Q633" s="29"/>
      <c r="R633" s="29"/>
      <c r="S633" s="29"/>
      <c r="T633" s="29"/>
      <c r="U633" s="29"/>
      <c r="V633" s="29"/>
      <c r="W633" s="29"/>
      <c r="X633" s="29"/>
      <c r="Y633" s="29"/>
      <c r="Z633" s="29"/>
      <c r="AA633" s="29">
        <v>0</v>
      </c>
      <c r="AB633" s="30">
        <f>100/(SUM(I633:Z633))</f>
        <v>1.3698630136986301</v>
      </c>
      <c r="AC633" s="259">
        <f>SUM(I633:AA633)</f>
        <v>73</v>
      </c>
      <c r="AD633" s="29"/>
      <c r="AE633" s="29"/>
      <c r="AF633" s="29"/>
      <c r="AG633" s="31" t="s">
        <v>365</v>
      </c>
      <c r="AH633" s="32" t="s">
        <v>366</v>
      </c>
      <c r="AI633" s="32"/>
      <c r="AJ633" s="32"/>
      <c r="AK633" s="27" t="s">
        <v>2517</v>
      </c>
      <c r="AL633" s="31">
        <f>(B633-DATE(1970,1,1))*86400</f>
        <v>1702339200</v>
      </c>
      <c r="AM633" s="31">
        <f>(C633-DATE(1970,1,1))*86400</f>
        <v>1702512000</v>
      </c>
      <c r="AN633" s="31">
        <f>AVERAGE(AL633:AM633)</f>
        <v>1702425600</v>
      </c>
    </row>
    <row r="634" spans="1:40" ht="15.75" customHeight="1" x14ac:dyDescent="0.2">
      <c r="A634" s="283" t="s">
        <v>123</v>
      </c>
      <c r="B634" s="28">
        <v>45272</v>
      </c>
      <c r="C634" s="28">
        <v>45274</v>
      </c>
      <c r="D634" s="27" t="s">
        <v>139</v>
      </c>
      <c r="E634" s="331" t="s">
        <v>125</v>
      </c>
      <c r="F634" s="27"/>
      <c r="G634" s="27" t="s">
        <v>126</v>
      </c>
      <c r="H634" s="352">
        <v>1000</v>
      </c>
      <c r="I634" s="29">
        <v>51</v>
      </c>
      <c r="J634" s="29">
        <v>2</v>
      </c>
      <c r="K634" s="29">
        <v>6</v>
      </c>
      <c r="L634" s="29">
        <v>1</v>
      </c>
      <c r="M634" s="29">
        <v>13</v>
      </c>
      <c r="N634" s="29"/>
      <c r="O634" s="29">
        <v>1</v>
      </c>
      <c r="P634" s="29">
        <v>6</v>
      </c>
      <c r="Q634" s="29"/>
      <c r="R634" s="29"/>
      <c r="S634" s="29"/>
      <c r="T634" s="29">
        <v>2</v>
      </c>
      <c r="U634" s="29"/>
      <c r="V634" s="29">
        <v>7</v>
      </c>
      <c r="W634" s="29"/>
      <c r="X634" s="29">
        <v>10</v>
      </c>
      <c r="Y634" s="29"/>
      <c r="Z634" s="29">
        <v>1</v>
      </c>
      <c r="AA634" s="29">
        <v>0</v>
      </c>
      <c r="AB634" s="30">
        <f>100/(SUM(I634:Z634))</f>
        <v>1</v>
      </c>
      <c r="AC634" s="259">
        <f>SUM(I634:AA634)</f>
        <v>100</v>
      </c>
      <c r="AD634" s="29"/>
      <c r="AE634" s="29"/>
      <c r="AF634" s="29">
        <v>15</v>
      </c>
      <c r="AG634" s="31" t="s">
        <v>365</v>
      </c>
      <c r="AH634" s="32" t="s">
        <v>366</v>
      </c>
      <c r="AI634" s="32"/>
      <c r="AJ634" s="32"/>
      <c r="AK634" s="27"/>
      <c r="AL634" s="31">
        <f>(B634-DATE(1970,1,1))*86400</f>
        <v>1702339200</v>
      </c>
      <c r="AM634" s="31">
        <f>(C634-DATE(1970,1,1))*86400</f>
        <v>1702512000</v>
      </c>
      <c r="AN634" s="31">
        <f>AVERAGE(AL634:AM634)</f>
        <v>1702425600</v>
      </c>
    </row>
    <row r="635" spans="1:40" ht="15.75" customHeight="1" x14ac:dyDescent="0.2">
      <c r="A635" s="286" t="s">
        <v>133</v>
      </c>
      <c r="B635" s="106">
        <v>45261</v>
      </c>
      <c r="C635" s="106">
        <v>45280</v>
      </c>
      <c r="D635" s="40" t="s">
        <v>148</v>
      </c>
      <c r="E635" s="325" t="s">
        <v>125</v>
      </c>
      <c r="F635" s="40" t="s">
        <v>2518</v>
      </c>
      <c r="G635" s="40" t="s">
        <v>149</v>
      </c>
      <c r="H635" s="325">
        <v>1800</v>
      </c>
      <c r="I635" s="42">
        <v>25</v>
      </c>
      <c r="J635" s="42">
        <v>10</v>
      </c>
      <c r="K635" s="42">
        <v>1</v>
      </c>
      <c r="L635" s="42">
        <v>4</v>
      </c>
      <c r="M635" s="42">
        <v>23</v>
      </c>
      <c r="N635" s="42"/>
      <c r="O635" s="42">
        <v>2</v>
      </c>
      <c r="P635" s="42">
        <v>8</v>
      </c>
      <c r="Q635" s="42"/>
      <c r="R635" s="43"/>
      <c r="S635" s="42"/>
      <c r="T635" s="42"/>
      <c r="U635" s="42"/>
      <c r="V635" s="42">
        <v>5</v>
      </c>
      <c r="W635" s="42"/>
      <c r="X635" s="42">
        <v>4</v>
      </c>
      <c r="Y635" s="42"/>
      <c r="Z635" s="42">
        <v>2</v>
      </c>
      <c r="AA635" s="42">
        <v>15</v>
      </c>
      <c r="AB635" s="44">
        <f>100/(SUM(I635:Z635))</f>
        <v>1.1904761904761905</v>
      </c>
      <c r="AC635" s="259">
        <f>SUM(I635:AA635)</f>
        <v>99</v>
      </c>
      <c r="AD635" s="42"/>
      <c r="AE635" s="43"/>
      <c r="AF635" s="43"/>
      <c r="AG635" s="45" t="s">
        <v>127</v>
      </c>
      <c r="AH635" s="46" t="s">
        <v>367</v>
      </c>
      <c r="AI635" s="46" t="s">
        <v>368</v>
      </c>
      <c r="AJ635" s="46" t="s">
        <v>369</v>
      </c>
      <c r="AK635" s="40" t="s">
        <v>370</v>
      </c>
      <c r="AL635" s="45">
        <f>(B635-DATE(1970,1,1))*86400</f>
        <v>1701388800</v>
      </c>
      <c r="AM635" s="45">
        <f>(C635-DATE(1970,1,1))*86400</f>
        <v>1703030400</v>
      </c>
      <c r="AN635" s="45">
        <f>AVERAGE(AL635:AM635)</f>
        <v>1702209600</v>
      </c>
    </row>
    <row r="636" spans="1:40" ht="15.75" customHeight="1" x14ac:dyDescent="0.2">
      <c r="A636" s="286" t="s">
        <v>133</v>
      </c>
      <c r="B636" s="106">
        <v>45261</v>
      </c>
      <c r="C636" s="106">
        <v>45280</v>
      </c>
      <c r="D636" s="40" t="s">
        <v>148</v>
      </c>
      <c r="E636" s="325" t="s">
        <v>125</v>
      </c>
      <c r="F636" s="40" t="s">
        <v>2519</v>
      </c>
      <c r="G636" s="40" t="s">
        <v>149</v>
      </c>
      <c r="H636" s="325" t="s">
        <v>371</v>
      </c>
      <c r="I636" s="42"/>
      <c r="J636" s="42"/>
      <c r="K636" s="42"/>
      <c r="L636" s="42"/>
      <c r="M636" s="42"/>
      <c r="N636" s="42"/>
      <c r="O636" s="42"/>
      <c r="P636" s="42"/>
      <c r="Q636" s="42"/>
      <c r="R636" s="43"/>
      <c r="S636" s="42"/>
      <c r="T636" s="42"/>
      <c r="U636" s="42"/>
      <c r="V636" s="42"/>
      <c r="W636" s="42"/>
      <c r="X636" s="42"/>
      <c r="Y636" s="42"/>
      <c r="Z636" s="42"/>
      <c r="AA636" s="42"/>
      <c r="AB636" s="44" t="e">
        <f>100/(SUM(I636:Z636))</f>
        <v>#DIV/0!</v>
      </c>
      <c r="AC636" s="259">
        <f>SUM(I636:AA636)</f>
        <v>0</v>
      </c>
      <c r="AD636" s="42"/>
      <c r="AE636" s="43"/>
      <c r="AF636" s="43"/>
      <c r="AG636" s="45" t="s">
        <v>127</v>
      </c>
      <c r="AH636" s="46" t="s">
        <v>372</v>
      </c>
      <c r="AI636" s="46"/>
      <c r="AJ636" s="46"/>
      <c r="AK636" s="40" t="s">
        <v>373</v>
      </c>
      <c r="AL636" s="45">
        <f>(B636-DATE(1970,1,1))*86400</f>
        <v>1701388800</v>
      </c>
      <c r="AM636" s="45">
        <f>(C636-DATE(1970,1,1))*86400</f>
        <v>1703030400</v>
      </c>
      <c r="AN636" s="45">
        <f>AVERAGE(AL636:AM636)</f>
        <v>1702209600</v>
      </c>
    </row>
    <row r="637" spans="1:40" ht="15.75" customHeight="1" x14ac:dyDescent="0.2">
      <c r="A637" s="286" t="s">
        <v>123</v>
      </c>
      <c r="B637" s="106">
        <v>45261</v>
      </c>
      <c r="C637" s="106">
        <v>45280</v>
      </c>
      <c r="D637" s="40" t="s">
        <v>148</v>
      </c>
      <c r="E637" s="325" t="s">
        <v>125</v>
      </c>
      <c r="F637" s="40" t="s">
        <v>2518</v>
      </c>
      <c r="G637" s="40" t="s">
        <v>149</v>
      </c>
      <c r="H637" s="325">
        <v>1800</v>
      </c>
      <c r="I637" s="42">
        <v>36</v>
      </c>
      <c r="J637" s="42">
        <v>16</v>
      </c>
      <c r="K637" s="42">
        <v>2</v>
      </c>
      <c r="L637" s="42">
        <v>4</v>
      </c>
      <c r="M637" s="42">
        <v>27</v>
      </c>
      <c r="N637" s="42"/>
      <c r="O637" s="42">
        <v>3</v>
      </c>
      <c r="P637" s="42">
        <v>7</v>
      </c>
      <c r="Q637" s="42"/>
      <c r="R637" s="43"/>
      <c r="S637" s="42"/>
      <c r="T637" s="42"/>
      <c r="U637" s="42"/>
      <c r="V637" s="42">
        <v>4</v>
      </c>
      <c r="W637" s="42"/>
      <c r="X637" s="42">
        <v>2</v>
      </c>
      <c r="Y637" s="42"/>
      <c r="Z637" s="42">
        <v>0</v>
      </c>
      <c r="AA637" s="42">
        <v>0</v>
      </c>
      <c r="AB637" s="44">
        <f>100/(SUM(I637:Z637))</f>
        <v>0.99009900990099009</v>
      </c>
      <c r="AC637" s="259">
        <f>SUM(I637:AA637)</f>
        <v>101</v>
      </c>
      <c r="AD637" s="42"/>
      <c r="AE637" s="43"/>
      <c r="AF637" s="43"/>
      <c r="AG637" s="45" t="s">
        <v>127</v>
      </c>
      <c r="AH637" s="46" t="s">
        <v>367</v>
      </c>
      <c r="AI637" s="46" t="s">
        <v>368</v>
      </c>
      <c r="AJ637" s="46" t="s">
        <v>369</v>
      </c>
      <c r="AK637" s="40" t="s">
        <v>370</v>
      </c>
      <c r="AL637" s="45">
        <f>(B637-DATE(1970,1,1))*86400</f>
        <v>1701388800</v>
      </c>
      <c r="AM637" s="45">
        <f>(C637-DATE(1970,1,1))*86400</f>
        <v>1703030400</v>
      </c>
      <c r="AN637" s="45">
        <f>AVERAGE(AL637:AM637)</f>
        <v>1702209600</v>
      </c>
    </row>
    <row r="638" spans="1:40" ht="15.75" customHeight="1" x14ac:dyDescent="0.2">
      <c r="A638" s="284" t="s">
        <v>133</v>
      </c>
      <c r="B638" s="20">
        <v>45260</v>
      </c>
      <c r="C638" s="20">
        <v>45273</v>
      </c>
      <c r="D638" s="19" t="s">
        <v>134</v>
      </c>
      <c r="E638" s="332" t="s">
        <v>125</v>
      </c>
      <c r="F638" s="19"/>
      <c r="G638" s="19" t="s">
        <v>135</v>
      </c>
      <c r="H638" s="332">
        <v>1500</v>
      </c>
      <c r="I638" s="21">
        <v>26</v>
      </c>
      <c r="J638" s="21">
        <v>2</v>
      </c>
      <c r="K638" s="21">
        <v>1</v>
      </c>
      <c r="L638" s="21">
        <v>1</v>
      </c>
      <c r="M638" s="21">
        <v>12</v>
      </c>
      <c r="N638" s="21"/>
      <c r="O638" s="21">
        <v>1</v>
      </c>
      <c r="P638" s="21">
        <v>5</v>
      </c>
      <c r="Q638" s="21"/>
      <c r="R638" s="22"/>
      <c r="S638" s="21"/>
      <c r="T638" s="21">
        <v>2</v>
      </c>
      <c r="U638" s="21"/>
      <c r="V638" s="21">
        <v>5</v>
      </c>
      <c r="W638" s="21"/>
      <c r="X638" s="21">
        <v>6</v>
      </c>
      <c r="Y638" s="21"/>
      <c r="Z638" s="21">
        <v>1</v>
      </c>
      <c r="AA638" s="21">
        <v>37</v>
      </c>
      <c r="AB638" s="23">
        <f>100/(SUM(I638:Z638))</f>
        <v>1.6129032258064515</v>
      </c>
      <c r="AC638" s="259">
        <f>SUM(I638:AA638)</f>
        <v>99</v>
      </c>
      <c r="AD638" s="24"/>
      <c r="AE638" s="24"/>
      <c r="AF638" s="24"/>
      <c r="AG638" s="25" t="s">
        <v>136</v>
      </c>
      <c r="AH638" s="26" t="s">
        <v>374</v>
      </c>
      <c r="AI638" s="26"/>
      <c r="AJ638" s="83" t="s">
        <v>375</v>
      </c>
      <c r="AK638" s="19" t="s">
        <v>376</v>
      </c>
      <c r="AL638" s="25">
        <f>(B638-DATE(1970,1,1))*86400</f>
        <v>1701302400</v>
      </c>
      <c r="AM638" s="25">
        <f>(C638-DATE(1970,1,1))*86400</f>
        <v>1702425600</v>
      </c>
      <c r="AN638" s="25">
        <f>AVERAGE(AL638:AM638)</f>
        <v>1701864000</v>
      </c>
    </row>
    <row r="639" spans="1:40" ht="15.75" customHeight="1" x14ac:dyDescent="0.2">
      <c r="A639" s="284" t="s">
        <v>123</v>
      </c>
      <c r="B639" s="20">
        <v>45260</v>
      </c>
      <c r="C639" s="20">
        <v>45273</v>
      </c>
      <c r="D639" s="19" t="s">
        <v>134</v>
      </c>
      <c r="E639" s="332" t="s">
        <v>125</v>
      </c>
      <c r="F639" s="19"/>
      <c r="G639" s="19" t="s">
        <v>135</v>
      </c>
      <c r="H639" s="332">
        <v>1500</v>
      </c>
      <c r="I639" s="21">
        <v>43</v>
      </c>
      <c r="J639" s="21">
        <v>3</v>
      </c>
      <c r="K639" s="21">
        <v>1</v>
      </c>
      <c r="L639" s="21">
        <v>2</v>
      </c>
      <c r="M639" s="21">
        <v>20</v>
      </c>
      <c r="N639" s="21"/>
      <c r="O639" s="21">
        <v>1</v>
      </c>
      <c r="P639" s="21">
        <v>7</v>
      </c>
      <c r="Q639" s="21"/>
      <c r="R639" s="22"/>
      <c r="S639" s="21"/>
      <c r="T639" s="21">
        <v>3</v>
      </c>
      <c r="U639" s="21"/>
      <c r="V639" s="21">
        <v>7</v>
      </c>
      <c r="W639" s="21"/>
      <c r="X639" s="21">
        <v>9</v>
      </c>
      <c r="Y639" s="21"/>
      <c r="Z639" s="21">
        <v>4</v>
      </c>
      <c r="AA639" s="21">
        <v>0</v>
      </c>
      <c r="AB639" s="23">
        <f>100/(SUM(I639:Z639))</f>
        <v>1</v>
      </c>
      <c r="AC639" s="259">
        <f>SUM(I639:AA639)</f>
        <v>100</v>
      </c>
      <c r="AD639" s="24"/>
      <c r="AE639" s="24"/>
      <c r="AF639" s="24"/>
      <c r="AG639" s="25" t="s">
        <v>136</v>
      </c>
      <c r="AH639" s="26" t="s">
        <v>374</v>
      </c>
      <c r="AI639" s="26"/>
      <c r="AJ639" s="83" t="s">
        <v>375</v>
      </c>
      <c r="AK639" s="19"/>
      <c r="AL639" s="25">
        <f>(B639-DATE(1970,1,1))*86400</f>
        <v>1701302400</v>
      </c>
      <c r="AM639" s="25">
        <f>(C639-DATE(1970,1,1))*86400</f>
        <v>1702425600</v>
      </c>
      <c r="AN639" s="25">
        <f>AVERAGE(AL639:AM639)</f>
        <v>1701864000</v>
      </c>
    </row>
    <row r="640" spans="1:40" ht="15.75" customHeight="1" x14ac:dyDescent="0.2">
      <c r="A640" s="283" t="s">
        <v>123</v>
      </c>
      <c r="B640" s="28">
        <v>45257</v>
      </c>
      <c r="C640" s="28">
        <v>45260</v>
      </c>
      <c r="D640" s="27" t="s">
        <v>139</v>
      </c>
      <c r="E640" s="331" t="s">
        <v>125</v>
      </c>
      <c r="F640" s="27" t="s">
        <v>140</v>
      </c>
      <c r="G640" s="27" t="s">
        <v>126</v>
      </c>
      <c r="H640" s="352">
        <v>1000</v>
      </c>
      <c r="I640" s="29"/>
      <c r="J640" s="29"/>
      <c r="K640" s="29"/>
      <c r="L640" s="29"/>
      <c r="M640" s="29"/>
      <c r="N640" s="29"/>
      <c r="O640" s="29"/>
      <c r="P640" s="29"/>
      <c r="Q640" s="29"/>
      <c r="R640" s="29"/>
      <c r="S640" s="29"/>
      <c r="T640" s="29"/>
      <c r="U640" s="29"/>
      <c r="V640" s="29"/>
      <c r="W640" s="29"/>
      <c r="X640" s="29"/>
      <c r="Y640" s="29"/>
      <c r="Z640" s="29"/>
      <c r="AA640" s="29"/>
      <c r="AB640" s="30" t="e">
        <f>100/(SUM(I640:Z640))</f>
        <v>#DIV/0!</v>
      </c>
      <c r="AC640" s="259">
        <f>SUM(I640:AA640)</f>
        <v>0</v>
      </c>
      <c r="AD640" s="29"/>
      <c r="AE640" s="29"/>
      <c r="AF640" s="29"/>
      <c r="AG640" s="31" t="s">
        <v>365</v>
      </c>
      <c r="AH640" s="32" t="s">
        <v>377</v>
      </c>
      <c r="AI640" s="32" t="s">
        <v>378</v>
      </c>
      <c r="AJ640" s="32"/>
      <c r="AK640" s="27"/>
      <c r="AL640" s="31">
        <f>(B640-DATE(1970,1,1))*86400</f>
        <v>1701043200</v>
      </c>
      <c r="AM640" s="31">
        <f>(C640-DATE(1970,1,1))*86400</f>
        <v>1701302400</v>
      </c>
      <c r="AN640" s="31">
        <f>AVERAGE(AL640:AM640)</f>
        <v>1701172800</v>
      </c>
    </row>
    <row r="641" spans="1:65" ht="15.75" customHeight="1" x14ac:dyDescent="0.2">
      <c r="A641" s="297" t="s">
        <v>133</v>
      </c>
      <c r="B641" s="60">
        <v>45247</v>
      </c>
      <c r="C641" s="60">
        <v>45254</v>
      </c>
      <c r="D641" s="61" t="s">
        <v>168</v>
      </c>
      <c r="E641" s="334" t="s">
        <v>125</v>
      </c>
      <c r="F641" s="61"/>
      <c r="G641" s="61" t="s">
        <v>126</v>
      </c>
      <c r="H641" s="334">
        <v>1000</v>
      </c>
      <c r="I641" s="63">
        <v>29</v>
      </c>
      <c r="J641" s="63">
        <v>3</v>
      </c>
      <c r="K641" s="63">
        <v>2</v>
      </c>
      <c r="L641" s="63">
        <v>3</v>
      </c>
      <c r="M641" s="63">
        <v>12</v>
      </c>
      <c r="N641" s="63"/>
      <c r="O641" s="63">
        <v>1</v>
      </c>
      <c r="P641" s="63">
        <v>5</v>
      </c>
      <c r="Q641" s="63"/>
      <c r="R641" s="64"/>
      <c r="S641" s="63"/>
      <c r="T641" s="63"/>
      <c r="U641" s="63"/>
      <c r="V641" s="63">
        <v>5</v>
      </c>
      <c r="W641" s="63"/>
      <c r="X641" s="63">
        <v>6</v>
      </c>
      <c r="Y641" s="63"/>
      <c r="Z641" s="63">
        <v>0</v>
      </c>
      <c r="AA641" s="63">
        <v>34</v>
      </c>
      <c r="AB641" s="65">
        <f>100/(SUM(I641:Z641))</f>
        <v>1.5151515151515151</v>
      </c>
      <c r="AC641" s="259">
        <f>SUM(I641:AA641)</f>
        <v>100</v>
      </c>
      <c r="AD641" s="63">
        <v>61</v>
      </c>
      <c r="AE641" s="64"/>
      <c r="AF641" s="64"/>
      <c r="AG641" s="66" t="s">
        <v>127</v>
      </c>
      <c r="AH641" s="67" t="s">
        <v>379</v>
      </c>
      <c r="AI641" s="67"/>
      <c r="AJ641" s="67"/>
      <c r="AK641" s="61" t="s">
        <v>380</v>
      </c>
      <c r="AL641" s="66">
        <f>(B641-DATE(1970,1,1))*86400</f>
        <v>1700179200</v>
      </c>
      <c r="AM641" s="66">
        <f>(C641-DATE(1970,1,1))*86400</f>
        <v>1700784000</v>
      </c>
      <c r="AN641" s="66">
        <f>AVERAGE(AL641:AM641)</f>
        <v>1700481600</v>
      </c>
    </row>
    <row r="642" spans="1:65" ht="15.75" customHeight="1" x14ac:dyDescent="0.2">
      <c r="A642" s="288" t="s">
        <v>133</v>
      </c>
      <c r="B642" s="60">
        <v>45247</v>
      </c>
      <c r="C642" s="60">
        <v>45254</v>
      </c>
      <c r="D642" s="61" t="s">
        <v>168</v>
      </c>
      <c r="E642" s="334" t="s">
        <v>125</v>
      </c>
      <c r="F642" s="61"/>
      <c r="G642" s="61" t="s">
        <v>126</v>
      </c>
      <c r="H642" s="334">
        <v>1000</v>
      </c>
      <c r="I642" s="63">
        <v>43</v>
      </c>
      <c r="J642" s="63">
        <v>5</v>
      </c>
      <c r="K642" s="63">
        <v>4</v>
      </c>
      <c r="L642" s="63">
        <v>5</v>
      </c>
      <c r="M642" s="63">
        <v>18</v>
      </c>
      <c r="N642" s="63"/>
      <c r="O642" s="63">
        <v>2</v>
      </c>
      <c r="P642" s="63">
        <v>7</v>
      </c>
      <c r="Q642" s="63"/>
      <c r="R642" s="64"/>
      <c r="S642" s="63"/>
      <c r="T642" s="63"/>
      <c r="U642" s="63"/>
      <c r="V642" s="63">
        <v>7</v>
      </c>
      <c r="W642" s="63"/>
      <c r="X642" s="63">
        <v>9</v>
      </c>
      <c r="Y642" s="63"/>
      <c r="Z642" s="63">
        <v>0</v>
      </c>
      <c r="AA642" s="63">
        <v>0</v>
      </c>
      <c r="AB642" s="65">
        <f>100/(SUM(I642:Z642))</f>
        <v>1</v>
      </c>
      <c r="AC642" s="259">
        <f>SUM(I642:AA642)</f>
        <v>100</v>
      </c>
      <c r="AD642" s="63"/>
      <c r="AE642" s="64"/>
      <c r="AF642" s="64"/>
      <c r="AG642" s="66" t="s">
        <v>127</v>
      </c>
      <c r="AH642" s="67" t="s">
        <v>379</v>
      </c>
      <c r="AI642" s="67"/>
      <c r="AJ642" s="67"/>
      <c r="AK642" s="61" t="s">
        <v>381</v>
      </c>
      <c r="AL642" s="66">
        <f>(B642-DATE(1970,1,1))*86400</f>
        <v>1700179200</v>
      </c>
      <c r="AM642" s="66">
        <f>(C642-DATE(1970,1,1))*86400</f>
        <v>1700784000</v>
      </c>
      <c r="AN642" s="66">
        <f>AVERAGE(AL642:AM642)</f>
        <v>1700481600</v>
      </c>
    </row>
    <row r="643" spans="1:65" ht="15.75" customHeight="1" x14ac:dyDescent="0.2">
      <c r="A643" s="285" t="s">
        <v>133</v>
      </c>
      <c r="B643" s="34">
        <v>45247</v>
      </c>
      <c r="C643" s="34">
        <v>45248</v>
      </c>
      <c r="D643" s="33" t="s">
        <v>143</v>
      </c>
      <c r="E643" s="319" t="s">
        <v>125</v>
      </c>
      <c r="F643" s="33" t="s">
        <v>140</v>
      </c>
      <c r="G643" s="33" t="s">
        <v>126</v>
      </c>
      <c r="H643" s="353">
        <v>600</v>
      </c>
      <c r="I643" s="35"/>
      <c r="J643" s="35"/>
      <c r="K643" s="35"/>
      <c r="L643" s="35"/>
      <c r="M643" s="35"/>
      <c r="N643" s="35"/>
      <c r="O643" s="35"/>
      <c r="P643" s="35"/>
      <c r="Q643" s="35"/>
      <c r="R643" s="36"/>
      <c r="S643" s="35"/>
      <c r="T643" s="35"/>
      <c r="U643" s="35"/>
      <c r="V643" s="35"/>
      <c r="W643" s="35"/>
      <c r="X643" s="35"/>
      <c r="Y643" s="35"/>
      <c r="Z643" s="35"/>
      <c r="AA643" s="35"/>
      <c r="AB643" s="37" t="e">
        <f>100/(SUM(I643:Z643))</f>
        <v>#DIV/0!</v>
      </c>
      <c r="AC643" s="259">
        <f>SUM(I643:AA643)</f>
        <v>0</v>
      </c>
      <c r="AD643" s="35"/>
      <c r="AE643" s="35"/>
      <c r="AF643" s="35"/>
      <c r="AG643" s="33" t="s">
        <v>144</v>
      </c>
      <c r="AH643" s="38"/>
      <c r="AI643" s="38"/>
      <c r="AJ643" s="33" t="s">
        <v>382</v>
      </c>
      <c r="AK643" s="33"/>
      <c r="AL643" s="39">
        <f>(B643-DATE(1970,1,1))*86400</f>
        <v>1700179200</v>
      </c>
      <c r="AM643" s="39">
        <f>(C643-DATE(1970,1,1))*86400</f>
        <v>1700265600</v>
      </c>
      <c r="AN643" s="39">
        <f>AVERAGE(AL643:AM643)</f>
        <v>1700222400</v>
      </c>
    </row>
    <row r="644" spans="1:65" ht="15.75" customHeight="1" x14ac:dyDescent="0.2">
      <c r="A644" s="285" t="s">
        <v>133</v>
      </c>
      <c r="B644" s="34">
        <v>45247</v>
      </c>
      <c r="C644" s="34">
        <v>45248</v>
      </c>
      <c r="D644" s="33" t="s">
        <v>143</v>
      </c>
      <c r="E644" s="319" t="s">
        <v>125</v>
      </c>
      <c r="F644" s="33" t="s">
        <v>140</v>
      </c>
      <c r="G644" s="33" t="s">
        <v>126</v>
      </c>
      <c r="H644" s="353">
        <v>600</v>
      </c>
      <c r="I644" s="35"/>
      <c r="J644" s="35"/>
      <c r="K644" s="35"/>
      <c r="L644" s="35"/>
      <c r="M644" s="35"/>
      <c r="N644" s="35"/>
      <c r="O644" s="35"/>
      <c r="P644" s="35"/>
      <c r="Q644" s="35"/>
      <c r="R644" s="36"/>
      <c r="S644" s="35"/>
      <c r="T644" s="35"/>
      <c r="U644" s="35"/>
      <c r="V644" s="35"/>
      <c r="W644" s="35"/>
      <c r="X644" s="35"/>
      <c r="Y644" s="35"/>
      <c r="Z644" s="35"/>
      <c r="AA644" s="35"/>
      <c r="AB644" s="37" t="e">
        <f>100/(SUM(I644:Z644))</f>
        <v>#DIV/0!</v>
      </c>
      <c r="AC644" s="259">
        <f>SUM(I644:AA644)</f>
        <v>0</v>
      </c>
      <c r="AD644" s="35"/>
      <c r="AE644" s="35"/>
      <c r="AF644" s="35"/>
      <c r="AG644" s="33" t="s">
        <v>144</v>
      </c>
      <c r="AH644" s="38"/>
      <c r="AI644" s="38"/>
      <c r="AJ644" s="33" t="s">
        <v>382</v>
      </c>
      <c r="AK644" s="33"/>
      <c r="AL644" s="39">
        <f>(B644-DATE(1970,1,1))*86400</f>
        <v>1700179200</v>
      </c>
      <c r="AM644" s="39">
        <f>(C644-DATE(1970,1,1))*86400</f>
        <v>1700265600</v>
      </c>
      <c r="AN644" s="39">
        <f>AVERAGE(AL644:AM644)</f>
        <v>1700222400</v>
      </c>
    </row>
    <row r="645" spans="1:65" ht="15.75" customHeight="1" x14ac:dyDescent="0.2">
      <c r="A645" s="285" t="s">
        <v>123</v>
      </c>
      <c r="B645" s="34">
        <v>45247</v>
      </c>
      <c r="C645" s="34">
        <v>45248</v>
      </c>
      <c r="D645" s="33" t="s">
        <v>143</v>
      </c>
      <c r="E645" s="319" t="s">
        <v>125</v>
      </c>
      <c r="F645" s="33" t="s">
        <v>140</v>
      </c>
      <c r="G645" s="33" t="s">
        <v>126</v>
      </c>
      <c r="H645" s="353">
        <v>600</v>
      </c>
      <c r="I645" s="35"/>
      <c r="J645" s="35"/>
      <c r="K645" s="35"/>
      <c r="L645" s="35"/>
      <c r="M645" s="35"/>
      <c r="N645" s="35"/>
      <c r="O645" s="35"/>
      <c r="P645" s="35"/>
      <c r="Q645" s="35"/>
      <c r="R645" s="36"/>
      <c r="S645" s="35"/>
      <c r="T645" s="35"/>
      <c r="U645" s="35"/>
      <c r="V645" s="35"/>
      <c r="W645" s="35"/>
      <c r="X645" s="35"/>
      <c r="Y645" s="35"/>
      <c r="Z645" s="35"/>
      <c r="AA645" s="35"/>
      <c r="AB645" s="37" t="e">
        <f>100/(SUM(I645:Z645))</f>
        <v>#DIV/0!</v>
      </c>
      <c r="AC645" s="259">
        <f>SUM(I645:AA645)</f>
        <v>0</v>
      </c>
      <c r="AD645" s="35"/>
      <c r="AE645" s="35"/>
      <c r="AF645" s="35"/>
      <c r="AG645" s="33" t="s">
        <v>144</v>
      </c>
      <c r="AH645" s="38"/>
      <c r="AI645" s="38"/>
      <c r="AJ645" s="33" t="s">
        <v>382</v>
      </c>
      <c r="AK645" s="33"/>
      <c r="AL645" s="39">
        <f>(B645-DATE(1970,1,1))*86400</f>
        <v>1700179200</v>
      </c>
      <c r="AM645" s="39">
        <f>(C645-DATE(1970,1,1))*86400</f>
        <v>1700265600</v>
      </c>
      <c r="AN645" s="39">
        <f>AVERAGE(AL645:AM645)</f>
        <v>1700222400</v>
      </c>
    </row>
    <row r="646" spans="1:65" ht="15.75" customHeight="1" x14ac:dyDescent="0.2">
      <c r="A646" s="287" t="s">
        <v>133</v>
      </c>
      <c r="B646" s="109">
        <v>45231</v>
      </c>
      <c r="C646" s="109">
        <v>45260</v>
      </c>
      <c r="D646" s="69" t="s">
        <v>183</v>
      </c>
      <c r="E646" s="333" t="s">
        <v>184</v>
      </c>
      <c r="F646" s="110" t="s">
        <v>195</v>
      </c>
      <c r="G646" s="110" t="s">
        <v>135</v>
      </c>
      <c r="H646" s="367">
        <v>1200</v>
      </c>
      <c r="I646" s="71">
        <v>33</v>
      </c>
      <c r="J646" s="71">
        <v>2</v>
      </c>
      <c r="K646" s="71">
        <v>4</v>
      </c>
      <c r="L646" s="71">
        <v>1</v>
      </c>
      <c r="M646" s="71">
        <v>10</v>
      </c>
      <c r="N646" s="71"/>
      <c r="O646" s="71">
        <v>1</v>
      </c>
      <c r="P646" s="71">
        <v>4</v>
      </c>
      <c r="Q646" s="71"/>
      <c r="R646" s="72"/>
      <c r="S646" s="71">
        <v>2</v>
      </c>
      <c r="T646" s="71">
        <v>3</v>
      </c>
      <c r="U646" s="71"/>
      <c r="V646" s="71">
        <v>5</v>
      </c>
      <c r="W646" s="71">
        <v>1</v>
      </c>
      <c r="X646" s="71">
        <v>7</v>
      </c>
      <c r="Y646" s="71"/>
      <c r="Z646" s="71"/>
      <c r="AA646" s="71">
        <v>26</v>
      </c>
      <c r="AB646" s="73">
        <f>100/(SUM(I646:Z646))</f>
        <v>1.3698630136986301</v>
      </c>
      <c r="AC646" s="259">
        <f>SUM(I646:AA646)</f>
        <v>99</v>
      </c>
      <c r="AD646" s="71"/>
      <c r="AE646" s="71"/>
      <c r="AF646" s="71"/>
      <c r="AG646" s="74"/>
      <c r="AH646" s="75" t="s">
        <v>323</v>
      </c>
      <c r="AI646" s="75"/>
      <c r="AJ646" s="75"/>
      <c r="AK646" s="69" t="s">
        <v>2298</v>
      </c>
      <c r="AL646" s="74">
        <f>(B646-DATE(1970,1,1))*86400</f>
        <v>1698796800</v>
      </c>
      <c r="AM646" s="74">
        <f>(C646-DATE(1970,1,1))*86400</f>
        <v>1701302400</v>
      </c>
      <c r="AN646" s="74">
        <f>AVERAGE(AL646:AM646)</f>
        <v>1700049600</v>
      </c>
    </row>
    <row r="647" spans="1:65" ht="15.75" customHeight="1" x14ac:dyDescent="0.2">
      <c r="A647" s="287" t="s">
        <v>123</v>
      </c>
      <c r="B647" s="109">
        <v>45231</v>
      </c>
      <c r="C647" s="109">
        <v>45260</v>
      </c>
      <c r="D647" s="69" t="s">
        <v>183</v>
      </c>
      <c r="E647" s="333" t="s">
        <v>184</v>
      </c>
      <c r="F647" s="110" t="s">
        <v>195</v>
      </c>
      <c r="G647" s="110" t="s">
        <v>135</v>
      </c>
      <c r="H647" s="367">
        <v>1200</v>
      </c>
      <c r="I647" s="71">
        <v>46</v>
      </c>
      <c r="J647" s="71">
        <v>2</v>
      </c>
      <c r="K647" s="71">
        <v>4</v>
      </c>
      <c r="L647" s="71">
        <v>2</v>
      </c>
      <c r="M647" s="71">
        <v>18</v>
      </c>
      <c r="N647" s="71"/>
      <c r="O647" s="71">
        <v>2</v>
      </c>
      <c r="P647" s="71">
        <v>6</v>
      </c>
      <c r="Q647" s="71"/>
      <c r="R647" s="72"/>
      <c r="S647" s="71">
        <v>2</v>
      </c>
      <c r="T647" s="71">
        <v>4</v>
      </c>
      <c r="U647" s="71"/>
      <c r="V647" s="71">
        <v>4</v>
      </c>
      <c r="W647" s="71">
        <v>2</v>
      </c>
      <c r="X647" s="71">
        <v>8</v>
      </c>
      <c r="Y647" s="71"/>
      <c r="Z647" s="71"/>
      <c r="AA647" s="71">
        <v>0</v>
      </c>
      <c r="AB647" s="73">
        <f>100/(SUM(I647:Z647))</f>
        <v>1</v>
      </c>
      <c r="AC647" s="259">
        <f>SUM(I647:AA647)</f>
        <v>100</v>
      </c>
      <c r="AD647" s="71"/>
      <c r="AE647" s="71"/>
      <c r="AF647" s="71"/>
      <c r="AG647" s="74"/>
      <c r="AH647" s="75" t="s">
        <v>323</v>
      </c>
      <c r="AI647" s="75"/>
      <c r="AJ647" s="75"/>
      <c r="AK647" s="69" t="s">
        <v>2298</v>
      </c>
      <c r="AL647" s="74">
        <f>(B647-DATE(1970,1,1))*86400</f>
        <v>1698796800</v>
      </c>
      <c r="AM647" s="74">
        <f>(C647-DATE(1970,1,1))*86400</f>
        <v>1701302400</v>
      </c>
      <c r="AN647" s="74">
        <f>AVERAGE(AL647:AM647)</f>
        <v>1700049600</v>
      </c>
    </row>
    <row r="648" spans="1:65" ht="15.75" customHeight="1" x14ac:dyDescent="0.2">
      <c r="A648" s="279" t="s">
        <v>123</v>
      </c>
      <c r="B648" s="14">
        <v>45243</v>
      </c>
      <c r="C648" s="14">
        <v>45245</v>
      </c>
      <c r="D648" s="13" t="s">
        <v>124</v>
      </c>
      <c r="E648" s="324" t="s">
        <v>125</v>
      </c>
      <c r="F648" s="13" t="s">
        <v>140</v>
      </c>
      <c r="G648" s="13" t="s">
        <v>126</v>
      </c>
      <c r="H648" s="349">
        <v>1000</v>
      </c>
      <c r="I648" s="15"/>
      <c r="J648" s="15"/>
      <c r="K648" s="15"/>
      <c r="L648" s="15"/>
      <c r="M648" s="15"/>
      <c r="N648" s="15"/>
      <c r="O648" s="15"/>
      <c r="P648" s="15"/>
      <c r="Q648" s="15"/>
      <c r="R648" s="98"/>
      <c r="S648" s="15"/>
      <c r="T648" s="15"/>
      <c r="U648" s="15"/>
      <c r="V648" s="15"/>
      <c r="W648" s="15"/>
      <c r="X648" s="15"/>
      <c r="Y648" s="15"/>
      <c r="Z648" s="15"/>
      <c r="AA648" s="15"/>
      <c r="AB648" s="16" t="e">
        <f>100/(SUM(I648:Z648))</f>
        <v>#DIV/0!</v>
      </c>
      <c r="AC648" s="259">
        <f>SUM(I648:AA648)</f>
        <v>0</v>
      </c>
      <c r="AD648" s="15"/>
      <c r="AE648" s="15"/>
      <c r="AF648" s="15"/>
      <c r="AG648" s="17" t="s">
        <v>127</v>
      </c>
      <c r="AH648" s="18"/>
      <c r="AI648" s="18"/>
      <c r="AJ648" s="18" t="s">
        <v>383</v>
      </c>
      <c r="AK648" s="13"/>
      <c r="AL648" s="17">
        <f>(B648-DATE(1970,1,1))*86400</f>
        <v>1699833600</v>
      </c>
      <c r="AM648" s="17">
        <f>(C648-DATE(1970,1,1))*86400</f>
        <v>1700006400</v>
      </c>
      <c r="AN648" s="17">
        <f>AVERAGE(AL648:AM648)</f>
        <v>1699920000</v>
      </c>
    </row>
    <row r="649" spans="1:65" ht="15.75" customHeight="1" x14ac:dyDescent="0.2">
      <c r="A649" s="286" t="s">
        <v>133</v>
      </c>
      <c r="B649" s="41">
        <v>45243</v>
      </c>
      <c r="C649" s="41">
        <v>45245</v>
      </c>
      <c r="D649" s="40" t="s">
        <v>148</v>
      </c>
      <c r="E649" s="325" t="s">
        <v>125</v>
      </c>
      <c r="F649" s="40" t="s">
        <v>2505</v>
      </c>
      <c r="G649" s="40" t="s">
        <v>126</v>
      </c>
      <c r="H649" s="325">
        <v>600</v>
      </c>
      <c r="I649" s="42"/>
      <c r="J649" s="42"/>
      <c r="K649" s="42"/>
      <c r="L649" s="42"/>
      <c r="M649" s="42"/>
      <c r="N649" s="42"/>
      <c r="O649" s="42"/>
      <c r="P649" s="42"/>
      <c r="Q649" s="42"/>
      <c r="R649" s="43"/>
      <c r="S649" s="42"/>
      <c r="T649" s="42"/>
      <c r="U649" s="42"/>
      <c r="V649" s="42"/>
      <c r="W649" s="42"/>
      <c r="X649" s="42"/>
      <c r="Y649" s="42"/>
      <c r="Z649" s="42"/>
      <c r="AA649" s="42"/>
      <c r="AB649" s="44" t="e">
        <f>100/(SUM(I649:Z649))</f>
        <v>#DIV/0!</v>
      </c>
      <c r="AC649" s="259">
        <f>SUM(I649:AA649)</f>
        <v>0</v>
      </c>
      <c r="AD649" s="42"/>
      <c r="AE649" s="43"/>
      <c r="AF649" s="43"/>
      <c r="AG649" s="45" t="s">
        <v>127</v>
      </c>
      <c r="AH649" s="46" t="s">
        <v>384</v>
      </c>
      <c r="AI649" s="46"/>
      <c r="AJ649" s="46"/>
      <c r="AK649" s="40" t="s">
        <v>385</v>
      </c>
      <c r="AL649" s="45">
        <f>(B649-DATE(1970,1,1))*86400</f>
        <v>1699833600</v>
      </c>
      <c r="AM649" s="45">
        <f>(C649-DATE(1970,1,1))*86400</f>
        <v>1700006400</v>
      </c>
      <c r="AN649" s="45">
        <f>AVERAGE(AL649:AM649)</f>
        <v>1699920000</v>
      </c>
    </row>
    <row r="650" spans="1:65" ht="15.75" customHeight="1" x14ac:dyDescent="0.2">
      <c r="A650" s="284" t="s">
        <v>133</v>
      </c>
      <c r="B650" s="20">
        <v>45230</v>
      </c>
      <c r="C650" s="20">
        <v>45246</v>
      </c>
      <c r="D650" s="19" t="s">
        <v>134</v>
      </c>
      <c r="E650" s="332">
        <v>1</v>
      </c>
      <c r="F650" s="19"/>
      <c r="G650" s="19" t="s">
        <v>135</v>
      </c>
      <c r="H650" s="332">
        <v>1500</v>
      </c>
      <c r="I650" s="21">
        <v>26</v>
      </c>
      <c r="J650" s="21">
        <v>2</v>
      </c>
      <c r="K650" s="21">
        <v>1</v>
      </c>
      <c r="L650" s="21">
        <v>1</v>
      </c>
      <c r="M650" s="21">
        <v>12</v>
      </c>
      <c r="N650" s="21"/>
      <c r="O650" s="21">
        <v>1</v>
      </c>
      <c r="P650" s="21">
        <v>5</v>
      </c>
      <c r="Q650" s="21"/>
      <c r="R650" s="22"/>
      <c r="S650" s="21"/>
      <c r="T650" s="21">
        <v>2</v>
      </c>
      <c r="U650" s="21"/>
      <c r="V650" s="21">
        <v>4</v>
      </c>
      <c r="W650" s="21"/>
      <c r="X650" s="21">
        <v>6</v>
      </c>
      <c r="Y650" s="21"/>
      <c r="Z650" s="21">
        <v>2</v>
      </c>
      <c r="AA650" s="21">
        <v>38</v>
      </c>
      <c r="AB650" s="23">
        <f>100/(SUM(I650:Z650))</f>
        <v>1.6129032258064515</v>
      </c>
      <c r="AC650" s="259">
        <f>SUM(I650:AA650)</f>
        <v>100</v>
      </c>
      <c r="AD650" s="24"/>
      <c r="AE650" s="24"/>
      <c r="AF650" s="24"/>
      <c r="AG650" s="25" t="s">
        <v>136</v>
      </c>
      <c r="AH650" s="26" t="s">
        <v>386</v>
      </c>
      <c r="AI650" s="26" t="s">
        <v>387</v>
      </c>
      <c r="AJ650" s="83"/>
      <c r="AK650" s="19" t="s">
        <v>388</v>
      </c>
      <c r="AL650" s="25">
        <f>(B650-DATE(1970,1,1))*86400</f>
        <v>1698710400</v>
      </c>
      <c r="AM650" s="25">
        <f>(C650-DATE(1970,1,1))*86400</f>
        <v>1700092800</v>
      </c>
      <c r="AN650" s="25">
        <f>AVERAGE(AL650:AM650)</f>
        <v>1699401600</v>
      </c>
    </row>
    <row r="651" spans="1:65" ht="15.75" customHeight="1" x14ac:dyDescent="0.2">
      <c r="A651" s="284" t="s">
        <v>123</v>
      </c>
      <c r="B651" s="20">
        <v>45230</v>
      </c>
      <c r="C651" s="20">
        <v>45246</v>
      </c>
      <c r="D651" s="19" t="s">
        <v>134</v>
      </c>
      <c r="E651" s="332">
        <v>1</v>
      </c>
      <c r="F651" s="19"/>
      <c r="G651" s="19" t="s">
        <v>135</v>
      </c>
      <c r="H651" s="332">
        <v>1500</v>
      </c>
      <c r="I651" s="21">
        <v>45</v>
      </c>
      <c r="J651" s="21">
        <v>3</v>
      </c>
      <c r="K651" s="21">
        <v>2</v>
      </c>
      <c r="L651" s="21">
        <v>1</v>
      </c>
      <c r="M651" s="21">
        <v>20</v>
      </c>
      <c r="N651" s="21"/>
      <c r="O651" s="21">
        <v>1</v>
      </c>
      <c r="P651" s="21">
        <v>7</v>
      </c>
      <c r="Q651" s="21"/>
      <c r="R651" s="22"/>
      <c r="S651" s="21"/>
      <c r="T651" s="21">
        <v>3</v>
      </c>
      <c r="U651" s="21"/>
      <c r="V651" s="21">
        <v>6</v>
      </c>
      <c r="W651" s="21"/>
      <c r="X651" s="21">
        <v>8</v>
      </c>
      <c r="Y651" s="21"/>
      <c r="Z651" s="21">
        <v>4</v>
      </c>
      <c r="AA651" s="21">
        <v>0</v>
      </c>
      <c r="AB651" s="23">
        <f>100/(SUM(I651:Z651))</f>
        <v>1</v>
      </c>
      <c r="AC651" s="259">
        <f>SUM(I651:AA651)</f>
        <v>100</v>
      </c>
      <c r="AD651" s="24"/>
      <c r="AE651" s="24"/>
      <c r="AF651" s="24"/>
      <c r="AG651" s="25" t="s">
        <v>136</v>
      </c>
      <c r="AH651" s="26" t="s">
        <v>386</v>
      </c>
      <c r="AI651" s="26" t="s">
        <v>387</v>
      </c>
      <c r="AJ651" s="83"/>
      <c r="AK651" s="19"/>
      <c r="AL651" s="25">
        <f>(B651-DATE(1970,1,1))*86400</f>
        <v>1698710400</v>
      </c>
      <c r="AM651" s="25">
        <f>(C651-DATE(1970,1,1))*86400</f>
        <v>1700092800</v>
      </c>
      <c r="AN651" s="25">
        <f>AVERAGE(AL651:AM651)</f>
        <v>1699401600</v>
      </c>
    </row>
    <row r="652" spans="1:65" ht="15.75" customHeight="1" x14ac:dyDescent="0.2">
      <c r="A652" s="286" t="s">
        <v>133</v>
      </c>
      <c r="B652" s="41">
        <v>45233</v>
      </c>
      <c r="C652" s="41">
        <v>45237</v>
      </c>
      <c r="D652" s="40" t="s">
        <v>148</v>
      </c>
      <c r="E652" s="325" t="s">
        <v>125</v>
      </c>
      <c r="F652" s="40" t="s">
        <v>2520</v>
      </c>
      <c r="G652" s="40" t="s">
        <v>126</v>
      </c>
      <c r="H652" s="325">
        <v>600</v>
      </c>
      <c r="I652" s="42"/>
      <c r="J652" s="42"/>
      <c r="K652" s="42"/>
      <c r="L652" s="42"/>
      <c r="M652" s="42"/>
      <c r="N652" s="42"/>
      <c r="O652" s="42"/>
      <c r="P652" s="42"/>
      <c r="Q652" s="42"/>
      <c r="R652" s="43"/>
      <c r="S652" s="42"/>
      <c r="T652" s="42"/>
      <c r="U652" s="42"/>
      <c r="V652" s="42"/>
      <c r="W652" s="42"/>
      <c r="X652" s="42"/>
      <c r="Y652" s="42"/>
      <c r="Z652" s="42"/>
      <c r="AA652" s="42"/>
      <c r="AB652" s="44" t="e">
        <f>100/(SUM(I652:Z652))</f>
        <v>#DIV/0!</v>
      </c>
      <c r="AC652" s="259">
        <f>SUM(I652:AA652)</f>
        <v>0</v>
      </c>
      <c r="AD652" s="42"/>
      <c r="AE652" s="43"/>
      <c r="AF652" s="43"/>
      <c r="AG652" s="45" t="s">
        <v>127</v>
      </c>
      <c r="AH652" s="46" t="s">
        <v>384</v>
      </c>
      <c r="AI652" s="46"/>
      <c r="AJ652" s="46"/>
      <c r="AK652" s="40" t="s">
        <v>389</v>
      </c>
      <c r="AL652" s="45">
        <f>(B652-DATE(1970,1,1))*86400</f>
        <v>1698969600</v>
      </c>
      <c r="AM652" s="45">
        <f>(C652-DATE(1970,1,1))*86400</f>
        <v>1699315200</v>
      </c>
      <c r="AN652" s="45">
        <f>AVERAGE(AL652:AM652)</f>
        <v>1699142400</v>
      </c>
    </row>
    <row r="653" spans="1:65" ht="15.75" customHeight="1" x14ac:dyDescent="0.2">
      <c r="A653" s="301" t="s">
        <v>133</v>
      </c>
      <c r="B653" s="41">
        <v>45228</v>
      </c>
      <c r="C653" s="41">
        <v>45238</v>
      </c>
      <c r="D653" s="40" t="s">
        <v>148</v>
      </c>
      <c r="E653" s="325" t="s">
        <v>125</v>
      </c>
      <c r="F653" s="40"/>
      <c r="G653" s="40" t="s">
        <v>149</v>
      </c>
      <c r="H653" s="325">
        <v>1000</v>
      </c>
      <c r="I653" s="42">
        <v>32</v>
      </c>
      <c r="J653" s="42">
        <v>4</v>
      </c>
      <c r="K653" s="42">
        <v>4</v>
      </c>
      <c r="L653" s="42">
        <v>3</v>
      </c>
      <c r="M653" s="42">
        <v>14</v>
      </c>
      <c r="N653" s="42"/>
      <c r="O653" s="42">
        <v>1</v>
      </c>
      <c r="P653" s="42">
        <v>5</v>
      </c>
      <c r="Q653" s="42"/>
      <c r="R653" s="43"/>
      <c r="S653" s="42"/>
      <c r="T653" s="42"/>
      <c r="U653" s="42"/>
      <c r="V653" s="42">
        <v>3</v>
      </c>
      <c r="W653" s="42"/>
      <c r="X653" s="42">
        <v>6</v>
      </c>
      <c r="Y653" s="42"/>
      <c r="Z653" s="42">
        <v>3</v>
      </c>
      <c r="AA653" s="42">
        <v>25</v>
      </c>
      <c r="AB653" s="44">
        <f>100/(SUM(I653:Z653))</f>
        <v>1.3333333333333333</v>
      </c>
      <c r="AC653" s="259">
        <f>SUM(I653:AA653)</f>
        <v>100</v>
      </c>
      <c r="AD653" s="42"/>
      <c r="AE653" s="43"/>
      <c r="AF653" s="43"/>
      <c r="AG653" s="45" t="s">
        <v>391</v>
      </c>
      <c r="AH653" s="46" t="s">
        <v>393</v>
      </c>
      <c r="AI653" s="46" t="s">
        <v>384</v>
      </c>
      <c r="AJ653" s="46" t="s">
        <v>392</v>
      </c>
      <c r="AK653" s="40" t="s">
        <v>395</v>
      </c>
      <c r="AL653" s="45">
        <f>(B653-DATE(1970,1,1))*86400</f>
        <v>1698537600</v>
      </c>
      <c r="AM653" s="45">
        <f>(C653-DATE(1970,1,1))*86400</f>
        <v>1699401600</v>
      </c>
      <c r="AN653" s="45">
        <f>AVERAGE(AL653:AM653)</f>
        <v>1698969600</v>
      </c>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row>
    <row r="654" spans="1:65" ht="15.75" customHeight="1" x14ac:dyDescent="0.2">
      <c r="A654" s="286" t="s">
        <v>133</v>
      </c>
      <c r="B654" s="41">
        <v>45228</v>
      </c>
      <c r="C654" s="41">
        <v>45238</v>
      </c>
      <c r="D654" s="40" t="s">
        <v>148</v>
      </c>
      <c r="E654" s="325" t="s">
        <v>125</v>
      </c>
      <c r="F654" s="40" t="s">
        <v>390</v>
      </c>
      <c r="G654" s="40" t="s">
        <v>149</v>
      </c>
      <c r="H654" s="325">
        <v>1000</v>
      </c>
      <c r="I654" s="42">
        <v>34</v>
      </c>
      <c r="J654" s="42"/>
      <c r="K654" s="42"/>
      <c r="L654" s="42"/>
      <c r="M654" s="42"/>
      <c r="N654" s="42"/>
      <c r="O654" s="42"/>
      <c r="P654" s="42"/>
      <c r="Q654" s="42"/>
      <c r="R654" s="43"/>
      <c r="S654" s="42"/>
      <c r="T654" s="42"/>
      <c r="U654" s="42">
        <v>35</v>
      </c>
      <c r="V654" s="42">
        <v>4</v>
      </c>
      <c r="W654" s="42"/>
      <c r="X654" s="42">
        <v>6</v>
      </c>
      <c r="Y654" s="42"/>
      <c r="Z654" s="42">
        <v>1</v>
      </c>
      <c r="AA654" s="42">
        <v>20</v>
      </c>
      <c r="AB654" s="44">
        <f>100/(SUM(I654:Z654))</f>
        <v>1.25</v>
      </c>
      <c r="AC654" s="259">
        <f>SUM(I654:AA654)</f>
        <v>100</v>
      </c>
      <c r="AD654" s="42"/>
      <c r="AE654" s="43"/>
      <c r="AF654" s="43"/>
      <c r="AG654" s="45" t="s">
        <v>391</v>
      </c>
      <c r="AH654" s="46" t="s">
        <v>392</v>
      </c>
      <c r="AI654" s="46" t="s">
        <v>392</v>
      </c>
      <c r="AJ654" s="46"/>
      <c r="AK654" s="40"/>
      <c r="AL654" s="45">
        <f>(B654-DATE(1970,1,1))*86400</f>
        <v>1698537600</v>
      </c>
      <c r="AM654" s="45">
        <f>(C654-DATE(1970,1,1))*86400</f>
        <v>1699401600</v>
      </c>
      <c r="AN654" s="45">
        <f>AVERAGE(AL654:AM654)</f>
        <v>1698969600</v>
      </c>
    </row>
    <row r="655" spans="1:65" ht="15.75" customHeight="1" x14ac:dyDescent="0.2">
      <c r="A655" s="301" t="s">
        <v>133</v>
      </c>
      <c r="B655" s="41">
        <v>45228</v>
      </c>
      <c r="C655" s="41">
        <v>45238</v>
      </c>
      <c r="D655" s="40" t="s">
        <v>148</v>
      </c>
      <c r="E655" s="325" t="s">
        <v>125</v>
      </c>
      <c r="F655" s="40" t="s">
        <v>2495</v>
      </c>
      <c r="G655" s="40" t="s">
        <v>149</v>
      </c>
      <c r="H655" s="366">
        <v>180</v>
      </c>
      <c r="I655" s="42">
        <v>24</v>
      </c>
      <c r="J655" s="42">
        <v>6</v>
      </c>
      <c r="K655" s="42">
        <v>4</v>
      </c>
      <c r="L655" s="42">
        <v>5</v>
      </c>
      <c r="M655" s="42">
        <v>18</v>
      </c>
      <c r="N655" s="42"/>
      <c r="O655" s="42">
        <v>3</v>
      </c>
      <c r="P655" s="42">
        <v>13</v>
      </c>
      <c r="Q655" s="42"/>
      <c r="R655" s="43"/>
      <c r="S655" s="42"/>
      <c r="T655" s="42"/>
      <c r="U655" s="42"/>
      <c r="V655" s="42">
        <v>4</v>
      </c>
      <c r="W655" s="42"/>
      <c r="X655" s="42">
        <v>4</v>
      </c>
      <c r="Y655" s="42"/>
      <c r="Z655" s="43">
        <v>2</v>
      </c>
      <c r="AA655" s="43">
        <v>17</v>
      </c>
      <c r="AB655" s="44">
        <f>100/(SUM(I655:Z655))</f>
        <v>1.2048192771084338</v>
      </c>
      <c r="AC655" s="259">
        <f>SUM(I655:AA655)</f>
        <v>100</v>
      </c>
      <c r="AD655" s="42"/>
      <c r="AE655" s="43"/>
      <c r="AF655" s="43"/>
      <c r="AG655" s="45" t="s">
        <v>391</v>
      </c>
      <c r="AH655" s="46" t="s">
        <v>393</v>
      </c>
      <c r="AI655" s="46"/>
      <c r="AJ655" s="46"/>
      <c r="AK655" s="579" t="s">
        <v>394</v>
      </c>
      <c r="AL655" s="45">
        <f>(B655-DATE(1970,1,1))*86400</f>
        <v>1698537600</v>
      </c>
      <c r="AM655" s="45">
        <f>(C655-DATE(1970,1,1))*86400</f>
        <v>1699401600</v>
      </c>
      <c r="AN655" s="45">
        <f>AVERAGE(AL655:AM655)</f>
        <v>1698969600</v>
      </c>
    </row>
    <row r="656" spans="1:65" ht="15.75" customHeight="1" x14ac:dyDescent="0.2">
      <c r="A656" s="286" t="s">
        <v>123</v>
      </c>
      <c r="B656" s="41">
        <v>45228</v>
      </c>
      <c r="C656" s="41">
        <v>45238</v>
      </c>
      <c r="D656" s="40" t="s">
        <v>148</v>
      </c>
      <c r="E656" s="325" t="s">
        <v>125</v>
      </c>
      <c r="F656" s="40"/>
      <c r="G656" s="40" t="s">
        <v>149</v>
      </c>
      <c r="H656" s="325">
        <v>1000</v>
      </c>
      <c r="I656" s="42">
        <v>48</v>
      </c>
      <c r="J656" s="42">
        <v>4</v>
      </c>
      <c r="K656" s="42">
        <v>4</v>
      </c>
      <c r="L656" s="42">
        <v>3</v>
      </c>
      <c r="M656" s="42">
        <v>19</v>
      </c>
      <c r="N656" s="42"/>
      <c r="O656" s="42">
        <v>2</v>
      </c>
      <c r="P656" s="42">
        <v>6</v>
      </c>
      <c r="Q656" s="42"/>
      <c r="R656" s="43"/>
      <c r="S656" s="42"/>
      <c r="T656" s="42"/>
      <c r="U656" s="42"/>
      <c r="V656" s="42">
        <v>3</v>
      </c>
      <c r="W656" s="42"/>
      <c r="X656" s="42">
        <v>8</v>
      </c>
      <c r="Y656" s="42"/>
      <c r="Z656" s="42">
        <v>3</v>
      </c>
      <c r="AA656" s="42">
        <v>0</v>
      </c>
      <c r="AB656" s="44">
        <f>100/(SUM(I656:Z656))</f>
        <v>1</v>
      </c>
      <c r="AC656" s="259">
        <f>SUM(I656:AA656)</f>
        <v>100</v>
      </c>
      <c r="AD656" s="42"/>
      <c r="AE656" s="43"/>
      <c r="AF656" s="43"/>
      <c r="AG656" s="45" t="s">
        <v>391</v>
      </c>
      <c r="AH656" s="46" t="s">
        <v>393</v>
      </c>
      <c r="AI656" s="46" t="s">
        <v>384</v>
      </c>
      <c r="AJ656" s="46" t="s">
        <v>392</v>
      </c>
      <c r="AK656" s="40"/>
      <c r="AL656" s="45">
        <f>(B656-DATE(1970,1,1))*86400</f>
        <v>1698537600</v>
      </c>
      <c r="AM656" s="45">
        <f>(C656-DATE(1970,1,1))*86400</f>
        <v>1699401600</v>
      </c>
      <c r="AN656" s="45">
        <f>AVERAGE(AL656:AM656)</f>
        <v>1698969600</v>
      </c>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row>
    <row r="657" spans="1:65" ht="15.75" customHeight="1" x14ac:dyDescent="0.2">
      <c r="A657" s="297" t="s">
        <v>133</v>
      </c>
      <c r="B657" s="60">
        <v>45216</v>
      </c>
      <c r="C657" s="60">
        <v>45223</v>
      </c>
      <c r="D657" s="61" t="s">
        <v>168</v>
      </c>
      <c r="E657" s="334" t="s">
        <v>125</v>
      </c>
      <c r="F657" s="61"/>
      <c r="G657" s="61" t="s">
        <v>126</v>
      </c>
      <c r="H657" s="334">
        <v>1000</v>
      </c>
      <c r="I657" s="63">
        <v>29</v>
      </c>
      <c r="J657" s="63">
        <v>3</v>
      </c>
      <c r="K657" s="63">
        <v>2</v>
      </c>
      <c r="L657" s="63">
        <v>3</v>
      </c>
      <c r="M657" s="63">
        <v>12</v>
      </c>
      <c r="N657" s="63"/>
      <c r="O657" s="63">
        <v>1</v>
      </c>
      <c r="P657" s="63">
        <v>5</v>
      </c>
      <c r="Q657" s="63"/>
      <c r="R657" s="64"/>
      <c r="S657" s="63"/>
      <c r="T657" s="63"/>
      <c r="U657" s="63"/>
      <c r="V657" s="63">
        <v>5</v>
      </c>
      <c r="W657" s="63"/>
      <c r="X657" s="63">
        <v>7</v>
      </c>
      <c r="Y657" s="63"/>
      <c r="Z657" s="63">
        <v>0</v>
      </c>
      <c r="AA657" s="63">
        <v>33</v>
      </c>
      <c r="AB657" s="65">
        <f>100/(SUM(I657:Z657))</f>
        <v>1.4925373134328359</v>
      </c>
      <c r="AC657" s="259">
        <f>SUM(I657:AA657)</f>
        <v>100</v>
      </c>
      <c r="AD657" s="63">
        <v>62</v>
      </c>
      <c r="AE657" s="64"/>
      <c r="AF657" s="64"/>
      <c r="AG657" s="66" t="s">
        <v>127</v>
      </c>
      <c r="AH657" s="67" t="s">
        <v>396</v>
      </c>
      <c r="AI657" s="67" t="s">
        <v>397</v>
      </c>
      <c r="AJ657" s="67"/>
      <c r="AK657" s="61" t="s">
        <v>398</v>
      </c>
      <c r="AL657" s="66">
        <f>(B657-DATE(1970,1,1))*86400</f>
        <v>1697500800</v>
      </c>
      <c r="AM657" s="66">
        <f>(C657-DATE(1970,1,1))*86400</f>
        <v>1698105600</v>
      </c>
      <c r="AN657" s="66">
        <f>AVERAGE(AL657:AM657)</f>
        <v>1697803200</v>
      </c>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row>
    <row r="658" spans="1:65" ht="15.75" customHeight="1" x14ac:dyDescent="0.2">
      <c r="A658" s="288" t="s">
        <v>133</v>
      </c>
      <c r="B658" s="60">
        <v>45216</v>
      </c>
      <c r="C658" s="60">
        <v>45223</v>
      </c>
      <c r="D658" s="61" t="s">
        <v>168</v>
      </c>
      <c r="E658" s="334" t="s">
        <v>125</v>
      </c>
      <c r="F658" s="61"/>
      <c r="G658" s="61" t="s">
        <v>126</v>
      </c>
      <c r="H658" s="334">
        <v>1000</v>
      </c>
      <c r="I658" s="63">
        <v>43</v>
      </c>
      <c r="J658" s="63">
        <v>5</v>
      </c>
      <c r="K658" s="63">
        <v>3</v>
      </c>
      <c r="L658" s="63">
        <v>5</v>
      </c>
      <c r="M658" s="63">
        <v>18</v>
      </c>
      <c r="N658" s="63"/>
      <c r="O658" s="63">
        <v>2</v>
      </c>
      <c r="P658" s="63">
        <v>7</v>
      </c>
      <c r="Q658" s="63"/>
      <c r="R658" s="64"/>
      <c r="S658" s="63"/>
      <c r="T658" s="63"/>
      <c r="U658" s="63"/>
      <c r="V658" s="63">
        <v>5</v>
      </c>
      <c r="W658" s="63"/>
      <c r="X658" s="63">
        <v>10</v>
      </c>
      <c r="Y658" s="63"/>
      <c r="Z658" s="63">
        <v>0</v>
      </c>
      <c r="AA658" s="63">
        <v>0</v>
      </c>
      <c r="AB658" s="65">
        <f>100/(SUM(I658:Z658))</f>
        <v>1.0204081632653061</v>
      </c>
      <c r="AC658" s="259">
        <f>SUM(I658:AA658)</f>
        <v>98</v>
      </c>
      <c r="AD658" s="63"/>
      <c r="AE658" s="64"/>
      <c r="AF658" s="64"/>
      <c r="AG658" s="66" t="s">
        <v>127</v>
      </c>
      <c r="AH658" s="67" t="s">
        <v>396</v>
      </c>
      <c r="AI658" s="67" t="s">
        <v>397</v>
      </c>
      <c r="AJ658" s="67"/>
      <c r="AK658" s="61" t="s">
        <v>381</v>
      </c>
      <c r="AL658" s="66">
        <f>(B658-DATE(1970,1,1))*86400</f>
        <v>1697500800</v>
      </c>
      <c r="AM658" s="66">
        <f>(C658-DATE(1970,1,1))*86400</f>
        <v>1698105600</v>
      </c>
      <c r="AN658" s="66">
        <f>AVERAGE(AL658:AM658)</f>
        <v>1697803200</v>
      </c>
    </row>
    <row r="659" spans="1:65" ht="15.75" customHeight="1" x14ac:dyDescent="0.2">
      <c r="A659" s="287" t="s">
        <v>133</v>
      </c>
      <c r="B659" s="70">
        <v>45212</v>
      </c>
      <c r="C659" s="70">
        <v>45217</v>
      </c>
      <c r="D659" s="69" t="s">
        <v>183</v>
      </c>
      <c r="E659" s="333" t="s">
        <v>184</v>
      </c>
      <c r="F659" s="69" t="s">
        <v>2521</v>
      </c>
      <c r="G659" s="69" t="s">
        <v>126</v>
      </c>
      <c r="H659" s="360">
        <v>1000</v>
      </c>
      <c r="I659" s="71">
        <v>32</v>
      </c>
      <c r="J659" s="71">
        <v>1</v>
      </c>
      <c r="K659" s="71">
        <v>2</v>
      </c>
      <c r="L659" s="71">
        <v>1</v>
      </c>
      <c r="M659" s="71">
        <v>10</v>
      </c>
      <c r="N659" s="71"/>
      <c r="O659" s="71">
        <v>1</v>
      </c>
      <c r="P659" s="71">
        <v>10</v>
      </c>
      <c r="Q659" s="71"/>
      <c r="R659" s="72"/>
      <c r="S659" s="71">
        <v>2</v>
      </c>
      <c r="T659" s="71">
        <v>2</v>
      </c>
      <c r="U659" s="71"/>
      <c r="V659" s="71">
        <v>8</v>
      </c>
      <c r="W659" s="71">
        <v>2</v>
      </c>
      <c r="X659" s="71">
        <v>8</v>
      </c>
      <c r="Y659" s="71"/>
      <c r="Z659" s="72">
        <v>0</v>
      </c>
      <c r="AA659" s="72">
        <v>22</v>
      </c>
      <c r="AB659" s="73">
        <f>100/(SUM(I659:Z659))</f>
        <v>1.2658227848101267</v>
      </c>
      <c r="AC659" s="259">
        <f>SUM(I659:AA659)</f>
        <v>101</v>
      </c>
      <c r="AD659" s="71"/>
      <c r="AE659" s="71"/>
      <c r="AF659" s="71"/>
      <c r="AG659" s="74"/>
      <c r="AH659" s="75" t="s">
        <v>399</v>
      </c>
      <c r="AI659" s="75" t="s">
        <v>1632</v>
      </c>
      <c r="AJ659" s="75"/>
      <c r="AK659" s="69" t="s">
        <v>400</v>
      </c>
      <c r="AL659" s="74">
        <f>(B659-DATE(1970,1,1))*86400</f>
        <v>1697155200</v>
      </c>
      <c r="AM659" s="74">
        <f>(C659-DATE(1970,1,1))*86400</f>
        <v>1697587200</v>
      </c>
      <c r="AN659" s="74">
        <f>AVERAGE(AL659:AM659)</f>
        <v>1697371200</v>
      </c>
    </row>
    <row r="660" spans="1:65" ht="15.75" customHeight="1" x14ac:dyDescent="0.2">
      <c r="A660" s="284" t="s">
        <v>133</v>
      </c>
      <c r="B660" s="20">
        <v>45197</v>
      </c>
      <c r="C660" s="20">
        <v>45212</v>
      </c>
      <c r="D660" s="19" t="s">
        <v>134</v>
      </c>
      <c r="E660" s="332" t="s">
        <v>125</v>
      </c>
      <c r="F660" s="19"/>
      <c r="G660" s="19" t="s">
        <v>135</v>
      </c>
      <c r="H660" s="332">
        <v>1500</v>
      </c>
      <c r="I660" s="21">
        <v>27</v>
      </c>
      <c r="J660" s="21">
        <v>2</v>
      </c>
      <c r="K660" s="21">
        <v>1</v>
      </c>
      <c r="L660" s="21">
        <v>1</v>
      </c>
      <c r="M660" s="21">
        <v>12</v>
      </c>
      <c r="N660" s="21"/>
      <c r="O660" s="21">
        <v>1</v>
      </c>
      <c r="P660" s="21">
        <v>5</v>
      </c>
      <c r="Q660" s="21"/>
      <c r="R660" s="22"/>
      <c r="S660" s="21"/>
      <c r="T660" s="21">
        <v>1</v>
      </c>
      <c r="U660" s="21"/>
      <c r="V660" s="21">
        <v>4</v>
      </c>
      <c r="W660" s="21"/>
      <c r="X660" s="21">
        <v>6</v>
      </c>
      <c r="Y660" s="21"/>
      <c r="Z660" s="21">
        <v>3</v>
      </c>
      <c r="AA660" s="21">
        <v>37</v>
      </c>
      <c r="AB660" s="23">
        <f>100/(SUM(I660:Z660))</f>
        <v>1.5873015873015872</v>
      </c>
      <c r="AC660" s="259">
        <f>SUM(I660:AA660)</f>
        <v>100</v>
      </c>
      <c r="AD660" s="24"/>
      <c r="AE660" s="24"/>
      <c r="AF660" s="24"/>
      <c r="AG660" s="25" t="s">
        <v>136</v>
      </c>
      <c r="AH660" s="26" t="s">
        <v>401</v>
      </c>
      <c r="AI660" s="26" t="s">
        <v>402</v>
      </c>
      <c r="AJ660" s="83"/>
      <c r="AK660" s="19" t="s">
        <v>376</v>
      </c>
      <c r="AL660" s="25">
        <f>(B660-DATE(1970,1,1))*86400</f>
        <v>1695859200</v>
      </c>
      <c r="AM660" s="25">
        <f>(C660-DATE(1970,1,1))*86400</f>
        <v>1697155200</v>
      </c>
      <c r="AN660" s="25">
        <f>AVERAGE(AL660:AM660)</f>
        <v>1696507200</v>
      </c>
    </row>
    <row r="661" spans="1:65" ht="15.75" customHeight="1" x14ac:dyDescent="0.2">
      <c r="A661" s="284" t="s">
        <v>123</v>
      </c>
      <c r="B661" s="20">
        <v>45197</v>
      </c>
      <c r="C661" s="20">
        <v>45212</v>
      </c>
      <c r="D661" s="19" t="s">
        <v>134</v>
      </c>
      <c r="E661" s="332" t="s">
        <v>125</v>
      </c>
      <c r="F661" s="19"/>
      <c r="G661" s="19" t="s">
        <v>135</v>
      </c>
      <c r="H661" s="332">
        <v>1500</v>
      </c>
      <c r="I661" s="21">
        <v>45</v>
      </c>
      <c r="J661" s="21">
        <v>3</v>
      </c>
      <c r="K661" s="21">
        <v>1</v>
      </c>
      <c r="L661" s="21">
        <v>1</v>
      </c>
      <c r="M661" s="21">
        <v>19</v>
      </c>
      <c r="N661" s="21"/>
      <c r="O661" s="21">
        <v>1</v>
      </c>
      <c r="P661" s="21">
        <v>8</v>
      </c>
      <c r="Q661" s="21"/>
      <c r="R661" s="22"/>
      <c r="S661" s="21"/>
      <c r="T661" s="21">
        <v>2</v>
      </c>
      <c r="U661" s="21"/>
      <c r="V661" s="21">
        <v>5</v>
      </c>
      <c r="W661" s="21"/>
      <c r="X661" s="21">
        <v>9</v>
      </c>
      <c r="Y661" s="21"/>
      <c r="Z661" s="21">
        <v>6</v>
      </c>
      <c r="AA661" s="21">
        <v>0</v>
      </c>
      <c r="AB661" s="23">
        <f>100/(SUM(I661:Z661))</f>
        <v>1</v>
      </c>
      <c r="AC661" s="259">
        <f>SUM(I661:AA661)</f>
        <v>100</v>
      </c>
      <c r="AD661" s="24"/>
      <c r="AE661" s="24"/>
      <c r="AF661" s="24"/>
      <c r="AG661" s="25" t="s">
        <v>136</v>
      </c>
      <c r="AH661" s="26" t="s">
        <v>401</v>
      </c>
      <c r="AI661" s="26" t="s">
        <v>402</v>
      </c>
      <c r="AJ661" s="83"/>
      <c r="AK661" s="19"/>
      <c r="AL661" s="25">
        <f>(B661-DATE(1970,1,1))*86400</f>
        <v>1695859200</v>
      </c>
      <c r="AM661" s="25">
        <f>(C661-DATE(1970,1,1))*86400</f>
        <v>1697155200</v>
      </c>
      <c r="AN661" s="25">
        <f>AVERAGE(AL661:AM661)</f>
        <v>1696507200</v>
      </c>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row>
    <row r="662" spans="1:65" ht="15.75" customHeight="1" x14ac:dyDescent="0.2">
      <c r="A662" s="302" t="s">
        <v>133</v>
      </c>
      <c r="B662" s="122">
        <v>45184</v>
      </c>
      <c r="C662" s="122">
        <v>45204</v>
      </c>
      <c r="D662" s="121" t="s">
        <v>718</v>
      </c>
      <c r="E662" s="322" t="s">
        <v>184</v>
      </c>
      <c r="F662" s="121" t="s">
        <v>2495</v>
      </c>
      <c r="G662" s="121" t="s">
        <v>126</v>
      </c>
      <c r="H662" s="369">
        <v>800</v>
      </c>
      <c r="I662" s="123">
        <v>47</v>
      </c>
      <c r="J662" s="123">
        <v>3</v>
      </c>
      <c r="K662" s="123">
        <v>2</v>
      </c>
      <c r="L662" s="123">
        <v>3</v>
      </c>
      <c r="M662" s="123">
        <v>15</v>
      </c>
      <c r="N662" s="123"/>
      <c r="O662" s="123"/>
      <c r="P662" s="123">
        <v>5</v>
      </c>
      <c r="Q662" s="123"/>
      <c r="R662" s="124"/>
      <c r="S662" s="123">
        <v>0</v>
      </c>
      <c r="T662" s="123"/>
      <c r="U662" s="123"/>
      <c r="V662" s="123">
        <v>8</v>
      </c>
      <c r="W662" s="123"/>
      <c r="X662" s="123">
        <v>4</v>
      </c>
      <c r="Y662" s="123"/>
      <c r="Z662" s="123">
        <v>0</v>
      </c>
      <c r="AA662" s="123">
        <v>13</v>
      </c>
      <c r="AB662" s="125">
        <f>100/(SUM(I662:Z662))</f>
        <v>1.1494252873563218</v>
      </c>
      <c r="AC662" s="259">
        <f>SUM(I662:AA662)</f>
        <v>100</v>
      </c>
      <c r="AD662" s="123"/>
      <c r="AE662" s="123"/>
      <c r="AF662" s="123"/>
      <c r="AG662" s="126"/>
      <c r="AH662" s="253" t="s">
        <v>1997</v>
      </c>
      <c r="AI662" s="253" t="s">
        <v>1998</v>
      </c>
      <c r="AJ662" s="127"/>
      <c r="AK662" s="121" t="s">
        <v>1999</v>
      </c>
      <c r="AL662" s="126">
        <f>(B662-DATE(1970,1,1))*86400</f>
        <v>1694736000</v>
      </c>
      <c r="AM662" s="126">
        <f>(C662-DATE(1970,1,1))*86400</f>
        <v>1696464000</v>
      </c>
      <c r="AN662" s="126">
        <f>AVERAGE(AL662:AM662)</f>
        <v>1695600000</v>
      </c>
    </row>
    <row r="663" spans="1:65" ht="15.75" customHeight="1" x14ac:dyDescent="0.2">
      <c r="A663" s="302" t="s">
        <v>133</v>
      </c>
      <c r="B663" s="122">
        <v>45184</v>
      </c>
      <c r="C663" s="122">
        <v>45204</v>
      </c>
      <c r="D663" s="121" t="s">
        <v>718</v>
      </c>
      <c r="E663" s="322" t="s">
        <v>184</v>
      </c>
      <c r="F663" s="121" t="s">
        <v>2495</v>
      </c>
      <c r="G663" s="121" t="s">
        <v>126</v>
      </c>
      <c r="H663" s="369">
        <v>800</v>
      </c>
      <c r="I663" s="123">
        <v>54</v>
      </c>
      <c r="J663" s="123">
        <v>3</v>
      </c>
      <c r="K663" s="123">
        <v>3</v>
      </c>
      <c r="L663" s="123">
        <v>4</v>
      </c>
      <c r="M663" s="123">
        <v>17</v>
      </c>
      <c r="N663" s="123"/>
      <c r="O663" s="123"/>
      <c r="P663" s="123">
        <v>5</v>
      </c>
      <c r="Q663" s="123"/>
      <c r="R663" s="124"/>
      <c r="S663" s="123">
        <v>0</v>
      </c>
      <c r="T663" s="123"/>
      <c r="U663" s="123"/>
      <c r="V663" s="123">
        <v>9</v>
      </c>
      <c r="W663" s="123"/>
      <c r="X663" s="123">
        <v>5</v>
      </c>
      <c r="Y663" s="123"/>
      <c r="Z663" s="123">
        <v>0</v>
      </c>
      <c r="AA663" s="123">
        <v>0</v>
      </c>
      <c r="AB663" s="125">
        <f>100/(SUM(I663:Z663))</f>
        <v>1</v>
      </c>
      <c r="AC663" s="259">
        <f>SUM(I663:AA663)</f>
        <v>100</v>
      </c>
      <c r="AD663" s="123"/>
      <c r="AE663" s="123"/>
      <c r="AF663" s="123"/>
      <c r="AG663" s="126"/>
      <c r="AH663" s="253" t="s">
        <v>1997</v>
      </c>
      <c r="AI663" s="253" t="s">
        <v>1998</v>
      </c>
      <c r="AJ663" s="127"/>
      <c r="AK663" s="121" t="s">
        <v>1999</v>
      </c>
      <c r="AL663" s="126">
        <f>(B663-DATE(1970,1,1))*86400</f>
        <v>1694736000</v>
      </c>
      <c r="AM663" s="126">
        <f>(C663-DATE(1970,1,1))*86400</f>
        <v>1696464000</v>
      </c>
      <c r="AN663" s="126">
        <f>AVERAGE(AL663:AM663)</f>
        <v>1695600000</v>
      </c>
    </row>
    <row r="664" spans="1:65" ht="15.75" customHeight="1" x14ac:dyDescent="0.2">
      <c r="A664" s="285" t="s">
        <v>133</v>
      </c>
      <c r="B664" s="34">
        <v>45191</v>
      </c>
      <c r="C664" s="34">
        <v>45196</v>
      </c>
      <c r="D664" s="33" t="s">
        <v>143</v>
      </c>
      <c r="E664" s="319" t="s">
        <v>125</v>
      </c>
      <c r="F664" s="33"/>
      <c r="G664" s="33" t="s">
        <v>126</v>
      </c>
      <c r="H664" s="353">
        <v>1000</v>
      </c>
      <c r="I664" s="35">
        <v>30</v>
      </c>
      <c r="J664" s="35">
        <v>1</v>
      </c>
      <c r="K664" s="35">
        <v>4</v>
      </c>
      <c r="L664" s="35">
        <v>1</v>
      </c>
      <c r="M664" s="35">
        <v>7</v>
      </c>
      <c r="N664" s="35"/>
      <c r="O664" s="35">
        <v>0</v>
      </c>
      <c r="P664" s="35">
        <v>4</v>
      </c>
      <c r="Q664" s="35"/>
      <c r="R664" s="36"/>
      <c r="S664" s="35">
        <v>2</v>
      </c>
      <c r="T664" s="35">
        <v>3</v>
      </c>
      <c r="U664" s="35"/>
      <c r="V664" s="35">
        <v>6</v>
      </c>
      <c r="W664" s="35">
        <v>1</v>
      </c>
      <c r="X664" s="35">
        <v>7</v>
      </c>
      <c r="Y664" s="35"/>
      <c r="Z664" s="35">
        <v>0</v>
      </c>
      <c r="AA664" s="35">
        <v>34</v>
      </c>
      <c r="AB664" s="37">
        <f>100/(SUM(I664:Z664))</f>
        <v>1.5151515151515151</v>
      </c>
      <c r="AC664" s="259">
        <f>SUM(I664:AA664)</f>
        <v>100</v>
      </c>
      <c r="AD664" s="35"/>
      <c r="AE664" s="35"/>
      <c r="AF664" s="35"/>
      <c r="AG664" s="33"/>
      <c r="AH664" s="38" t="s">
        <v>403</v>
      </c>
      <c r="AI664" s="38" t="s">
        <v>404</v>
      </c>
      <c r="AJ664" s="33"/>
      <c r="AK664" s="33"/>
      <c r="AL664" s="39">
        <f>(B664-DATE(1970,1,1))*86400</f>
        <v>1695340800</v>
      </c>
      <c r="AM664" s="39">
        <f>(C664-DATE(1970,1,1))*86400</f>
        <v>1695772800</v>
      </c>
      <c r="AN664" s="39">
        <f>AVERAGE(AL664:AM664)</f>
        <v>1695556800</v>
      </c>
    </row>
    <row r="665" spans="1:65" ht="15.75" customHeight="1" x14ac:dyDescent="0.2">
      <c r="A665" s="285" t="s">
        <v>133</v>
      </c>
      <c r="B665" s="34">
        <v>45191</v>
      </c>
      <c r="C665" s="34">
        <v>45196</v>
      </c>
      <c r="D665" s="33" t="s">
        <v>143</v>
      </c>
      <c r="E665" s="319" t="s">
        <v>125</v>
      </c>
      <c r="F665" s="33"/>
      <c r="G665" s="33" t="s">
        <v>126</v>
      </c>
      <c r="H665" s="353">
        <v>1000</v>
      </c>
      <c r="I665" s="35">
        <v>45</v>
      </c>
      <c r="J665" s="35">
        <v>2</v>
      </c>
      <c r="K665" s="35">
        <v>6</v>
      </c>
      <c r="L665" s="35">
        <v>2</v>
      </c>
      <c r="M665" s="35">
        <v>10</v>
      </c>
      <c r="N665" s="35"/>
      <c r="O665" s="35">
        <v>1</v>
      </c>
      <c r="P665" s="35">
        <v>6</v>
      </c>
      <c r="Q665" s="35"/>
      <c r="R665" s="36"/>
      <c r="S665" s="35">
        <v>2</v>
      </c>
      <c r="T665" s="35">
        <v>5</v>
      </c>
      <c r="U665" s="35"/>
      <c r="V665" s="35">
        <v>9</v>
      </c>
      <c r="W665" s="35">
        <v>2</v>
      </c>
      <c r="X665" s="35">
        <v>10</v>
      </c>
      <c r="Y665" s="35"/>
      <c r="Z665" s="35">
        <v>0</v>
      </c>
      <c r="AA665" s="35">
        <v>0</v>
      </c>
      <c r="AB665" s="37">
        <f>100/(SUM(I665:Z665))</f>
        <v>1</v>
      </c>
      <c r="AC665" s="259">
        <f>SUM(I665:AA665)</f>
        <v>100</v>
      </c>
      <c r="AD665" s="35"/>
      <c r="AE665" s="35"/>
      <c r="AF665" s="35"/>
      <c r="AG665" s="33"/>
      <c r="AH665" s="38" t="s">
        <v>403</v>
      </c>
      <c r="AI665" s="38"/>
      <c r="AJ665" s="33"/>
      <c r="AK665" s="33"/>
      <c r="AL665" s="39">
        <f>(B665-DATE(1970,1,1))*86400</f>
        <v>1695340800</v>
      </c>
      <c r="AM665" s="39">
        <f>(C665-DATE(1970,1,1))*86400</f>
        <v>1695772800</v>
      </c>
      <c r="AN665" s="39">
        <f>AVERAGE(AL665:AM665)</f>
        <v>1695556800</v>
      </c>
    </row>
    <row r="666" spans="1:65" ht="15.75" customHeight="1" x14ac:dyDescent="0.2">
      <c r="A666" s="285" t="s">
        <v>123</v>
      </c>
      <c r="B666" s="34">
        <v>45191</v>
      </c>
      <c r="C666" s="34">
        <v>45196</v>
      </c>
      <c r="D666" s="33" t="s">
        <v>143</v>
      </c>
      <c r="E666" s="319" t="s">
        <v>125</v>
      </c>
      <c r="F666" s="33"/>
      <c r="G666" s="33" t="s">
        <v>126</v>
      </c>
      <c r="H666" s="353">
        <v>1000</v>
      </c>
      <c r="I666" s="35">
        <v>46</v>
      </c>
      <c r="J666" s="35">
        <v>2</v>
      </c>
      <c r="K666" s="35">
        <v>5</v>
      </c>
      <c r="L666" s="35">
        <v>1</v>
      </c>
      <c r="M666" s="35">
        <v>12</v>
      </c>
      <c r="N666" s="35"/>
      <c r="O666" s="35">
        <v>1</v>
      </c>
      <c r="P666" s="35">
        <v>6</v>
      </c>
      <c r="Q666" s="35"/>
      <c r="R666" s="36"/>
      <c r="S666" s="35">
        <v>3</v>
      </c>
      <c r="T666" s="35">
        <v>5</v>
      </c>
      <c r="U666" s="35"/>
      <c r="V666" s="35">
        <v>7</v>
      </c>
      <c r="W666" s="35">
        <v>2</v>
      </c>
      <c r="X666" s="35">
        <v>10</v>
      </c>
      <c r="Y666" s="35"/>
      <c r="Z666" s="35">
        <v>0</v>
      </c>
      <c r="AA666" s="35">
        <v>0</v>
      </c>
      <c r="AB666" s="37">
        <f>100/(SUM(I666:Z666))</f>
        <v>1</v>
      </c>
      <c r="AC666" s="259">
        <f>SUM(I666:AA666)</f>
        <v>100</v>
      </c>
      <c r="AD666" s="35"/>
      <c r="AE666" s="35"/>
      <c r="AF666" s="35"/>
      <c r="AG666" s="33"/>
      <c r="AH666" s="38" t="s">
        <v>403</v>
      </c>
      <c r="AI666" s="38"/>
      <c r="AJ666" s="33"/>
      <c r="AK666" s="33"/>
      <c r="AL666" s="39">
        <f>(B666-DATE(1970,1,1))*86400</f>
        <v>1695340800</v>
      </c>
      <c r="AM666" s="39">
        <f>(C666-DATE(1970,1,1))*86400</f>
        <v>1695772800</v>
      </c>
      <c r="AN666" s="39">
        <f>AVERAGE(AL666:AM666)</f>
        <v>1695556800</v>
      </c>
    </row>
    <row r="667" spans="1:65" ht="15.75" customHeight="1" x14ac:dyDescent="0.2">
      <c r="A667" s="284" t="s">
        <v>133</v>
      </c>
      <c r="B667" s="20">
        <v>45135</v>
      </c>
      <c r="C667" s="20">
        <v>45246</v>
      </c>
      <c r="D667" s="19" t="s">
        <v>134</v>
      </c>
      <c r="E667" s="332">
        <v>1</v>
      </c>
      <c r="F667" s="19" t="s">
        <v>2495</v>
      </c>
      <c r="G667" s="19" t="s">
        <v>135</v>
      </c>
      <c r="H667" s="332">
        <v>1307</v>
      </c>
      <c r="I667" s="21">
        <v>24</v>
      </c>
      <c r="J667" s="21">
        <v>2</v>
      </c>
      <c r="K667" s="21">
        <v>1</v>
      </c>
      <c r="L667" s="21">
        <v>1</v>
      </c>
      <c r="M667" s="21">
        <v>15</v>
      </c>
      <c r="N667" s="21"/>
      <c r="O667" s="21">
        <v>2</v>
      </c>
      <c r="P667" s="21">
        <v>7</v>
      </c>
      <c r="Q667" s="21"/>
      <c r="R667" s="22"/>
      <c r="S667" s="21">
        <v>1</v>
      </c>
      <c r="T667" s="21">
        <v>1</v>
      </c>
      <c r="U667" s="21"/>
      <c r="V667" s="21">
        <v>7</v>
      </c>
      <c r="W667" s="21"/>
      <c r="X667" s="21">
        <v>6</v>
      </c>
      <c r="Y667" s="21"/>
      <c r="Z667" s="21">
        <v>2</v>
      </c>
      <c r="AA667" s="21">
        <v>31</v>
      </c>
      <c r="AB667" s="23">
        <f>100/(SUM(I667:Z667))</f>
        <v>1.4492753623188406</v>
      </c>
      <c r="AC667" s="259">
        <f>SUM(I667:AA667)</f>
        <v>100</v>
      </c>
      <c r="AD667" s="24"/>
      <c r="AE667" s="24"/>
      <c r="AF667" s="24"/>
      <c r="AG667" s="25" t="s">
        <v>136</v>
      </c>
      <c r="AH667" s="26" t="s">
        <v>407</v>
      </c>
      <c r="AI667" s="26" t="s">
        <v>408</v>
      </c>
      <c r="AJ667" s="83"/>
      <c r="AK667" s="19" t="s">
        <v>409</v>
      </c>
      <c r="AL667" s="25">
        <f>(B667-DATE(1970,1,1))*86400</f>
        <v>1690502400</v>
      </c>
      <c r="AM667" s="25">
        <f>(C667-DATE(1970,1,1))*86400</f>
        <v>1700092800</v>
      </c>
      <c r="AN667" s="25">
        <f>AVERAGE(AL667:AM667)</f>
        <v>1695297600</v>
      </c>
    </row>
    <row r="668" spans="1:65" ht="15.75" customHeight="1" x14ac:dyDescent="0.2">
      <c r="A668" s="284" t="s">
        <v>123</v>
      </c>
      <c r="B668" s="20">
        <v>45135</v>
      </c>
      <c r="C668" s="20">
        <v>45246</v>
      </c>
      <c r="D668" s="19" t="s">
        <v>134</v>
      </c>
      <c r="E668" s="332">
        <v>1</v>
      </c>
      <c r="F668" s="19" t="s">
        <v>2495</v>
      </c>
      <c r="G668" s="19" t="s">
        <v>135</v>
      </c>
      <c r="H668" s="332">
        <v>1307</v>
      </c>
      <c r="I668" s="21">
        <v>36</v>
      </c>
      <c r="J668" s="21">
        <v>3</v>
      </c>
      <c r="K668" s="21">
        <v>1</v>
      </c>
      <c r="L668" s="21">
        <v>2</v>
      </c>
      <c r="M668" s="21">
        <v>23</v>
      </c>
      <c r="N668" s="21"/>
      <c r="O668" s="21">
        <v>3</v>
      </c>
      <c r="P668" s="21">
        <v>11</v>
      </c>
      <c r="Q668" s="21"/>
      <c r="R668" s="22"/>
      <c r="S668" s="21">
        <v>1</v>
      </c>
      <c r="T668" s="21">
        <v>2</v>
      </c>
      <c r="U668" s="21"/>
      <c r="V668" s="21">
        <v>10</v>
      </c>
      <c r="W668" s="21"/>
      <c r="X668" s="21">
        <v>7</v>
      </c>
      <c r="Y668" s="21"/>
      <c r="Z668" s="21">
        <v>1</v>
      </c>
      <c r="AA668" s="21">
        <v>0</v>
      </c>
      <c r="AB668" s="23">
        <f>100/(SUM(I668:Z668))</f>
        <v>1</v>
      </c>
      <c r="AC668" s="259">
        <f>SUM(I668:AA668)</f>
        <v>100</v>
      </c>
      <c r="AD668" s="24"/>
      <c r="AE668" s="24"/>
      <c r="AF668" s="24"/>
      <c r="AG668" s="25" t="s">
        <v>136</v>
      </c>
      <c r="AH668" s="26" t="s">
        <v>407</v>
      </c>
      <c r="AI668" s="26" t="s">
        <v>408</v>
      </c>
      <c r="AJ668" s="83"/>
      <c r="AK668" s="19"/>
      <c r="AL668" s="25">
        <f>(B668-DATE(1970,1,1))*86400</f>
        <v>1690502400</v>
      </c>
      <c r="AM668" s="25">
        <f>(C668-DATE(1970,1,1))*86400</f>
        <v>1700092800</v>
      </c>
      <c r="AN668" s="25">
        <f>AVERAGE(AL668:AM668)</f>
        <v>1695297600</v>
      </c>
    </row>
    <row r="669" spans="1:65" ht="15.75" customHeight="1" x14ac:dyDescent="0.2">
      <c r="A669" s="297" t="s">
        <v>133</v>
      </c>
      <c r="B669" s="60">
        <v>45187</v>
      </c>
      <c r="C669" s="60">
        <v>45194</v>
      </c>
      <c r="D669" s="61" t="s">
        <v>168</v>
      </c>
      <c r="E669" s="334" t="s">
        <v>125</v>
      </c>
      <c r="F669" s="61"/>
      <c r="G669" s="61" t="s">
        <v>126</v>
      </c>
      <c r="H669" s="334">
        <v>1000</v>
      </c>
      <c r="I669" s="63">
        <v>29</v>
      </c>
      <c r="J669" s="63">
        <v>3</v>
      </c>
      <c r="K669" s="63">
        <v>2</v>
      </c>
      <c r="L669" s="63">
        <v>2</v>
      </c>
      <c r="M669" s="63">
        <v>12</v>
      </c>
      <c r="N669" s="63"/>
      <c r="O669" s="63">
        <v>1</v>
      </c>
      <c r="P669" s="63">
        <v>6</v>
      </c>
      <c r="Q669" s="63"/>
      <c r="R669" s="64"/>
      <c r="S669" s="63"/>
      <c r="T669" s="63"/>
      <c r="U669" s="63"/>
      <c r="V669" s="63">
        <v>6</v>
      </c>
      <c r="W669" s="63"/>
      <c r="X669" s="63">
        <v>7</v>
      </c>
      <c r="Y669" s="63"/>
      <c r="Z669" s="63">
        <v>0</v>
      </c>
      <c r="AA669" s="63">
        <v>32</v>
      </c>
      <c r="AB669" s="65">
        <f>100/(SUM(I669:Z669))</f>
        <v>1.4705882352941178</v>
      </c>
      <c r="AC669" s="259">
        <f>SUM(I669:AA669)</f>
        <v>100</v>
      </c>
      <c r="AD669" s="63">
        <v>56</v>
      </c>
      <c r="AE669" s="64"/>
      <c r="AF669" s="64"/>
      <c r="AG669" s="66" t="s">
        <v>127</v>
      </c>
      <c r="AH669" s="67" t="s">
        <v>405</v>
      </c>
      <c r="AI669" s="67"/>
      <c r="AJ669" s="67"/>
      <c r="AK669" s="61" t="s">
        <v>406</v>
      </c>
      <c r="AL669" s="66">
        <f>(B669-DATE(1970,1,1))*86400</f>
        <v>1694995200</v>
      </c>
      <c r="AM669" s="66">
        <f>(C669-DATE(1970,1,1))*86400</f>
        <v>1695600000</v>
      </c>
      <c r="AN669" s="66">
        <f>AVERAGE(AL669:AM669)</f>
        <v>1695297600</v>
      </c>
    </row>
    <row r="670" spans="1:65" ht="15.75" customHeight="1" x14ac:dyDescent="0.2">
      <c r="A670" s="288" t="s">
        <v>133</v>
      </c>
      <c r="B670" s="60">
        <v>45187</v>
      </c>
      <c r="C670" s="60">
        <v>45194</v>
      </c>
      <c r="D670" s="61" t="s">
        <v>168</v>
      </c>
      <c r="E670" s="334" t="s">
        <v>125</v>
      </c>
      <c r="F670" s="61"/>
      <c r="G670" s="61" t="s">
        <v>126</v>
      </c>
      <c r="H670" s="334">
        <v>1000</v>
      </c>
      <c r="I670" s="63">
        <v>42</v>
      </c>
      <c r="J670" s="63">
        <v>5</v>
      </c>
      <c r="K670" s="63">
        <v>3</v>
      </c>
      <c r="L670" s="63">
        <v>4</v>
      </c>
      <c r="M670" s="63">
        <v>18</v>
      </c>
      <c r="N670" s="63"/>
      <c r="O670" s="63">
        <v>2</v>
      </c>
      <c r="P670" s="63">
        <v>8</v>
      </c>
      <c r="Q670" s="63"/>
      <c r="R670" s="64"/>
      <c r="S670" s="63"/>
      <c r="T670" s="63"/>
      <c r="U670" s="63"/>
      <c r="V670" s="63">
        <v>8</v>
      </c>
      <c r="W670" s="63"/>
      <c r="X670" s="63">
        <v>10</v>
      </c>
      <c r="Y670" s="63"/>
      <c r="Z670" s="63">
        <v>0</v>
      </c>
      <c r="AA670" s="63">
        <v>0</v>
      </c>
      <c r="AB670" s="65">
        <f>100/(SUM(I670:Z670))</f>
        <v>1</v>
      </c>
      <c r="AC670" s="259">
        <f>SUM(I670:AA670)</f>
        <v>100</v>
      </c>
      <c r="AD670" s="63"/>
      <c r="AE670" s="64"/>
      <c r="AF670" s="64"/>
      <c r="AG670" s="66" t="s">
        <v>127</v>
      </c>
      <c r="AH670" s="67" t="s">
        <v>405</v>
      </c>
      <c r="AI670" s="67"/>
      <c r="AJ670" s="67"/>
      <c r="AK670" s="61" t="s">
        <v>381</v>
      </c>
      <c r="AL670" s="66">
        <f>(B670-DATE(1970,1,1))*86400</f>
        <v>1694995200</v>
      </c>
      <c r="AM670" s="66">
        <f>(C670-DATE(1970,1,1))*86400</f>
        <v>1695600000</v>
      </c>
      <c r="AN670" s="66">
        <f>AVERAGE(AL670:AM670)</f>
        <v>1695297600</v>
      </c>
    </row>
    <row r="671" spans="1:65" ht="15.75" customHeight="1" x14ac:dyDescent="0.2">
      <c r="A671" s="449" t="s">
        <v>133</v>
      </c>
      <c r="B671" s="450">
        <v>45170</v>
      </c>
      <c r="C671" s="450">
        <v>45199</v>
      </c>
      <c r="D671" s="451" t="s">
        <v>410</v>
      </c>
      <c r="E671" s="452" t="s">
        <v>125</v>
      </c>
      <c r="F671" s="451" t="s">
        <v>2522</v>
      </c>
      <c r="G671" s="453" t="s">
        <v>126</v>
      </c>
      <c r="H671" s="454">
        <v>1000</v>
      </c>
      <c r="I671" s="455">
        <v>25</v>
      </c>
      <c r="J671" s="455">
        <v>2</v>
      </c>
      <c r="K671" s="455">
        <v>0.4</v>
      </c>
      <c r="L671" s="455">
        <v>2</v>
      </c>
      <c r="M671" s="455">
        <v>11</v>
      </c>
      <c r="N671" s="455"/>
      <c r="O671" s="455">
        <v>2</v>
      </c>
      <c r="P671" s="455">
        <v>10</v>
      </c>
      <c r="Q671" s="455"/>
      <c r="R671" s="456"/>
      <c r="S671" s="455">
        <v>2</v>
      </c>
      <c r="T671" s="455">
        <v>1</v>
      </c>
      <c r="U671" s="455"/>
      <c r="V671" s="455">
        <v>8</v>
      </c>
      <c r="W671" s="455">
        <v>1</v>
      </c>
      <c r="X671" s="455">
        <v>4</v>
      </c>
      <c r="Y671" s="455"/>
      <c r="Z671" s="455">
        <v>0.6</v>
      </c>
      <c r="AA671" s="455">
        <v>31</v>
      </c>
      <c r="AB671" s="457">
        <f>100/(SUM(I671:Z671))</f>
        <v>1.4492753623188406</v>
      </c>
      <c r="AC671" s="432">
        <f>SUM(I671:AA671)</f>
        <v>100</v>
      </c>
      <c r="AD671" s="455"/>
      <c r="AE671" s="455"/>
      <c r="AF671" s="455"/>
      <c r="AG671" s="451" t="s">
        <v>127</v>
      </c>
      <c r="AH671" s="458" t="s">
        <v>411</v>
      </c>
      <c r="AI671" s="458"/>
      <c r="AJ671" s="451"/>
      <c r="AK671" s="451"/>
      <c r="AL671" s="459">
        <f>(B671-DATE(1970,1,1))*86400</f>
        <v>1693526400</v>
      </c>
      <c r="AM671" s="459">
        <f>(C671-DATE(1970,1,1))*86400</f>
        <v>1696032000</v>
      </c>
      <c r="AN671" s="459">
        <f>AVERAGE(AL671:AM671)</f>
        <v>1694779200</v>
      </c>
    </row>
    <row r="672" spans="1:65" ht="15.75" customHeight="1" x14ac:dyDescent="0.2">
      <c r="A672" s="286" t="s">
        <v>133</v>
      </c>
      <c r="B672" s="41">
        <v>45177</v>
      </c>
      <c r="C672" s="41">
        <v>45187</v>
      </c>
      <c r="D672" s="40" t="s">
        <v>148</v>
      </c>
      <c r="E672" s="325" t="s">
        <v>125</v>
      </c>
      <c r="F672" s="40"/>
      <c r="G672" s="40" t="s">
        <v>149</v>
      </c>
      <c r="H672" s="325">
        <v>1000</v>
      </c>
      <c r="I672" s="42">
        <v>30</v>
      </c>
      <c r="J672" s="42">
        <v>3</v>
      </c>
      <c r="K672" s="42">
        <v>3</v>
      </c>
      <c r="L672" s="42">
        <v>2</v>
      </c>
      <c r="M672" s="42">
        <v>13</v>
      </c>
      <c r="N672" s="42"/>
      <c r="O672" s="42">
        <v>1</v>
      </c>
      <c r="P672" s="42">
        <v>5</v>
      </c>
      <c r="Q672" s="42"/>
      <c r="R672" s="43"/>
      <c r="S672" s="42"/>
      <c r="T672" s="42"/>
      <c r="U672" s="42"/>
      <c r="V672" s="42">
        <v>4</v>
      </c>
      <c r="W672" s="42"/>
      <c r="X672" s="42">
        <v>7</v>
      </c>
      <c r="Y672" s="42"/>
      <c r="Z672" s="42">
        <v>2</v>
      </c>
      <c r="AA672" s="42">
        <v>30</v>
      </c>
      <c r="AB672" s="44">
        <f>100/(SUM(I672:Z672))</f>
        <v>1.4285714285714286</v>
      </c>
      <c r="AC672" s="259">
        <f>SUM(I672:AA672)</f>
        <v>100</v>
      </c>
      <c r="AD672" s="42"/>
      <c r="AE672" s="43"/>
      <c r="AF672" s="43"/>
      <c r="AG672" s="45" t="s">
        <v>412</v>
      </c>
      <c r="AH672" s="46" t="s">
        <v>413</v>
      </c>
      <c r="AI672" s="46" t="s">
        <v>414</v>
      </c>
      <c r="AJ672" s="46" t="s">
        <v>415</v>
      </c>
      <c r="AK672" s="40"/>
      <c r="AL672" s="45">
        <f>(B672-DATE(1970,1,1))*86400</f>
        <v>1694131200</v>
      </c>
      <c r="AM672" s="45">
        <f>(C672-DATE(1970,1,1))*86400</f>
        <v>1694995200</v>
      </c>
      <c r="AN672" s="45">
        <f>AVERAGE(AL672:AM672)</f>
        <v>1694563200</v>
      </c>
    </row>
    <row r="673" spans="1:40" ht="15.75" customHeight="1" x14ac:dyDescent="0.2">
      <c r="A673" s="286" t="s">
        <v>123</v>
      </c>
      <c r="B673" s="41">
        <v>45177</v>
      </c>
      <c r="C673" s="41">
        <v>45187</v>
      </c>
      <c r="D673" s="40" t="s">
        <v>148</v>
      </c>
      <c r="E673" s="325" t="s">
        <v>125</v>
      </c>
      <c r="F673" s="40"/>
      <c r="G673" s="40" t="s">
        <v>149</v>
      </c>
      <c r="H673" s="325">
        <v>1000</v>
      </c>
      <c r="I673" s="42">
        <v>46</v>
      </c>
      <c r="J673" s="42">
        <v>4</v>
      </c>
      <c r="K673" s="42">
        <v>4</v>
      </c>
      <c r="L673" s="42">
        <v>3</v>
      </c>
      <c r="M673" s="42">
        <v>19</v>
      </c>
      <c r="N673" s="42"/>
      <c r="O673" s="42">
        <v>2</v>
      </c>
      <c r="P673" s="42">
        <v>6</v>
      </c>
      <c r="Q673" s="42"/>
      <c r="R673" s="43"/>
      <c r="S673" s="42"/>
      <c r="T673" s="42"/>
      <c r="U673" s="42"/>
      <c r="V673" s="42">
        <v>5</v>
      </c>
      <c r="W673" s="42"/>
      <c r="X673" s="42">
        <v>10</v>
      </c>
      <c r="Y673" s="42"/>
      <c r="Z673" s="42">
        <v>1</v>
      </c>
      <c r="AA673" s="42">
        <v>0</v>
      </c>
      <c r="AB673" s="44">
        <f>100/(SUM(I673:Z673))</f>
        <v>1</v>
      </c>
      <c r="AC673" s="259">
        <f>SUM(I673:AA673)</f>
        <v>100</v>
      </c>
      <c r="AD673" s="42"/>
      <c r="AE673" s="43"/>
      <c r="AF673" s="43"/>
      <c r="AG673" s="45" t="s">
        <v>412</v>
      </c>
      <c r="AH673" s="46" t="s">
        <v>413</v>
      </c>
      <c r="AI673" s="46" t="s">
        <v>414</v>
      </c>
      <c r="AJ673" s="46" t="s">
        <v>415</v>
      </c>
      <c r="AK673" s="40"/>
      <c r="AL673" s="45">
        <f>(B673-DATE(1970,1,1))*86400</f>
        <v>1694131200</v>
      </c>
      <c r="AM673" s="45">
        <f>(C673-DATE(1970,1,1))*86400</f>
        <v>1694995200</v>
      </c>
      <c r="AN673" s="45">
        <f>AVERAGE(AL673:AM673)</f>
        <v>1694563200</v>
      </c>
    </row>
    <row r="674" spans="1:40" ht="15.75" customHeight="1" x14ac:dyDescent="0.2">
      <c r="A674" s="281" t="s">
        <v>133</v>
      </c>
      <c r="B674" s="54">
        <v>45173</v>
      </c>
      <c r="C674" s="54">
        <v>45178</v>
      </c>
      <c r="D674" s="53" t="s">
        <v>154</v>
      </c>
      <c r="E674" s="323" t="s">
        <v>125</v>
      </c>
      <c r="F674" s="53" t="s">
        <v>140</v>
      </c>
      <c r="G674" s="53" t="s">
        <v>126</v>
      </c>
      <c r="H674" s="357">
        <v>1000</v>
      </c>
      <c r="I674" s="55"/>
      <c r="J674" s="55"/>
      <c r="K674" s="55"/>
      <c r="L674" s="55"/>
      <c r="M674" s="55"/>
      <c r="N674" s="55"/>
      <c r="O674" s="55"/>
      <c r="P674" s="55"/>
      <c r="Q674" s="55"/>
      <c r="R674" s="56"/>
      <c r="S674" s="55"/>
      <c r="T674" s="55"/>
      <c r="U674" s="55"/>
      <c r="V674" s="55"/>
      <c r="W674" s="55"/>
      <c r="X674" s="55"/>
      <c r="Y674" s="55"/>
      <c r="Z674" s="55"/>
      <c r="AA674" s="55"/>
      <c r="AB674" s="57" t="e">
        <f>100/(SUM(I674:Z674))</f>
        <v>#DIV/0!</v>
      </c>
      <c r="AC674" s="259">
        <f>SUM(I674:AA674)</f>
        <v>0</v>
      </c>
      <c r="AD674" s="55"/>
      <c r="AE674" s="55"/>
      <c r="AF674" s="55"/>
      <c r="AG674" s="58"/>
      <c r="AH674" s="59"/>
      <c r="AI674" s="59"/>
      <c r="AJ674" s="59" t="s">
        <v>416</v>
      </c>
      <c r="AK674" s="53"/>
      <c r="AL674" s="58">
        <f>(B674-DATE(1970,1,1))*86400</f>
        <v>1693785600</v>
      </c>
      <c r="AM674" s="58">
        <f>(C674-DATE(1970,1,1))*86400</f>
        <v>1694217600</v>
      </c>
      <c r="AN674" s="58">
        <f>AVERAGE(AL674:AM674)</f>
        <v>1694001600</v>
      </c>
    </row>
    <row r="675" spans="1:40" ht="15.75" customHeight="1" x14ac:dyDescent="0.2">
      <c r="A675" s="279" t="s">
        <v>123</v>
      </c>
      <c r="B675" s="14">
        <v>45173</v>
      </c>
      <c r="C675" s="14">
        <v>45175</v>
      </c>
      <c r="D675" s="13" t="s">
        <v>124</v>
      </c>
      <c r="E675" s="324" t="s">
        <v>125</v>
      </c>
      <c r="F675" s="13"/>
      <c r="G675" s="13" t="s">
        <v>126</v>
      </c>
      <c r="H675" s="349">
        <v>1000</v>
      </c>
      <c r="I675" s="15">
        <v>51</v>
      </c>
      <c r="J675" s="15">
        <v>2</v>
      </c>
      <c r="K675" s="15">
        <v>5</v>
      </c>
      <c r="L675" s="15">
        <v>2</v>
      </c>
      <c r="M675" s="15">
        <v>10</v>
      </c>
      <c r="N675" s="15"/>
      <c r="O675" s="15">
        <v>0</v>
      </c>
      <c r="P675" s="15">
        <v>8</v>
      </c>
      <c r="Q675" s="15"/>
      <c r="R675" s="98"/>
      <c r="S675" s="15">
        <v>2</v>
      </c>
      <c r="T675" s="15">
        <v>3</v>
      </c>
      <c r="U675" s="15"/>
      <c r="V675" s="15">
        <v>8</v>
      </c>
      <c r="W675" s="15"/>
      <c r="X675" s="15">
        <v>9</v>
      </c>
      <c r="Y675" s="15"/>
      <c r="Z675" s="15">
        <v>0</v>
      </c>
      <c r="AA675" s="15">
        <v>0</v>
      </c>
      <c r="AB675" s="16">
        <f>100/(SUM(I675:Z675))</f>
        <v>1</v>
      </c>
      <c r="AC675" s="259">
        <f>SUM(I675:AA675)</f>
        <v>100</v>
      </c>
      <c r="AD675" s="15"/>
      <c r="AE675" s="15"/>
      <c r="AF675" s="15"/>
      <c r="AG675" s="17" t="s">
        <v>127</v>
      </c>
      <c r="AH675" s="18" t="s">
        <v>417</v>
      </c>
      <c r="AI675" s="18"/>
      <c r="AJ675" s="18"/>
      <c r="AK675" s="13"/>
      <c r="AL675" s="17">
        <f>(B675-DATE(1970,1,1))*86400</f>
        <v>1693785600</v>
      </c>
      <c r="AM675" s="17">
        <f>(C675-DATE(1970,1,1))*86400</f>
        <v>1693958400</v>
      </c>
      <c r="AN675" s="17">
        <f>AVERAGE(AL675:AM675)</f>
        <v>1693872000</v>
      </c>
    </row>
    <row r="676" spans="1:40" ht="15.75" customHeight="1" x14ac:dyDescent="0.2">
      <c r="A676" s="281" t="s">
        <v>133</v>
      </c>
      <c r="B676" s="54">
        <v>45168</v>
      </c>
      <c r="C676" s="54">
        <v>45176</v>
      </c>
      <c r="D676" s="53" t="s">
        <v>154</v>
      </c>
      <c r="E676" s="323" t="s">
        <v>125</v>
      </c>
      <c r="F676" s="53"/>
      <c r="G676" s="53" t="s">
        <v>126</v>
      </c>
      <c r="H676" s="357">
        <v>1000</v>
      </c>
      <c r="I676" s="55">
        <v>27</v>
      </c>
      <c r="J676" s="55">
        <v>4</v>
      </c>
      <c r="K676" s="55">
        <v>2</v>
      </c>
      <c r="L676" s="55">
        <v>2</v>
      </c>
      <c r="M676" s="55">
        <v>11</v>
      </c>
      <c r="N676" s="55"/>
      <c r="O676" s="55">
        <v>1</v>
      </c>
      <c r="P676" s="55">
        <v>4</v>
      </c>
      <c r="Q676" s="55"/>
      <c r="R676" s="55"/>
      <c r="S676" s="55"/>
      <c r="T676" s="55"/>
      <c r="U676" s="55"/>
      <c r="V676" s="55">
        <v>3</v>
      </c>
      <c r="W676" s="55"/>
      <c r="X676" s="55">
        <v>3</v>
      </c>
      <c r="Y676" s="55"/>
      <c r="Z676" s="55">
        <v>3</v>
      </c>
      <c r="AA676" s="55">
        <v>40</v>
      </c>
      <c r="AB676" s="57">
        <f>100/(SUM(I676:Z676))</f>
        <v>1.6666666666666667</v>
      </c>
      <c r="AC676" s="259">
        <f>SUM(I676:AA676)</f>
        <v>100</v>
      </c>
      <c r="AD676" s="55">
        <v>80</v>
      </c>
      <c r="AE676" s="55"/>
      <c r="AF676" s="55"/>
      <c r="AG676" s="58" t="s">
        <v>155</v>
      </c>
      <c r="AH676" s="59" t="s">
        <v>418</v>
      </c>
      <c r="AI676" s="59" t="s">
        <v>420</v>
      </c>
      <c r="AJ676" s="59" t="s">
        <v>419</v>
      </c>
      <c r="AK676" s="53" t="s">
        <v>421</v>
      </c>
      <c r="AL676" s="58">
        <f>(B676-DATE(1970,1,1))*86400</f>
        <v>1693353600</v>
      </c>
      <c r="AM676" s="58">
        <f>(C676-DATE(1970,1,1))*86400</f>
        <v>1694044800</v>
      </c>
      <c r="AN676" s="58">
        <f>AVERAGE(AL676:AM676)</f>
        <v>1693699200</v>
      </c>
    </row>
    <row r="677" spans="1:40" ht="15.75" customHeight="1" x14ac:dyDescent="0.2">
      <c r="A677" s="281" t="s">
        <v>133</v>
      </c>
      <c r="B677" s="54">
        <v>45168</v>
      </c>
      <c r="C677" s="54">
        <v>45176</v>
      </c>
      <c r="D677" s="53" t="s">
        <v>154</v>
      </c>
      <c r="E677" s="323" t="s">
        <v>125</v>
      </c>
      <c r="F677" s="53" t="s">
        <v>390</v>
      </c>
      <c r="G677" s="53" t="s">
        <v>126</v>
      </c>
      <c r="H677" s="357">
        <v>1000</v>
      </c>
      <c r="I677" s="55">
        <v>33</v>
      </c>
      <c r="J677" s="55"/>
      <c r="K677" s="55"/>
      <c r="L677" s="55"/>
      <c r="M677" s="55"/>
      <c r="N677" s="55"/>
      <c r="O677" s="55"/>
      <c r="P677" s="55"/>
      <c r="Q677" s="55"/>
      <c r="R677" s="56"/>
      <c r="S677" s="55"/>
      <c r="T677" s="55"/>
      <c r="U677" s="55">
        <v>31</v>
      </c>
      <c r="V677" s="55">
        <v>2</v>
      </c>
      <c r="W677" s="55"/>
      <c r="X677" s="55">
        <v>3</v>
      </c>
      <c r="Y677" s="55"/>
      <c r="Z677" s="55">
        <v>2</v>
      </c>
      <c r="AA677" s="55">
        <v>29</v>
      </c>
      <c r="AB677" s="57">
        <f>100/(SUM(I677:Z677))</f>
        <v>1.408450704225352</v>
      </c>
      <c r="AC677" s="259">
        <f>SUM(I677:AA677)</f>
        <v>100</v>
      </c>
      <c r="AD677" s="55"/>
      <c r="AE677" s="55"/>
      <c r="AF677" s="55"/>
      <c r="AG677" s="58" t="s">
        <v>155</v>
      </c>
      <c r="AH677" s="59" t="s">
        <v>418</v>
      </c>
      <c r="AI677" s="59" t="s">
        <v>403</v>
      </c>
      <c r="AJ677" s="59" t="s">
        <v>419</v>
      </c>
      <c r="AK677" s="53"/>
      <c r="AL677" s="58">
        <f>(B677-DATE(1970,1,1))*86400</f>
        <v>1693353600</v>
      </c>
      <c r="AM677" s="58">
        <f>(C677-DATE(1970,1,1))*86400</f>
        <v>1694044800</v>
      </c>
      <c r="AN677" s="58">
        <f>AVERAGE(AL677:AM677)</f>
        <v>1693699200</v>
      </c>
    </row>
    <row r="678" spans="1:40" ht="15.75" customHeight="1" x14ac:dyDescent="0.2">
      <c r="A678" s="281" t="s">
        <v>123</v>
      </c>
      <c r="B678" s="54">
        <v>45168</v>
      </c>
      <c r="C678" s="54">
        <v>45176</v>
      </c>
      <c r="D678" s="53" t="s">
        <v>154</v>
      </c>
      <c r="E678" s="323" t="s">
        <v>125</v>
      </c>
      <c r="F678" s="53"/>
      <c r="G678" s="53" t="s">
        <v>126</v>
      </c>
      <c r="H678" s="357">
        <v>1000</v>
      </c>
      <c r="I678" s="55">
        <v>34</v>
      </c>
      <c r="J678" s="55">
        <v>4</v>
      </c>
      <c r="K678" s="55">
        <v>3</v>
      </c>
      <c r="L678" s="55">
        <v>2</v>
      </c>
      <c r="M678" s="55">
        <v>13</v>
      </c>
      <c r="N678" s="55"/>
      <c r="O678" s="55">
        <v>1</v>
      </c>
      <c r="P678" s="55">
        <v>5</v>
      </c>
      <c r="Q678" s="55"/>
      <c r="R678" s="55"/>
      <c r="S678" s="55"/>
      <c r="T678" s="55"/>
      <c r="U678" s="55"/>
      <c r="V678" s="55">
        <v>4</v>
      </c>
      <c r="W678" s="55"/>
      <c r="X678" s="55">
        <v>4</v>
      </c>
      <c r="Y678" s="55"/>
      <c r="Z678" s="55">
        <v>3</v>
      </c>
      <c r="AA678" s="55">
        <v>27</v>
      </c>
      <c r="AB678" s="57">
        <f>100/(SUM(I678:Z678))</f>
        <v>1.3698630136986301</v>
      </c>
      <c r="AC678" s="259">
        <f>SUM(I678:AA678)</f>
        <v>100</v>
      </c>
      <c r="AD678" s="55"/>
      <c r="AE678" s="55"/>
      <c r="AF678" s="55"/>
      <c r="AG678" s="58" t="s">
        <v>155</v>
      </c>
      <c r="AH678" s="59" t="s">
        <v>418</v>
      </c>
      <c r="AI678" s="59" t="s">
        <v>420</v>
      </c>
      <c r="AJ678" s="59" t="s">
        <v>419</v>
      </c>
      <c r="AK678" s="53"/>
      <c r="AL678" s="58">
        <f>(B678-DATE(1970,1,1))*86400</f>
        <v>1693353600</v>
      </c>
      <c r="AM678" s="58">
        <f>(C678-DATE(1970,1,1))*86400</f>
        <v>1694044800</v>
      </c>
      <c r="AN678" s="58">
        <f>AVERAGE(AL678:AM678)</f>
        <v>1693699200</v>
      </c>
    </row>
    <row r="679" spans="1:40" ht="15.75" customHeight="1" x14ac:dyDescent="0.2">
      <c r="A679" s="281" t="s">
        <v>123</v>
      </c>
      <c r="B679" s="54">
        <v>45168</v>
      </c>
      <c r="C679" s="54">
        <v>45176</v>
      </c>
      <c r="D679" s="53" t="s">
        <v>154</v>
      </c>
      <c r="E679" s="323" t="s">
        <v>125</v>
      </c>
      <c r="F679" s="53" t="s">
        <v>390</v>
      </c>
      <c r="G679" s="53" t="s">
        <v>126</v>
      </c>
      <c r="H679" s="357">
        <v>1000</v>
      </c>
      <c r="I679" s="55">
        <v>40</v>
      </c>
      <c r="J679" s="55"/>
      <c r="K679" s="55"/>
      <c r="L679" s="55"/>
      <c r="M679" s="55"/>
      <c r="N679" s="55"/>
      <c r="O679" s="55"/>
      <c r="P679" s="55"/>
      <c r="Q679" s="55"/>
      <c r="R679" s="55"/>
      <c r="S679" s="55"/>
      <c r="T679" s="55"/>
      <c r="U679" s="55">
        <v>36</v>
      </c>
      <c r="V679" s="55">
        <v>3</v>
      </c>
      <c r="W679" s="55"/>
      <c r="X679" s="55">
        <v>3</v>
      </c>
      <c r="Y679" s="55"/>
      <c r="Z679" s="55">
        <v>2</v>
      </c>
      <c r="AA679" s="55">
        <v>16</v>
      </c>
      <c r="AB679" s="57">
        <f>100/(SUM(I679:Z679))</f>
        <v>1.1904761904761905</v>
      </c>
      <c r="AC679" s="259">
        <f>SUM(I679:AA679)</f>
        <v>100</v>
      </c>
      <c r="AD679" s="55"/>
      <c r="AE679" s="55"/>
      <c r="AF679" s="55"/>
      <c r="AG679" s="58" t="s">
        <v>155</v>
      </c>
      <c r="AH679" s="59" t="s">
        <v>418</v>
      </c>
      <c r="AI679" s="59" t="s">
        <v>420</v>
      </c>
      <c r="AJ679" s="59" t="s">
        <v>419</v>
      </c>
      <c r="AK679" s="53"/>
      <c r="AL679" s="58">
        <f>(B679-DATE(1970,1,1))*86400</f>
        <v>1693353600</v>
      </c>
      <c r="AM679" s="58">
        <f>(C679-DATE(1970,1,1))*86400</f>
        <v>1694044800</v>
      </c>
      <c r="AN679" s="58">
        <f>AVERAGE(AL679:AM679)</f>
        <v>1693699200</v>
      </c>
    </row>
    <row r="680" spans="1:40" ht="15.75" customHeight="1" x14ac:dyDescent="0.2">
      <c r="A680" s="281" t="s">
        <v>123</v>
      </c>
      <c r="B680" s="54">
        <v>45168</v>
      </c>
      <c r="C680" s="54">
        <v>45176</v>
      </c>
      <c r="D680" s="53" t="s">
        <v>154</v>
      </c>
      <c r="E680" s="323" t="s">
        <v>125</v>
      </c>
      <c r="F680" s="53" t="s">
        <v>390</v>
      </c>
      <c r="G680" s="53" t="s">
        <v>126</v>
      </c>
      <c r="H680" s="357">
        <v>1000</v>
      </c>
      <c r="I680" s="55">
        <v>46</v>
      </c>
      <c r="J680" s="55"/>
      <c r="K680" s="55"/>
      <c r="L680" s="55"/>
      <c r="M680" s="55"/>
      <c r="N680" s="55"/>
      <c r="O680" s="55"/>
      <c r="P680" s="55"/>
      <c r="Q680" s="55"/>
      <c r="R680" s="55"/>
      <c r="S680" s="55"/>
      <c r="T680" s="55"/>
      <c r="U680" s="55">
        <v>43</v>
      </c>
      <c r="V680" s="55">
        <v>4</v>
      </c>
      <c r="W680" s="55"/>
      <c r="X680" s="55">
        <v>4</v>
      </c>
      <c r="Y680" s="55"/>
      <c r="Z680" s="55">
        <v>2</v>
      </c>
      <c r="AA680" s="55">
        <v>0</v>
      </c>
      <c r="AB680" s="57">
        <f>100/(SUM(I680:Z680))</f>
        <v>1.0101010101010102</v>
      </c>
      <c r="AC680" s="259">
        <f>SUM(I680:AA680)</f>
        <v>99</v>
      </c>
      <c r="AD680" s="55"/>
      <c r="AE680" s="55"/>
      <c r="AF680" s="55"/>
      <c r="AG680" s="58" t="s">
        <v>155</v>
      </c>
      <c r="AH680" s="59" t="s">
        <v>418</v>
      </c>
      <c r="AI680" s="59" t="s">
        <v>420</v>
      </c>
      <c r="AJ680" s="59" t="s">
        <v>419</v>
      </c>
      <c r="AK680" s="53"/>
      <c r="AL680" s="58">
        <f>(B680-DATE(1970,1,1))*86400</f>
        <v>1693353600</v>
      </c>
      <c r="AM680" s="58">
        <f>(C680-DATE(1970,1,1))*86400</f>
        <v>1694044800</v>
      </c>
      <c r="AN680" s="58">
        <f>AVERAGE(AL680:AM680)</f>
        <v>1693699200</v>
      </c>
    </row>
    <row r="681" spans="1:40" ht="15.75" customHeight="1" x14ac:dyDescent="0.2">
      <c r="A681" s="281" t="s">
        <v>123</v>
      </c>
      <c r="B681" s="54">
        <v>45168</v>
      </c>
      <c r="C681" s="54">
        <v>45176</v>
      </c>
      <c r="D681" s="53" t="s">
        <v>154</v>
      </c>
      <c r="E681" s="323" t="s">
        <v>125</v>
      </c>
      <c r="F681" s="53"/>
      <c r="G681" s="53" t="s">
        <v>126</v>
      </c>
      <c r="H681" s="357">
        <v>1000</v>
      </c>
      <c r="I681" s="55">
        <v>47</v>
      </c>
      <c r="J681" s="55">
        <v>5</v>
      </c>
      <c r="K681" s="55">
        <v>4</v>
      </c>
      <c r="L681" s="55">
        <v>3</v>
      </c>
      <c r="M681" s="55">
        <v>16</v>
      </c>
      <c r="N681" s="55"/>
      <c r="O681" s="55">
        <v>2</v>
      </c>
      <c r="P681" s="55">
        <v>6</v>
      </c>
      <c r="Q681" s="55"/>
      <c r="R681" s="55"/>
      <c r="S681" s="55"/>
      <c r="T681" s="55"/>
      <c r="U681" s="55"/>
      <c r="V681" s="55">
        <v>5</v>
      </c>
      <c r="W681" s="55"/>
      <c r="X681" s="55">
        <v>6</v>
      </c>
      <c r="Y681" s="55"/>
      <c r="Z681" s="55">
        <v>5</v>
      </c>
      <c r="AA681" s="55">
        <v>0</v>
      </c>
      <c r="AB681" s="57">
        <f>100/(SUM(I681:Z681))</f>
        <v>1.0101010101010102</v>
      </c>
      <c r="AC681" s="259">
        <f>SUM(I681:AA681)</f>
        <v>99</v>
      </c>
      <c r="AD681" s="55"/>
      <c r="AE681" s="55"/>
      <c r="AF681" s="55"/>
      <c r="AG681" s="58" t="s">
        <v>155</v>
      </c>
      <c r="AH681" s="59" t="s">
        <v>418</v>
      </c>
      <c r="AI681" s="59" t="s">
        <v>420</v>
      </c>
      <c r="AJ681" s="59" t="s">
        <v>419</v>
      </c>
      <c r="AK681" s="53"/>
      <c r="AL681" s="58">
        <f>(B681-DATE(1970,1,1))*86400</f>
        <v>1693353600</v>
      </c>
      <c r="AM681" s="58">
        <f>(C681-DATE(1970,1,1))*86400</f>
        <v>1694044800</v>
      </c>
      <c r="AN681" s="58">
        <f>AVERAGE(AL681:AM681)</f>
        <v>1693699200</v>
      </c>
    </row>
    <row r="682" spans="1:40" ht="15.75" customHeight="1" x14ac:dyDescent="0.2">
      <c r="A682" s="284" t="s">
        <v>133</v>
      </c>
      <c r="B682" s="20">
        <v>45166</v>
      </c>
      <c r="C682" s="20">
        <v>45177</v>
      </c>
      <c r="D682" s="19" t="s">
        <v>134</v>
      </c>
      <c r="E682" s="332" t="s">
        <v>125</v>
      </c>
      <c r="F682" s="19"/>
      <c r="G682" s="19" t="s">
        <v>135</v>
      </c>
      <c r="H682" s="332">
        <v>1800</v>
      </c>
      <c r="I682" s="21">
        <v>27</v>
      </c>
      <c r="J682" s="21">
        <v>2</v>
      </c>
      <c r="K682" s="21">
        <v>2</v>
      </c>
      <c r="L682" s="21">
        <v>1</v>
      </c>
      <c r="M682" s="21">
        <v>11</v>
      </c>
      <c r="N682" s="21"/>
      <c r="O682" s="21">
        <v>1</v>
      </c>
      <c r="P682" s="21">
        <v>5</v>
      </c>
      <c r="Q682" s="21"/>
      <c r="R682" s="22"/>
      <c r="S682" s="21"/>
      <c r="T682" s="21"/>
      <c r="U682" s="21"/>
      <c r="V682" s="21">
        <v>5</v>
      </c>
      <c r="W682" s="21"/>
      <c r="X682" s="21">
        <v>7</v>
      </c>
      <c r="Y682" s="21"/>
      <c r="Z682" s="21">
        <v>4</v>
      </c>
      <c r="AA682" s="21">
        <v>35</v>
      </c>
      <c r="AB682" s="23">
        <f>100/(SUM(I682:Z682))</f>
        <v>1.5384615384615385</v>
      </c>
      <c r="AC682" s="259">
        <f>SUM(I682:AA682)</f>
        <v>100</v>
      </c>
      <c r="AD682" s="24"/>
      <c r="AE682" s="24"/>
      <c r="AF682" s="24"/>
      <c r="AG682" s="25" t="s">
        <v>422</v>
      </c>
      <c r="AH682" s="26" t="s">
        <v>423</v>
      </c>
      <c r="AI682" s="26" t="s">
        <v>424</v>
      </c>
      <c r="AJ682" s="83" t="s">
        <v>425</v>
      </c>
      <c r="AK682" s="19" t="s">
        <v>376</v>
      </c>
      <c r="AL682" s="25">
        <f>(B682-DATE(1970,1,1))*86400</f>
        <v>1693180800</v>
      </c>
      <c r="AM682" s="25">
        <f>(C682-DATE(1970,1,1))*86400</f>
        <v>1694131200</v>
      </c>
      <c r="AN682" s="25">
        <f>AVERAGE(AL682:AM682)</f>
        <v>1693656000</v>
      </c>
    </row>
    <row r="683" spans="1:40" ht="15.75" customHeight="1" x14ac:dyDescent="0.2">
      <c r="A683" s="284" t="s">
        <v>123</v>
      </c>
      <c r="B683" s="20">
        <v>45166</v>
      </c>
      <c r="C683" s="20">
        <v>45177</v>
      </c>
      <c r="D683" s="19" t="s">
        <v>134</v>
      </c>
      <c r="E683" s="332" t="s">
        <v>125</v>
      </c>
      <c r="F683" s="19"/>
      <c r="G683" s="19" t="s">
        <v>135</v>
      </c>
      <c r="H683" s="332">
        <v>1800</v>
      </c>
      <c r="I683" s="21">
        <v>45</v>
      </c>
      <c r="J683" s="21">
        <v>2</v>
      </c>
      <c r="K683" s="21">
        <v>2</v>
      </c>
      <c r="L683" s="21">
        <v>2</v>
      </c>
      <c r="M683" s="21">
        <v>19</v>
      </c>
      <c r="N683" s="21"/>
      <c r="O683" s="21">
        <v>1</v>
      </c>
      <c r="P683" s="21">
        <v>8</v>
      </c>
      <c r="Q683" s="21"/>
      <c r="R683" s="22"/>
      <c r="S683" s="21"/>
      <c r="T683" s="21"/>
      <c r="U683" s="21"/>
      <c r="V683" s="21">
        <v>6</v>
      </c>
      <c r="W683" s="21"/>
      <c r="X683" s="21">
        <v>10</v>
      </c>
      <c r="Y683" s="21"/>
      <c r="Z683" s="21">
        <v>5</v>
      </c>
      <c r="AA683" s="21">
        <v>0</v>
      </c>
      <c r="AB683" s="23">
        <f>100/(SUM(I683:Z683))</f>
        <v>1</v>
      </c>
      <c r="AC683" s="259">
        <f>SUM(I683:AA683)</f>
        <v>100</v>
      </c>
      <c r="AD683" s="24"/>
      <c r="AE683" s="24"/>
      <c r="AF683" s="24"/>
      <c r="AG683" s="25" t="s">
        <v>422</v>
      </c>
      <c r="AH683" s="26" t="s">
        <v>423</v>
      </c>
      <c r="AI683" s="26" t="s">
        <v>424</v>
      </c>
      <c r="AJ683" s="83" t="s">
        <v>426</v>
      </c>
      <c r="AK683" s="19"/>
      <c r="AL683" s="25">
        <f>(B683-DATE(1970,1,1))*86400</f>
        <v>1693180800</v>
      </c>
      <c r="AM683" s="25">
        <f>(C683-DATE(1970,1,1))*86400</f>
        <v>1694131200</v>
      </c>
      <c r="AN683" s="25">
        <f>AVERAGE(AL683:AM683)</f>
        <v>1693656000</v>
      </c>
    </row>
    <row r="684" spans="1:40" ht="15.75" customHeight="1" x14ac:dyDescent="0.2">
      <c r="A684" s="287" t="s">
        <v>133</v>
      </c>
      <c r="B684" s="70">
        <v>45162</v>
      </c>
      <c r="C684" s="70">
        <v>45167</v>
      </c>
      <c r="D684" s="69" t="s">
        <v>183</v>
      </c>
      <c r="E684" s="333" t="s">
        <v>184</v>
      </c>
      <c r="F684" s="69"/>
      <c r="G684" s="69" t="s">
        <v>135</v>
      </c>
      <c r="H684" s="360">
        <v>1500</v>
      </c>
      <c r="I684" s="71">
        <v>28</v>
      </c>
      <c r="J684" s="71">
        <v>3</v>
      </c>
      <c r="K684" s="71">
        <v>5</v>
      </c>
      <c r="L684" s="71">
        <v>1</v>
      </c>
      <c r="M684" s="71">
        <v>9</v>
      </c>
      <c r="N684" s="71"/>
      <c r="O684" s="71">
        <v>1</v>
      </c>
      <c r="P684" s="71">
        <v>6</v>
      </c>
      <c r="Q684" s="71"/>
      <c r="R684" s="72"/>
      <c r="S684" s="71">
        <v>3</v>
      </c>
      <c r="T684" s="71">
        <v>3</v>
      </c>
      <c r="U684" s="71"/>
      <c r="V684" s="71">
        <v>5</v>
      </c>
      <c r="W684" s="71"/>
      <c r="X684" s="71">
        <v>7</v>
      </c>
      <c r="Y684" s="71"/>
      <c r="Z684" s="72">
        <v>0</v>
      </c>
      <c r="AA684" s="71">
        <v>31</v>
      </c>
      <c r="AB684" s="73">
        <f>100/(SUM(I684:Z684))</f>
        <v>1.408450704225352</v>
      </c>
      <c r="AC684" s="259">
        <f>SUM(I684:AA684)</f>
        <v>102</v>
      </c>
      <c r="AD684" s="71"/>
      <c r="AE684" s="71"/>
      <c r="AF684" s="71"/>
      <c r="AG684" s="74"/>
      <c r="AH684" s="75" t="s">
        <v>427</v>
      </c>
      <c r="AI684" s="75" t="s">
        <v>428</v>
      </c>
      <c r="AJ684" s="75"/>
      <c r="AK684" s="69" t="s">
        <v>429</v>
      </c>
      <c r="AL684" s="74">
        <f>(B684-DATE(1970,1,1))*86400</f>
        <v>1692835200</v>
      </c>
      <c r="AM684" s="74">
        <f>(C684-DATE(1970,1,1))*86400</f>
        <v>1693267200</v>
      </c>
      <c r="AN684" s="74">
        <f>AVERAGE(AL684:AM684)</f>
        <v>1693051200</v>
      </c>
    </row>
    <row r="685" spans="1:40" ht="15.75" customHeight="1" x14ac:dyDescent="0.2">
      <c r="A685" s="287" t="s">
        <v>133</v>
      </c>
      <c r="B685" s="70">
        <v>45162</v>
      </c>
      <c r="C685" s="70">
        <v>45167</v>
      </c>
      <c r="D685" s="69" t="s">
        <v>183</v>
      </c>
      <c r="E685" s="333" t="s">
        <v>184</v>
      </c>
      <c r="F685" s="69"/>
      <c r="G685" s="69" t="s">
        <v>135</v>
      </c>
      <c r="H685" s="360">
        <v>1500</v>
      </c>
      <c r="I685" s="71">
        <v>40</v>
      </c>
      <c r="J685" s="71">
        <v>4</v>
      </c>
      <c r="K685" s="71">
        <v>8</v>
      </c>
      <c r="L685" s="71">
        <v>1</v>
      </c>
      <c r="M685" s="71">
        <v>13</v>
      </c>
      <c r="N685" s="71"/>
      <c r="O685" s="71">
        <v>1</v>
      </c>
      <c r="P685" s="71">
        <v>8</v>
      </c>
      <c r="Q685" s="71"/>
      <c r="R685" s="72"/>
      <c r="S685" s="71">
        <v>4</v>
      </c>
      <c r="T685" s="71">
        <v>4</v>
      </c>
      <c r="U685" s="71"/>
      <c r="V685" s="71">
        <v>7</v>
      </c>
      <c r="W685" s="71"/>
      <c r="X685" s="71">
        <v>9</v>
      </c>
      <c r="Y685" s="71"/>
      <c r="Z685" s="72">
        <v>0</v>
      </c>
      <c r="AA685" s="71">
        <v>0</v>
      </c>
      <c r="AB685" s="73">
        <f>100/(SUM(I685:Z685))</f>
        <v>1.0101010101010102</v>
      </c>
      <c r="AC685" s="259">
        <f>SUM(I685:AA685)</f>
        <v>99</v>
      </c>
      <c r="AD685" s="71"/>
      <c r="AE685" s="71"/>
      <c r="AF685" s="71"/>
      <c r="AG685" s="74"/>
      <c r="AH685" s="75" t="s">
        <v>427</v>
      </c>
      <c r="AI685" s="75" t="s">
        <v>428</v>
      </c>
      <c r="AJ685" s="75"/>
      <c r="AK685" s="69" t="s">
        <v>429</v>
      </c>
      <c r="AL685" s="74">
        <f>(B685-DATE(1970,1,1))*86400</f>
        <v>1692835200</v>
      </c>
      <c r="AM685" s="74">
        <f>(C685-DATE(1970,1,1))*86400</f>
        <v>1693267200</v>
      </c>
      <c r="AN685" s="74">
        <f>AVERAGE(AL685:AM685)</f>
        <v>1693051200</v>
      </c>
    </row>
    <row r="686" spans="1:40" ht="15.75" customHeight="1" x14ac:dyDescent="0.2">
      <c r="A686" s="287" t="s">
        <v>123</v>
      </c>
      <c r="B686" s="70">
        <v>45162</v>
      </c>
      <c r="C686" s="70">
        <v>45167</v>
      </c>
      <c r="D686" s="69" t="s">
        <v>183</v>
      </c>
      <c r="E686" s="333" t="s">
        <v>184</v>
      </c>
      <c r="F686" s="69"/>
      <c r="G686" s="69" t="s">
        <v>135</v>
      </c>
      <c r="H686" s="360">
        <v>1500</v>
      </c>
      <c r="I686" s="71">
        <v>42</v>
      </c>
      <c r="J686" s="71">
        <v>4</v>
      </c>
      <c r="K686" s="71">
        <v>7</v>
      </c>
      <c r="L686" s="71">
        <v>1</v>
      </c>
      <c r="M686" s="71">
        <v>15</v>
      </c>
      <c r="N686" s="71"/>
      <c r="O686" s="71">
        <v>1</v>
      </c>
      <c r="P686" s="71">
        <v>9</v>
      </c>
      <c r="Q686" s="71"/>
      <c r="R686" s="72"/>
      <c r="S686" s="71">
        <v>4</v>
      </c>
      <c r="T686" s="71">
        <v>4</v>
      </c>
      <c r="U686" s="71"/>
      <c r="V686" s="71">
        <v>5</v>
      </c>
      <c r="W686" s="71"/>
      <c r="X686" s="71">
        <v>8</v>
      </c>
      <c r="Y686" s="71"/>
      <c r="Z686" s="72">
        <v>0</v>
      </c>
      <c r="AA686" s="71">
        <v>0</v>
      </c>
      <c r="AB686" s="73">
        <f>100/(SUM(I686:Z686))</f>
        <v>1</v>
      </c>
      <c r="AC686" s="259">
        <f>SUM(I686:AA686)</f>
        <v>100</v>
      </c>
      <c r="AD686" s="71"/>
      <c r="AE686" s="71"/>
      <c r="AF686" s="71"/>
      <c r="AG686" s="74"/>
      <c r="AH686" s="75" t="s">
        <v>427</v>
      </c>
      <c r="AI686" s="75" t="s">
        <v>428</v>
      </c>
      <c r="AJ686" s="75"/>
      <c r="AK686" s="69" t="s">
        <v>429</v>
      </c>
      <c r="AL686" s="74">
        <f>(B686-DATE(1970,1,1))*86400</f>
        <v>1692835200</v>
      </c>
      <c r="AM686" s="74">
        <f>(C686-DATE(1970,1,1))*86400</f>
        <v>1693267200</v>
      </c>
      <c r="AN686" s="74">
        <f>AVERAGE(AL686:AM686)</f>
        <v>1693051200</v>
      </c>
    </row>
    <row r="687" spans="1:40" ht="15.75" customHeight="1" x14ac:dyDescent="0.2">
      <c r="A687" s="288" t="s">
        <v>133</v>
      </c>
      <c r="B687" s="60">
        <v>45154</v>
      </c>
      <c r="C687" s="60">
        <v>45161</v>
      </c>
      <c r="D687" s="61" t="s">
        <v>168</v>
      </c>
      <c r="E687" s="334" t="s">
        <v>125</v>
      </c>
      <c r="F687" s="61"/>
      <c r="G687" s="61" t="s">
        <v>126</v>
      </c>
      <c r="H687" s="334">
        <v>1000</v>
      </c>
      <c r="I687" s="63">
        <v>30</v>
      </c>
      <c r="J687" s="63">
        <v>3</v>
      </c>
      <c r="K687" s="63">
        <v>3</v>
      </c>
      <c r="L687" s="63">
        <v>3</v>
      </c>
      <c r="M687" s="63">
        <v>12</v>
      </c>
      <c r="N687" s="63"/>
      <c r="O687" s="63">
        <v>2</v>
      </c>
      <c r="P687" s="63">
        <v>7</v>
      </c>
      <c r="Q687" s="63"/>
      <c r="R687" s="64"/>
      <c r="S687" s="63"/>
      <c r="T687" s="63"/>
      <c r="U687" s="63"/>
      <c r="V687" s="63">
        <v>5</v>
      </c>
      <c r="W687" s="63"/>
      <c r="X687" s="63">
        <v>7</v>
      </c>
      <c r="Y687" s="63"/>
      <c r="Z687" s="63">
        <v>0</v>
      </c>
      <c r="AA687" s="63">
        <v>28</v>
      </c>
      <c r="AB687" s="65">
        <f>100/(SUM(I687:Z687))</f>
        <v>1.3888888888888888</v>
      </c>
      <c r="AC687" s="259">
        <f>SUM(I687:AA687)</f>
        <v>100</v>
      </c>
      <c r="AD687" s="63">
        <v>62</v>
      </c>
      <c r="AE687" s="64"/>
      <c r="AF687" s="64"/>
      <c r="AG687" s="66" t="s">
        <v>127</v>
      </c>
      <c r="AH687" s="67" t="s">
        <v>430</v>
      </c>
      <c r="AI687" s="67"/>
      <c r="AJ687" s="67" t="s">
        <v>431</v>
      </c>
      <c r="AK687" s="61" t="s">
        <v>432</v>
      </c>
      <c r="AL687" s="66">
        <f>(B687-DATE(1970,1,1))*86400</f>
        <v>1692144000</v>
      </c>
      <c r="AM687" s="66">
        <f>(C687-DATE(1970,1,1))*86400</f>
        <v>1692748800</v>
      </c>
      <c r="AN687" s="66">
        <f>AVERAGE(AL687:AM687)</f>
        <v>1692446400</v>
      </c>
    </row>
    <row r="688" spans="1:40" ht="15.75" customHeight="1" x14ac:dyDescent="0.2">
      <c r="A688" s="288" t="s">
        <v>133</v>
      </c>
      <c r="B688" s="60">
        <v>45154</v>
      </c>
      <c r="C688" s="60">
        <v>45161</v>
      </c>
      <c r="D688" s="61" t="s">
        <v>168</v>
      </c>
      <c r="E688" s="334" t="s">
        <v>125</v>
      </c>
      <c r="F688" s="61"/>
      <c r="G688" s="61" t="s">
        <v>126</v>
      </c>
      <c r="H688" s="334">
        <v>1000</v>
      </c>
      <c r="I688" s="63">
        <v>42</v>
      </c>
      <c r="J688" s="63">
        <v>4</v>
      </c>
      <c r="K688" s="63">
        <v>4</v>
      </c>
      <c r="L688" s="63">
        <v>4</v>
      </c>
      <c r="M688" s="63">
        <v>17</v>
      </c>
      <c r="N688" s="63"/>
      <c r="O688" s="63">
        <v>2</v>
      </c>
      <c r="P688" s="63">
        <v>10</v>
      </c>
      <c r="Q688" s="63"/>
      <c r="R688" s="64"/>
      <c r="S688" s="63"/>
      <c r="T688" s="63"/>
      <c r="U688" s="63"/>
      <c r="V688" s="63">
        <v>7</v>
      </c>
      <c r="W688" s="63"/>
      <c r="X688" s="63">
        <v>10</v>
      </c>
      <c r="Y688" s="63"/>
      <c r="Z688" s="63">
        <v>0</v>
      </c>
      <c r="AA688" s="63">
        <v>0</v>
      </c>
      <c r="AB688" s="65">
        <f>100/(SUM(I688:Z688))</f>
        <v>1</v>
      </c>
      <c r="AC688" s="259">
        <f>SUM(I688:AA688)</f>
        <v>100</v>
      </c>
      <c r="AD688" s="63"/>
      <c r="AE688" s="64"/>
      <c r="AF688" s="64"/>
      <c r="AG688" s="66" t="s">
        <v>127</v>
      </c>
      <c r="AH688" s="67" t="s">
        <v>430</v>
      </c>
      <c r="AI688" s="67"/>
      <c r="AJ688" s="67" t="s">
        <v>431</v>
      </c>
      <c r="AK688" s="61" t="s">
        <v>381</v>
      </c>
      <c r="AL688" s="66">
        <f>(B688-DATE(1970,1,1))*86400</f>
        <v>1692144000</v>
      </c>
      <c r="AM688" s="66">
        <f>(C688-DATE(1970,1,1))*86400</f>
        <v>1692748800</v>
      </c>
      <c r="AN688" s="66">
        <f>AVERAGE(AL688:AM688)</f>
        <v>1692446400</v>
      </c>
    </row>
    <row r="689" spans="1:65" ht="15.75" customHeight="1" x14ac:dyDescent="0.2">
      <c r="A689" s="286" t="s">
        <v>133</v>
      </c>
      <c r="B689" s="41">
        <v>45154</v>
      </c>
      <c r="C689" s="41">
        <v>45161</v>
      </c>
      <c r="D689" s="40" t="s">
        <v>148</v>
      </c>
      <c r="E689" s="325" t="s">
        <v>125</v>
      </c>
      <c r="F689" s="40" t="s">
        <v>140</v>
      </c>
      <c r="G689" s="40" t="s">
        <v>126</v>
      </c>
      <c r="H689" s="325">
        <v>1000</v>
      </c>
      <c r="I689" s="42"/>
      <c r="J689" s="42"/>
      <c r="K689" s="42"/>
      <c r="L689" s="42"/>
      <c r="M689" s="42"/>
      <c r="N689" s="42"/>
      <c r="O689" s="42"/>
      <c r="P689" s="42"/>
      <c r="Q689" s="42"/>
      <c r="R689" s="43"/>
      <c r="S689" s="42"/>
      <c r="T689" s="42"/>
      <c r="U689" s="42"/>
      <c r="V689" s="42"/>
      <c r="W689" s="42"/>
      <c r="X689" s="42"/>
      <c r="Y689" s="42"/>
      <c r="Z689" s="42"/>
      <c r="AA689" s="42"/>
      <c r="AB689" s="44" t="e">
        <f>100/(SUM(I689:Z689))</f>
        <v>#DIV/0!</v>
      </c>
      <c r="AC689" s="259">
        <f>SUM(I689:AA689)</f>
        <v>0</v>
      </c>
      <c r="AD689" s="42"/>
      <c r="AE689" s="43"/>
      <c r="AF689" s="43"/>
      <c r="AG689" s="45" t="s">
        <v>433</v>
      </c>
      <c r="AH689" s="46" t="s">
        <v>434</v>
      </c>
      <c r="AI689" s="46" t="s">
        <v>435</v>
      </c>
      <c r="AJ689" s="46" t="s">
        <v>436</v>
      </c>
      <c r="AK689" s="40" t="s">
        <v>437</v>
      </c>
      <c r="AL689" s="45">
        <f>(B689-DATE(1970,1,1))*86400</f>
        <v>1692144000</v>
      </c>
      <c r="AM689" s="45">
        <f>(C689-DATE(1970,1,1))*86400</f>
        <v>1692748800</v>
      </c>
      <c r="AN689" s="45">
        <f>AVERAGE(AL689:AM689)</f>
        <v>1692446400</v>
      </c>
    </row>
    <row r="690" spans="1:65" ht="15.75" customHeight="1" x14ac:dyDescent="0.2">
      <c r="A690" s="286" t="s">
        <v>133</v>
      </c>
      <c r="B690" s="41">
        <v>45154</v>
      </c>
      <c r="C690" s="41">
        <v>45161</v>
      </c>
      <c r="D690" s="40" t="s">
        <v>148</v>
      </c>
      <c r="E690" s="325" t="s">
        <v>125</v>
      </c>
      <c r="F690" s="40" t="s">
        <v>140</v>
      </c>
      <c r="G690" s="40" t="s">
        <v>126</v>
      </c>
      <c r="H690" s="325">
        <v>1000</v>
      </c>
      <c r="I690" s="42"/>
      <c r="J690" s="42"/>
      <c r="K690" s="42"/>
      <c r="L690" s="42"/>
      <c r="M690" s="42"/>
      <c r="N690" s="42"/>
      <c r="O690" s="42"/>
      <c r="P690" s="42"/>
      <c r="Q690" s="42"/>
      <c r="R690" s="43"/>
      <c r="S690" s="42"/>
      <c r="T690" s="42"/>
      <c r="U690" s="42"/>
      <c r="V690" s="42"/>
      <c r="W690" s="42"/>
      <c r="X690" s="42"/>
      <c r="Y690" s="42"/>
      <c r="Z690" s="42"/>
      <c r="AA690" s="42"/>
      <c r="AB690" s="44" t="e">
        <f>100/(SUM(I690:Z690))</f>
        <v>#DIV/0!</v>
      </c>
      <c r="AC690" s="259">
        <f>SUM(I690:AA690)</f>
        <v>0</v>
      </c>
      <c r="AD690" s="42"/>
      <c r="AE690" s="43"/>
      <c r="AF690" s="43"/>
      <c r="AG690" s="45" t="s">
        <v>433</v>
      </c>
      <c r="AH690" s="46" t="s">
        <v>434</v>
      </c>
      <c r="AI690" s="46" t="s">
        <v>435</v>
      </c>
      <c r="AJ690" s="46" t="s">
        <v>436</v>
      </c>
      <c r="AK690" s="40" t="s">
        <v>437</v>
      </c>
      <c r="AL690" s="45">
        <f>(B690-DATE(1970,1,1))*86400</f>
        <v>1692144000</v>
      </c>
      <c r="AM690" s="45">
        <f>(C690-DATE(1970,1,1))*86400</f>
        <v>1692748800</v>
      </c>
      <c r="AN690" s="45">
        <f>AVERAGE(AL690:AM690)</f>
        <v>1692446400</v>
      </c>
    </row>
    <row r="691" spans="1:65" ht="15.75" customHeight="1" x14ac:dyDescent="0.2">
      <c r="A691" s="284" t="s">
        <v>133</v>
      </c>
      <c r="B691" s="20">
        <v>45135</v>
      </c>
      <c r="C691" s="20">
        <v>45147</v>
      </c>
      <c r="D691" s="19" t="s">
        <v>134</v>
      </c>
      <c r="E691" s="332" t="s">
        <v>125</v>
      </c>
      <c r="F691" s="19"/>
      <c r="G691" s="19" t="s">
        <v>135</v>
      </c>
      <c r="H691" s="332">
        <v>1800</v>
      </c>
      <c r="I691" s="21">
        <v>27</v>
      </c>
      <c r="J691" s="21">
        <v>2</v>
      </c>
      <c r="K691" s="21">
        <v>1</v>
      </c>
      <c r="L691" s="21">
        <v>1</v>
      </c>
      <c r="M691" s="21">
        <v>12</v>
      </c>
      <c r="N691" s="21"/>
      <c r="O691" s="21">
        <v>1</v>
      </c>
      <c r="P691" s="21">
        <v>5</v>
      </c>
      <c r="Q691" s="21"/>
      <c r="R691" s="22"/>
      <c r="S691" s="21"/>
      <c r="T691" s="21"/>
      <c r="U691" s="21"/>
      <c r="V691" s="21">
        <v>4</v>
      </c>
      <c r="W691" s="21"/>
      <c r="X691" s="21">
        <v>6</v>
      </c>
      <c r="Y691" s="21"/>
      <c r="Z691" s="21">
        <v>3</v>
      </c>
      <c r="AA691" s="21">
        <v>38</v>
      </c>
      <c r="AB691" s="23">
        <f>100/(SUM(I691:Z691))</f>
        <v>1.6129032258064515</v>
      </c>
      <c r="AC691" s="259">
        <f>SUM(I691:AA691)</f>
        <v>100</v>
      </c>
      <c r="AD691" s="24"/>
      <c r="AE691" s="24"/>
      <c r="AF691" s="24"/>
      <c r="AG691" s="25" t="s">
        <v>127</v>
      </c>
      <c r="AH691" s="26" t="s">
        <v>438</v>
      </c>
      <c r="AI691" s="26" t="s">
        <v>439</v>
      </c>
      <c r="AJ691" s="83"/>
      <c r="AK691" s="19" t="s">
        <v>376</v>
      </c>
      <c r="AL691" s="25">
        <f>(B691-DATE(1970,1,1))*86400</f>
        <v>1690502400</v>
      </c>
      <c r="AM691" s="25">
        <f>(C691-DATE(1970,1,1))*86400</f>
        <v>1691539200</v>
      </c>
      <c r="AN691" s="25">
        <f>AVERAGE(AL691:AM691)</f>
        <v>1691020800</v>
      </c>
    </row>
    <row r="692" spans="1:65" s="436" customFormat="1" ht="15.75" customHeight="1" x14ac:dyDescent="0.2">
      <c r="A692" s="284" t="s">
        <v>123</v>
      </c>
      <c r="B692" s="20">
        <v>45135</v>
      </c>
      <c r="C692" s="20">
        <v>45147</v>
      </c>
      <c r="D692" s="19" t="s">
        <v>134</v>
      </c>
      <c r="E692" s="332" t="s">
        <v>125</v>
      </c>
      <c r="F692" s="19"/>
      <c r="G692" s="19" t="s">
        <v>135</v>
      </c>
      <c r="H692" s="332">
        <v>1800</v>
      </c>
      <c r="I692" s="21">
        <v>46</v>
      </c>
      <c r="J692" s="21">
        <v>2</v>
      </c>
      <c r="K692" s="21">
        <v>2</v>
      </c>
      <c r="L692" s="21">
        <v>2</v>
      </c>
      <c r="M692" s="21">
        <v>20</v>
      </c>
      <c r="N692" s="21"/>
      <c r="O692" s="21">
        <v>1</v>
      </c>
      <c r="P692" s="21">
        <v>8</v>
      </c>
      <c r="Q692" s="21"/>
      <c r="R692" s="22"/>
      <c r="S692" s="21"/>
      <c r="T692" s="21"/>
      <c r="U692" s="21"/>
      <c r="V692" s="21">
        <v>6</v>
      </c>
      <c r="W692" s="21"/>
      <c r="X692" s="21">
        <v>9</v>
      </c>
      <c r="Y692" s="21"/>
      <c r="Z692" s="21">
        <v>5</v>
      </c>
      <c r="AA692" s="21">
        <v>0</v>
      </c>
      <c r="AB692" s="23">
        <f>100/(SUM(I692:Z692))</f>
        <v>0.99009900990099009</v>
      </c>
      <c r="AC692" s="259">
        <f>SUM(I692:AA692)</f>
        <v>101</v>
      </c>
      <c r="AD692" s="24"/>
      <c r="AE692" s="24"/>
      <c r="AF692" s="24"/>
      <c r="AG692" s="25" t="s">
        <v>127</v>
      </c>
      <c r="AH692" s="26" t="s">
        <v>438</v>
      </c>
      <c r="AI692" s="26" t="s">
        <v>439</v>
      </c>
      <c r="AJ692" s="83"/>
      <c r="AK692" s="19"/>
      <c r="AL692" s="25">
        <f>(B692-DATE(1970,1,1))*86400</f>
        <v>1690502400</v>
      </c>
      <c r="AM692" s="25">
        <f>(C692-DATE(1970,1,1))*86400</f>
        <v>1691539200</v>
      </c>
      <c r="AN692" s="25">
        <f>AVERAGE(AL692:AM692)</f>
        <v>1691020800</v>
      </c>
      <c r="AO692"/>
      <c r="AP692"/>
      <c r="AQ692"/>
      <c r="AR692"/>
      <c r="AS692"/>
      <c r="AT692"/>
      <c r="AU692"/>
      <c r="AV692"/>
      <c r="AW692"/>
      <c r="AX692"/>
      <c r="AY692"/>
      <c r="AZ692"/>
      <c r="BA692"/>
      <c r="BB692"/>
      <c r="BC692"/>
      <c r="BD692"/>
      <c r="BE692"/>
      <c r="BF692"/>
      <c r="BG692"/>
      <c r="BH692"/>
      <c r="BI692"/>
      <c r="BJ692"/>
      <c r="BK692"/>
      <c r="BL692"/>
      <c r="BM692"/>
    </row>
    <row r="693" spans="1:65" s="436" customFormat="1" ht="15.75" customHeight="1" x14ac:dyDescent="0.2">
      <c r="A693" s="287" t="s">
        <v>133</v>
      </c>
      <c r="B693" s="187">
        <v>45126</v>
      </c>
      <c r="C693" s="187">
        <v>45131</v>
      </c>
      <c r="D693" s="69" t="s">
        <v>183</v>
      </c>
      <c r="E693" s="333" t="s">
        <v>184</v>
      </c>
      <c r="F693" s="69" t="s">
        <v>2523</v>
      </c>
      <c r="G693" s="188" t="s">
        <v>126</v>
      </c>
      <c r="H693" s="354">
        <v>600</v>
      </c>
      <c r="I693" s="71"/>
      <c r="J693" s="71"/>
      <c r="K693" s="71"/>
      <c r="L693" s="71"/>
      <c r="M693" s="71"/>
      <c r="N693" s="71"/>
      <c r="O693" s="71"/>
      <c r="P693" s="71"/>
      <c r="Q693" s="71"/>
      <c r="R693" s="72"/>
      <c r="S693" s="71"/>
      <c r="T693" s="71"/>
      <c r="U693" s="71"/>
      <c r="V693" s="71"/>
      <c r="W693" s="71"/>
      <c r="X693" s="71"/>
      <c r="Y693" s="71"/>
      <c r="Z693" s="71"/>
      <c r="AA693" s="71"/>
      <c r="AB693" s="73" t="e">
        <f>100/(SUM(I693:Z693))</f>
        <v>#DIV/0!</v>
      </c>
      <c r="AC693" s="259">
        <f>SUM(I693:AA693)</f>
        <v>0</v>
      </c>
      <c r="AD693" s="71"/>
      <c r="AE693" s="71"/>
      <c r="AF693" s="71"/>
      <c r="AG693" s="74" t="s">
        <v>1630</v>
      </c>
      <c r="AH693" s="75" t="s">
        <v>1631</v>
      </c>
      <c r="AI693" s="75"/>
      <c r="AJ693" s="75"/>
      <c r="AK693" s="69"/>
      <c r="AL693" s="74">
        <f>(B693-DATE(1970,1,1))*86400</f>
        <v>1689724800</v>
      </c>
      <c r="AM693" s="74">
        <f>(C693-DATE(1970,1,1))*86400</f>
        <v>1690156800</v>
      </c>
      <c r="AN693" s="74">
        <f>AVERAGE(AL693:AM693)</f>
        <v>1689940800</v>
      </c>
      <c r="AO693"/>
      <c r="AP693"/>
      <c r="AQ693"/>
      <c r="AR693"/>
      <c r="AS693"/>
      <c r="AT693"/>
      <c r="AU693"/>
      <c r="AV693"/>
      <c r="AW693"/>
      <c r="AX693"/>
      <c r="AY693"/>
      <c r="AZ693"/>
      <c r="BA693"/>
      <c r="BB693"/>
      <c r="BC693"/>
      <c r="BD693"/>
      <c r="BE693"/>
      <c r="BF693"/>
      <c r="BG693"/>
      <c r="BH693"/>
      <c r="BI693"/>
      <c r="BJ693"/>
      <c r="BK693"/>
      <c r="BL693"/>
      <c r="BM693"/>
    </row>
    <row r="694" spans="1:65" s="436" customFormat="1" ht="15.75" customHeight="1" x14ac:dyDescent="0.2">
      <c r="A694" s="288" t="s">
        <v>133</v>
      </c>
      <c r="B694" s="60">
        <v>45121</v>
      </c>
      <c r="C694" s="60">
        <v>45132</v>
      </c>
      <c r="D694" s="61" t="s">
        <v>168</v>
      </c>
      <c r="E694" s="334" t="s">
        <v>125</v>
      </c>
      <c r="F694" s="61"/>
      <c r="G694" s="61" t="s">
        <v>126</v>
      </c>
      <c r="H694" s="334">
        <v>1000</v>
      </c>
      <c r="I694" s="63">
        <v>31</v>
      </c>
      <c r="J694" s="63">
        <v>4</v>
      </c>
      <c r="K694" s="63">
        <v>3</v>
      </c>
      <c r="L694" s="63">
        <v>3</v>
      </c>
      <c r="M694" s="63">
        <v>13</v>
      </c>
      <c r="N694" s="63"/>
      <c r="O694" s="63">
        <v>2</v>
      </c>
      <c r="P694" s="63">
        <v>6</v>
      </c>
      <c r="Q694" s="63"/>
      <c r="R694" s="64"/>
      <c r="S694" s="63"/>
      <c r="T694" s="63"/>
      <c r="U694" s="63"/>
      <c r="V694" s="63">
        <v>4</v>
      </c>
      <c r="W694" s="63"/>
      <c r="X694" s="63">
        <v>6</v>
      </c>
      <c r="Y694" s="63"/>
      <c r="Z694" s="63"/>
      <c r="AA694" s="63">
        <v>28</v>
      </c>
      <c r="AB694" s="65">
        <f>100/(SUM(I694:Z694))</f>
        <v>1.3888888888888888</v>
      </c>
      <c r="AC694" s="259">
        <f>SUM(I694:AA694)</f>
        <v>100</v>
      </c>
      <c r="AD694" s="63">
        <v>59</v>
      </c>
      <c r="AE694" s="64"/>
      <c r="AF694" s="64"/>
      <c r="AG694" s="66" t="s">
        <v>127</v>
      </c>
      <c r="AH694" s="67" t="s">
        <v>440</v>
      </c>
      <c r="AI694" s="67"/>
      <c r="AJ694" s="67"/>
      <c r="AK694" s="61" t="s">
        <v>441</v>
      </c>
      <c r="AL694" s="66">
        <f>(B694-DATE(1970,1,1))*86400</f>
        <v>1689292800</v>
      </c>
      <c r="AM694" s="66">
        <f>(C694-DATE(1970,1,1))*86400</f>
        <v>1690243200</v>
      </c>
      <c r="AN694" s="66">
        <f>AVERAGE(AL694:AM694)</f>
        <v>1689768000</v>
      </c>
      <c r="AO694"/>
      <c r="AP694"/>
      <c r="AQ694"/>
      <c r="AR694"/>
      <c r="AS694"/>
      <c r="AT694"/>
      <c r="AU694"/>
      <c r="AV694"/>
      <c r="AW694"/>
      <c r="AX694"/>
      <c r="AY694"/>
      <c r="AZ694"/>
      <c r="BA694"/>
      <c r="BB694"/>
      <c r="BC694"/>
      <c r="BD694"/>
      <c r="BE694"/>
      <c r="BF694"/>
      <c r="BG694"/>
      <c r="BH694"/>
      <c r="BI694"/>
      <c r="BJ694"/>
      <c r="BK694"/>
      <c r="BL694"/>
      <c r="BM694"/>
    </row>
    <row r="695" spans="1:65" s="436" customFormat="1" ht="15.75" customHeight="1" x14ac:dyDescent="0.2">
      <c r="A695" s="288" t="s">
        <v>133</v>
      </c>
      <c r="B695" s="60">
        <v>45121</v>
      </c>
      <c r="C695" s="60">
        <v>45132</v>
      </c>
      <c r="D695" s="61" t="s">
        <v>168</v>
      </c>
      <c r="E695" s="334" t="s">
        <v>125</v>
      </c>
      <c r="F695" s="61"/>
      <c r="G695" s="61" t="s">
        <v>126</v>
      </c>
      <c r="H695" s="334">
        <v>1000</v>
      </c>
      <c r="I695" s="63">
        <v>44</v>
      </c>
      <c r="J695" s="63">
        <v>5</v>
      </c>
      <c r="K695" s="63">
        <v>4</v>
      </c>
      <c r="L695" s="63">
        <v>4</v>
      </c>
      <c r="M695" s="63">
        <v>18</v>
      </c>
      <c r="N695" s="63"/>
      <c r="O695" s="63">
        <v>2</v>
      </c>
      <c r="P695" s="63">
        <v>9</v>
      </c>
      <c r="Q695" s="63"/>
      <c r="R695" s="64"/>
      <c r="S695" s="63"/>
      <c r="T695" s="63"/>
      <c r="U695" s="63"/>
      <c r="V695" s="63">
        <v>6</v>
      </c>
      <c r="W695" s="63"/>
      <c r="X695" s="63">
        <v>8</v>
      </c>
      <c r="Y695" s="63"/>
      <c r="Z695" s="63"/>
      <c r="AA695" s="63">
        <v>0</v>
      </c>
      <c r="AB695" s="65">
        <f>100/(SUM(I695:Z695))</f>
        <v>1</v>
      </c>
      <c r="AC695" s="259">
        <f>SUM(I695:AA695)</f>
        <v>100</v>
      </c>
      <c r="AD695" s="63"/>
      <c r="AE695" s="64"/>
      <c r="AF695" s="64"/>
      <c r="AG695" s="66" t="s">
        <v>127</v>
      </c>
      <c r="AH695" s="67" t="s">
        <v>440</v>
      </c>
      <c r="AI695" s="67"/>
      <c r="AJ695" s="67"/>
      <c r="AK695" s="61" t="s">
        <v>138</v>
      </c>
      <c r="AL695" s="66">
        <f>(B695-DATE(1970,1,1))*86400</f>
        <v>1689292800</v>
      </c>
      <c r="AM695" s="66">
        <f>(C695-DATE(1970,1,1))*86400</f>
        <v>1690243200</v>
      </c>
      <c r="AN695" s="66">
        <f>AVERAGE(AL695:AM695)</f>
        <v>1689768000</v>
      </c>
      <c r="AO695"/>
      <c r="AP695"/>
      <c r="AQ695"/>
      <c r="AR695"/>
      <c r="AS695"/>
      <c r="AT695"/>
      <c r="AU695"/>
      <c r="AV695"/>
      <c r="AW695"/>
      <c r="AX695"/>
      <c r="AY695"/>
      <c r="AZ695"/>
      <c r="BA695"/>
      <c r="BB695"/>
      <c r="BC695"/>
      <c r="BD695"/>
      <c r="BE695"/>
      <c r="BF695"/>
      <c r="BG695"/>
      <c r="BH695"/>
      <c r="BI695"/>
      <c r="BJ695"/>
      <c r="BK695"/>
      <c r="BL695"/>
      <c r="BM695"/>
    </row>
    <row r="696" spans="1:65" s="436" customFormat="1" ht="15.75" customHeight="1" x14ac:dyDescent="0.2">
      <c r="A696" s="288" t="s">
        <v>133</v>
      </c>
      <c r="B696" s="60">
        <v>45117</v>
      </c>
      <c r="C696" s="60">
        <v>45135</v>
      </c>
      <c r="D696" s="61" t="s">
        <v>168</v>
      </c>
      <c r="E696" s="334" t="s">
        <v>125</v>
      </c>
      <c r="F696" s="61" t="s">
        <v>2495</v>
      </c>
      <c r="G696" s="61" t="s">
        <v>149</v>
      </c>
      <c r="H696" s="334">
        <v>1500</v>
      </c>
      <c r="I696" s="63">
        <v>30</v>
      </c>
      <c r="J696" s="63">
        <v>6</v>
      </c>
      <c r="K696" s="63">
        <v>4</v>
      </c>
      <c r="L696" s="63">
        <v>5</v>
      </c>
      <c r="M696" s="63">
        <v>18</v>
      </c>
      <c r="N696" s="63"/>
      <c r="O696" s="63">
        <v>4</v>
      </c>
      <c r="P696" s="63">
        <v>10</v>
      </c>
      <c r="Q696" s="63"/>
      <c r="R696" s="64"/>
      <c r="S696" s="63">
        <v>1</v>
      </c>
      <c r="T696" s="63"/>
      <c r="U696" s="63"/>
      <c r="V696" s="63">
        <v>5</v>
      </c>
      <c r="W696" s="63"/>
      <c r="X696" s="63">
        <v>3</v>
      </c>
      <c r="Y696" s="63"/>
      <c r="Z696" s="63">
        <v>0</v>
      </c>
      <c r="AA696" s="63">
        <v>13</v>
      </c>
      <c r="AB696" s="65">
        <f>100/(SUM(I696:Z696))</f>
        <v>1.1627906976744187</v>
      </c>
      <c r="AC696" s="259">
        <f>SUM(I696:AA696)</f>
        <v>99</v>
      </c>
      <c r="AD696" s="63"/>
      <c r="AE696" s="64"/>
      <c r="AF696" s="64"/>
      <c r="AG696" s="66" t="s">
        <v>127</v>
      </c>
      <c r="AH696" s="67" t="s">
        <v>442</v>
      </c>
      <c r="AI696" s="67"/>
      <c r="AJ696" s="67"/>
      <c r="AK696" s="61" t="s">
        <v>443</v>
      </c>
      <c r="AL696" s="66">
        <f>(B696-DATE(1970,1,1))*86400</f>
        <v>1688947200</v>
      </c>
      <c r="AM696" s="66">
        <f>(C696-DATE(1970,1,1))*86400</f>
        <v>1690502400</v>
      </c>
      <c r="AN696" s="66">
        <f>AVERAGE(AL696:AM696)</f>
        <v>1689724800</v>
      </c>
      <c r="AO696"/>
      <c r="AP696"/>
      <c r="AQ696"/>
      <c r="AR696"/>
      <c r="AS696"/>
      <c r="AT696"/>
      <c r="AU696"/>
      <c r="AV696"/>
      <c r="AW696"/>
      <c r="AX696"/>
      <c r="AY696"/>
      <c r="AZ696"/>
      <c r="BA696"/>
      <c r="BB696"/>
      <c r="BC696"/>
      <c r="BD696"/>
      <c r="BE696"/>
      <c r="BF696"/>
      <c r="BG696"/>
      <c r="BH696"/>
      <c r="BI696"/>
      <c r="BJ696"/>
      <c r="BK696"/>
      <c r="BL696"/>
      <c r="BM696"/>
    </row>
    <row r="697" spans="1:65" s="436" customFormat="1" ht="15.75" customHeight="1" x14ac:dyDescent="0.2">
      <c r="A697" s="288" t="s">
        <v>133</v>
      </c>
      <c r="B697" s="60">
        <v>45117</v>
      </c>
      <c r="C697" s="60">
        <v>45135</v>
      </c>
      <c r="D697" s="61" t="s">
        <v>168</v>
      </c>
      <c r="E697" s="334" t="s">
        <v>125</v>
      </c>
      <c r="F697" s="61" t="s">
        <v>2495</v>
      </c>
      <c r="G697" s="61" t="s">
        <v>149</v>
      </c>
      <c r="H697" s="334">
        <v>1500</v>
      </c>
      <c r="I697" s="63">
        <v>35</v>
      </c>
      <c r="J697" s="63">
        <v>7</v>
      </c>
      <c r="K697" s="63">
        <v>4</v>
      </c>
      <c r="L697" s="63">
        <v>5</v>
      </c>
      <c r="M697" s="63">
        <v>21</v>
      </c>
      <c r="N697" s="63"/>
      <c r="O697" s="63">
        <v>5</v>
      </c>
      <c r="P697" s="63">
        <v>12</v>
      </c>
      <c r="Q697" s="63"/>
      <c r="R697" s="64"/>
      <c r="S697" s="63">
        <v>1</v>
      </c>
      <c r="T697" s="63"/>
      <c r="U697" s="63"/>
      <c r="V697" s="63">
        <v>5</v>
      </c>
      <c r="W697" s="63"/>
      <c r="X697" s="63">
        <v>4</v>
      </c>
      <c r="Y697" s="63"/>
      <c r="Z697" s="63">
        <v>0</v>
      </c>
      <c r="AA697" s="63">
        <v>0</v>
      </c>
      <c r="AB697" s="65">
        <f>100/(SUM(I697:Z697))</f>
        <v>1.0101010101010102</v>
      </c>
      <c r="AC697" s="259">
        <f>SUM(I697:AA697)</f>
        <v>99</v>
      </c>
      <c r="AD697" s="63"/>
      <c r="AE697" s="64"/>
      <c r="AF697" s="64"/>
      <c r="AG697" s="66" t="s">
        <v>127</v>
      </c>
      <c r="AH697" s="67" t="s">
        <v>442</v>
      </c>
      <c r="AI697" s="67"/>
      <c r="AJ697" s="67"/>
      <c r="AK697" s="61" t="s">
        <v>444</v>
      </c>
      <c r="AL697" s="66">
        <f>(B697-DATE(1970,1,1))*86400</f>
        <v>1688947200</v>
      </c>
      <c r="AM697" s="66">
        <f>(C697-DATE(1970,1,1))*86400</f>
        <v>1690502400</v>
      </c>
      <c r="AN697" s="66">
        <f>AVERAGE(AL697:AM697)</f>
        <v>1689724800</v>
      </c>
      <c r="AO697"/>
      <c r="AP697"/>
      <c r="AQ697"/>
      <c r="AR697"/>
      <c r="AS697"/>
      <c r="AT697"/>
      <c r="AU697"/>
      <c r="AV697"/>
      <c r="AW697"/>
      <c r="AX697"/>
      <c r="AY697"/>
      <c r="AZ697"/>
      <c r="BA697"/>
      <c r="BB697"/>
      <c r="BC697"/>
      <c r="BD697"/>
      <c r="BE697"/>
      <c r="BF697"/>
      <c r="BG697"/>
      <c r="BH697"/>
      <c r="BI697"/>
      <c r="BJ697"/>
      <c r="BK697"/>
      <c r="BL697"/>
      <c r="BM697"/>
    </row>
    <row r="698" spans="1:65" s="436" customFormat="1" ht="15.75" customHeight="1" x14ac:dyDescent="0.2">
      <c r="A698" s="284" t="s">
        <v>133</v>
      </c>
      <c r="B698" s="20">
        <v>45105</v>
      </c>
      <c r="C698" s="20">
        <v>45126</v>
      </c>
      <c r="D698" s="19" t="s">
        <v>134</v>
      </c>
      <c r="E698" s="332" t="s">
        <v>125</v>
      </c>
      <c r="F698" s="19"/>
      <c r="G698" s="19" t="s">
        <v>135</v>
      </c>
      <c r="H698" s="332">
        <v>1800</v>
      </c>
      <c r="I698" s="21">
        <v>30</v>
      </c>
      <c r="J698" s="21">
        <v>2</v>
      </c>
      <c r="K698" s="21">
        <v>1</v>
      </c>
      <c r="L698" s="21">
        <v>2</v>
      </c>
      <c r="M698" s="21">
        <v>12</v>
      </c>
      <c r="N698" s="21"/>
      <c r="O698" s="21">
        <v>1</v>
      </c>
      <c r="P698" s="21">
        <v>5</v>
      </c>
      <c r="Q698" s="21"/>
      <c r="R698" s="22"/>
      <c r="S698" s="21"/>
      <c r="T698" s="21"/>
      <c r="U698" s="21"/>
      <c r="V698" s="21">
        <v>5</v>
      </c>
      <c r="W698" s="21"/>
      <c r="X698" s="21">
        <v>6</v>
      </c>
      <c r="Y698" s="21"/>
      <c r="Z698" s="21">
        <v>2</v>
      </c>
      <c r="AA698" s="21">
        <v>34</v>
      </c>
      <c r="AB698" s="23">
        <f>100/(SUM(I698:Z698))</f>
        <v>1.5151515151515151</v>
      </c>
      <c r="AC698" s="259">
        <f>SUM(I698:AA698)</f>
        <v>100</v>
      </c>
      <c r="AD698" s="24"/>
      <c r="AE698" s="24"/>
      <c r="AF698" s="24"/>
      <c r="AG698" s="25" t="s">
        <v>127</v>
      </c>
      <c r="AH698" s="26" t="s">
        <v>445</v>
      </c>
      <c r="AI698" s="26" t="s">
        <v>446</v>
      </c>
      <c r="AJ698" s="83" t="s">
        <v>447</v>
      </c>
      <c r="AK698" s="19" t="s">
        <v>376</v>
      </c>
      <c r="AL698" s="25">
        <f>(B698-DATE(1970,1,1))*86400</f>
        <v>1687910400</v>
      </c>
      <c r="AM698" s="25">
        <f>(C698-DATE(1970,1,1))*86400</f>
        <v>1689724800</v>
      </c>
      <c r="AN698" s="25">
        <f>AVERAGE(AL698:AM698)</f>
        <v>1688817600</v>
      </c>
      <c r="AO698"/>
      <c r="AP698"/>
      <c r="AQ698"/>
      <c r="AR698"/>
      <c r="AS698"/>
      <c r="AT698"/>
      <c r="AU698"/>
      <c r="AV698"/>
      <c r="AW698"/>
      <c r="AX698"/>
      <c r="AY698"/>
      <c r="AZ698"/>
      <c r="BA698"/>
      <c r="BB698"/>
      <c r="BC698"/>
      <c r="BD698"/>
      <c r="BE698"/>
      <c r="BF698"/>
      <c r="BG698"/>
      <c r="BH698"/>
      <c r="BI698"/>
      <c r="BJ698"/>
      <c r="BK698"/>
      <c r="BL698"/>
      <c r="BM698"/>
    </row>
    <row r="699" spans="1:65" s="436" customFormat="1" ht="15.75" customHeight="1" x14ac:dyDescent="0.2">
      <c r="A699" s="284" t="s">
        <v>123</v>
      </c>
      <c r="B699" s="20">
        <v>45105</v>
      </c>
      <c r="C699" s="20">
        <v>45126</v>
      </c>
      <c r="D699" s="19" t="s">
        <v>134</v>
      </c>
      <c r="E699" s="332" t="s">
        <v>125</v>
      </c>
      <c r="F699" s="19"/>
      <c r="G699" s="19" t="s">
        <v>135</v>
      </c>
      <c r="H699" s="332">
        <v>1800</v>
      </c>
      <c r="I699" s="21">
        <v>48</v>
      </c>
      <c r="J699" s="21">
        <v>2</v>
      </c>
      <c r="K699" s="21">
        <v>2</v>
      </c>
      <c r="L699" s="21">
        <v>2</v>
      </c>
      <c r="M699" s="21">
        <v>20</v>
      </c>
      <c r="N699" s="21"/>
      <c r="O699" s="21">
        <v>1</v>
      </c>
      <c r="P699" s="21">
        <v>8</v>
      </c>
      <c r="Q699" s="21"/>
      <c r="R699" s="22"/>
      <c r="S699" s="21"/>
      <c r="T699" s="21"/>
      <c r="U699" s="21"/>
      <c r="V699" s="21">
        <v>6</v>
      </c>
      <c r="W699" s="21"/>
      <c r="X699" s="21">
        <v>8</v>
      </c>
      <c r="Y699" s="21"/>
      <c r="Z699" s="21">
        <v>3</v>
      </c>
      <c r="AA699" s="21">
        <v>0</v>
      </c>
      <c r="AB699" s="23">
        <f>100/(SUM(I699:Z699))</f>
        <v>1</v>
      </c>
      <c r="AC699" s="259">
        <f>SUM(I699:AA699)</f>
        <v>100</v>
      </c>
      <c r="AD699" s="24"/>
      <c r="AE699" s="24"/>
      <c r="AF699" s="24"/>
      <c r="AG699" s="25" t="s">
        <v>127</v>
      </c>
      <c r="AH699" s="26" t="s">
        <v>445</v>
      </c>
      <c r="AI699" s="26" t="s">
        <v>446</v>
      </c>
      <c r="AJ699" s="83"/>
      <c r="AK699" s="19"/>
      <c r="AL699" s="25">
        <f>(B699-DATE(1970,1,1))*86400</f>
        <v>1687910400</v>
      </c>
      <c r="AM699" s="25">
        <f>(C699-DATE(1970,1,1))*86400</f>
        <v>1689724800</v>
      </c>
      <c r="AN699" s="25">
        <f>AVERAGE(AL699:AM699)</f>
        <v>1688817600</v>
      </c>
      <c r="AO699"/>
      <c r="AP699"/>
      <c r="AQ699"/>
      <c r="AR699"/>
      <c r="AS699"/>
      <c r="AT699"/>
      <c r="AU699"/>
      <c r="AV699"/>
      <c r="AW699"/>
      <c r="AX699"/>
      <c r="AY699"/>
      <c r="AZ699"/>
      <c r="BA699"/>
      <c r="BB699"/>
      <c r="BC699"/>
      <c r="BD699"/>
      <c r="BE699"/>
      <c r="BF699"/>
      <c r="BG699"/>
      <c r="BH699"/>
      <c r="BI699"/>
      <c r="BJ699"/>
      <c r="BK699"/>
      <c r="BL699"/>
      <c r="BM699"/>
    </row>
    <row r="700" spans="1:65" s="436" customFormat="1" ht="15.75" customHeight="1" x14ac:dyDescent="0.2">
      <c r="A700" s="279" t="s">
        <v>123</v>
      </c>
      <c r="B700" s="14">
        <v>45110</v>
      </c>
      <c r="C700" s="14">
        <v>45112</v>
      </c>
      <c r="D700" s="13" t="s">
        <v>124</v>
      </c>
      <c r="E700" s="324" t="s">
        <v>125</v>
      </c>
      <c r="F700" s="13" t="s">
        <v>140</v>
      </c>
      <c r="G700" s="13" t="s">
        <v>126</v>
      </c>
      <c r="H700" s="349">
        <v>1000</v>
      </c>
      <c r="I700" s="15"/>
      <c r="J700" s="15"/>
      <c r="K700" s="15"/>
      <c r="L700" s="15"/>
      <c r="M700" s="15"/>
      <c r="N700" s="15"/>
      <c r="O700" s="15"/>
      <c r="P700" s="15"/>
      <c r="Q700" s="15"/>
      <c r="R700" s="98"/>
      <c r="S700" s="15"/>
      <c r="T700" s="15"/>
      <c r="U700" s="15"/>
      <c r="V700" s="15"/>
      <c r="W700" s="15"/>
      <c r="X700" s="15"/>
      <c r="Y700" s="15"/>
      <c r="Z700" s="98"/>
      <c r="AA700" s="15"/>
      <c r="AB700" s="16" t="e">
        <f>100/(SUM(I700:Z700))</f>
        <v>#DIV/0!</v>
      </c>
      <c r="AC700" s="259">
        <f>SUM(I700:AA700)</f>
        <v>0</v>
      </c>
      <c r="AD700" s="15"/>
      <c r="AE700" s="15"/>
      <c r="AF700" s="15"/>
      <c r="AG700" s="17" t="s">
        <v>127</v>
      </c>
      <c r="AH700" s="18"/>
      <c r="AI700" s="18"/>
      <c r="AJ700" s="18" t="s">
        <v>448</v>
      </c>
      <c r="AK700" s="13" t="s">
        <v>138</v>
      </c>
      <c r="AL700" s="17">
        <f>(B700-DATE(1970,1,1))*86400</f>
        <v>1688342400</v>
      </c>
      <c r="AM700" s="17">
        <f>(C700-DATE(1970,1,1))*86400</f>
        <v>1688515200</v>
      </c>
      <c r="AN700" s="17">
        <f>AVERAGE(AL700:AM700)</f>
        <v>1688428800</v>
      </c>
      <c r="AO700"/>
      <c r="AP700"/>
      <c r="AQ700"/>
      <c r="AR700"/>
      <c r="AS700"/>
      <c r="AT700"/>
      <c r="AU700"/>
      <c r="AV700"/>
      <c r="AW700"/>
      <c r="AX700"/>
      <c r="AY700"/>
      <c r="AZ700"/>
      <c r="BA700"/>
      <c r="BB700"/>
      <c r="BC700"/>
      <c r="BD700"/>
      <c r="BE700"/>
      <c r="BF700"/>
      <c r="BG700"/>
      <c r="BH700"/>
      <c r="BI700"/>
      <c r="BJ700"/>
      <c r="BK700"/>
      <c r="BL700"/>
      <c r="BM700"/>
    </row>
    <row r="701" spans="1:65" s="436" customFormat="1" ht="15.75" customHeight="1" x14ac:dyDescent="0.2">
      <c r="A701" s="281" t="s">
        <v>133</v>
      </c>
      <c r="B701" s="54">
        <v>45103</v>
      </c>
      <c r="C701" s="54">
        <v>45107</v>
      </c>
      <c r="D701" s="53" t="s">
        <v>154</v>
      </c>
      <c r="E701" s="323" t="s">
        <v>125</v>
      </c>
      <c r="F701" s="53" t="s">
        <v>2524</v>
      </c>
      <c r="G701" s="53" t="s">
        <v>126</v>
      </c>
      <c r="H701" s="357">
        <v>807</v>
      </c>
      <c r="I701" s="55">
        <v>22</v>
      </c>
      <c r="J701" s="55">
        <v>5</v>
      </c>
      <c r="K701" s="55">
        <v>2</v>
      </c>
      <c r="L701" s="55">
        <v>0</v>
      </c>
      <c r="M701" s="55">
        <v>11</v>
      </c>
      <c r="N701" s="55"/>
      <c r="O701" s="55"/>
      <c r="P701" s="55">
        <v>3</v>
      </c>
      <c r="Q701" s="55"/>
      <c r="R701" s="56"/>
      <c r="S701" s="55">
        <v>0</v>
      </c>
      <c r="T701" s="55"/>
      <c r="U701" s="55">
        <v>5</v>
      </c>
      <c r="V701" s="55">
        <v>1</v>
      </c>
      <c r="W701" s="55"/>
      <c r="X701" s="55">
        <v>3</v>
      </c>
      <c r="Y701" s="55"/>
      <c r="Z701" s="55">
        <v>1</v>
      </c>
      <c r="AA701" s="55">
        <v>47</v>
      </c>
      <c r="AB701" s="57">
        <f>100/(SUM(I701:Z701))</f>
        <v>1.8867924528301887</v>
      </c>
      <c r="AC701" s="259">
        <f>SUM(I701:AA701)</f>
        <v>100</v>
      </c>
      <c r="AD701" s="55"/>
      <c r="AE701" s="55"/>
      <c r="AF701" s="55"/>
      <c r="AG701" s="58"/>
      <c r="AH701" s="59" t="s">
        <v>449</v>
      </c>
      <c r="AI701" s="59"/>
      <c r="AJ701" s="59"/>
      <c r="AK701" s="53"/>
      <c r="AL701" s="58">
        <f>(B701-DATE(1970,1,1))*86400</f>
        <v>1687737600</v>
      </c>
      <c r="AM701" s="58">
        <f>(C701-DATE(1970,1,1))*86400</f>
        <v>1688083200</v>
      </c>
      <c r="AN701" s="58">
        <f>AVERAGE(AL701:AM701)</f>
        <v>1687910400</v>
      </c>
      <c r="AO701"/>
      <c r="AP701"/>
      <c r="AQ701"/>
      <c r="AR701"/>
      <c r="AS701"/>
      <c r="AT701"/>
      <c r="AU701"/>
      <c r="AV701"/>
      <c r="AW701"/>
      <c r="AX701"/>
      <c r="AY701"/>
      <c r="AZ701"/>
      <c r="BA701"/>
      <c r="BB701"/>
      <c r="BC701"/>
      <c r="BD701"/>
      <c r="BE701"/>
      <c r="BF701"/>
      <c r="BG701"/>
      <c r="BH701"/>
      <c r="BI701"/>
      <c r="BJ701"/>
      <c r="BK701"/>
      <c r="BL701"/>
      <c r="BM701"/>
    </row>
    <row r="702" spans="1:65" s="436" customFormat="1" ht="15.75" customHeight="1" x14ac:dyDescent="0.2">
      <c r="A702" s="281" t="s">
        <v>133</v>
      </c>
      <c r="B702" s="54">
        <v>45103</v>
      </c>
      <c r="C702" s="54">
        <v>45107</v>
      </c>
      <c r="D702" s="53" t="s">
        <v>154</v>
      </c>
      <c r="E702" s="323" t="s">
        <v>125</v>
      </c>
      <c r="F702" s="53" t="s">
        <v>2524</v>
      </c>
      <c r="G702" s="53" t="s">
        <v>126</v>
      </c>
      <c r="H702" s="357">
        <v>807</v>
      </c>
      <c r="I702" s="55">
        <v>27</v>
      </c>
      <c r="J702" s="55"/>
      <c r="K702" s="55"/>
      <c r="L702" s="55"/>
      <c r="M702" s="55">
        <v>5</v>
      </c>
      <c r="N702" s="55"/>
      <c r="O702" s="55"/>
      <c r="P702" s="55"/>
      <c r="Q702" s="55"/>
      <c r="R702" s="56"/>
      <c r="S702" s="55"/>
      <c r="T702" s="55"/>
      <c r="U702" s="55">
        <v>21</v>
      </c>
      <c r="V702" s="55"/>
      <c r="W702" s="55"/>
      <c r="X702" s="55"/>
      <c r="Y702" s="55"/>
      <c r="Z702" s="55">
        <v>3</v>
      </c>
      <c r="AA702" s="55">
        <v>44</v>
      </c>
      <c r="AB702" s="57">
        <f>100/(SUM(I702:Z702))</f>
        <v>1.7857142857142858</v>
      </c>
      <c r="AC702" s="259">
        <f>SUM(I702:AA702)</f>
        <v>100</v>
      </c>
      <c r="AD702" s="55"/>
      <c r="AE702" s="55"/>
      <c r="AF702" s="55"/>
      <c r="AG702" s="58"/>
      <c r="AH702" s="59" t="s">
        <v>449</v>
      </c>
      <c r="AI702" s="59"/>
      <c r="AJ702" s="59"/>
      <c r="AK702" s="53"/>
      <c r="AL702" s="58">
        <f>(B702-DATE(1970,1,1))*86400</f>
        <v>1687737600</v>
      </c>
      <c r="AM702" s="58">
        <f>(C702-DATE(1970,1,1))*86400</f>
        <v>1688083200</v>
      </c>
      <c r="AN702" s="58">
        <f>AVERAGE(AL702:AM702)</f>
        <v>1687910400</v>
      </c>
      <c r="AO702"/>
      <c r="AP702"/>
      <c r="AQ702"/>
      <c r="AR702"/>
      <c r="AS702"/>
      <c r="AT702"/>
      <c r="AU702"/>
      <c r="AV702"/>
      <c r="AW702"/>
      <c r="AX702"/>
      <c r="AY702"/>
      <c r="AZ702"/>
      <c r="BA702"/>
      <c r="BB702"/>
      <c r="BC702"/>
      <c r="BD702"/>
      <c r="BE702"/>
      <c r="BF702"/>
      <c r="BG702"/>
      <c r="BH702"/>
      <c r="BI702"/>
      <c r="BJ702"/>
      <c r="BK702"/>
      <c r="BL702"/>
      <c r="BM702"/>
    </row>
    <row r="703" spans="1:65" s="436" customFormat="1" ht="15.75" customHeight="1" x14ac:dyDescent="0.2">
      <c r="A703" s="281" t="s">
        <v>133</v>
      </c>
      <c r="B703" s="54">
        <v>45103</v>
      </c>
      <c r="C703" s="54">
        <v>45107</v>
      </c>
      <c r="D703" s="53" t="s">
        <v>154</v>
      </c>
      <c r="E703" s="323" t="s">
        <v>125</v>
      </c>
      <c r="F703" s="53" t="s">
        <v>2524</v>
      </c>
      <c r="G703" s="53" t="s">
        <v>126</v>
      </c>
      <c r="H703" s="357">
        <v>807</v>
      </c>
      <c r="I703" s="55">
        <v>27</v>
      </c>
      <c r="J703" s="55"/>
      <c r="K703" s="55"/>
      <c r="L703" s="55"/>
      <c r="M703" s="55"/>
      <c r="N703" s="55"/>
      <c r="O703" s="55"/>
      <c r="P703" s="55"/>
      <c r="Q703" s="55"/>
      <c r="R703" s="56"/>
      <c r="S703" s="55"/>
      <c r="T703" s="55"/>
      <c r="U703" s="55">
        <v>26</v>
      </c>
      <c r="V703" s="55"/>
      <c r="W703" s="55"/>
      <c r="X703" s="55"/>
      <c r="Y703" s="55"/>
      <c r="Z703" s="55">
        <v>2</v>
      </c>
      <c r="AA703" s="55">
        <v>44</v>
      </c>
      <c r="AB703" s="57">
        <f>100/(SUM(I703:Z703))</f>
        <v>1.8181818181818181</v>
      </c>
      <c r="AC703" s="259">
        <f>SUM(I703:AA703)</f>
        <v>99</v>
      </c>
      <c r="AD703" s="55"/>
      <c r="AE703" s="55"/>
      <c r="AF703" s="55"/>
      <c r="AG703" s="58"/>
      <c r="AH703" s="59" t="s">
        <v>449</v>
      </c>
      <c r="AI703" s="59"/>
      <c r="AJ703" s="59"/>
      <c r="AK703" s="53"/>
      <c r="AL703" s="58">
        <f>(B703-DATE(1970,1,1))*86400</f>
        <v>1687737600</v>
      </c>
      <c r="AM703" s="58">
        <f>(C703-DATE(1970,1,1))*86400</f>
        <v>1688083200</v>
      </c>
      <c r="AN703" s="58">
        <f>AVERAGE(AL703:AM703)</f>
        <v>1687910400</v>
      </c>
      <c r="AO703"/>
      <c r="AP703"/>
      <c r="AQ703"/>
      <c r="AR703"/>
      <c r="AS703"/>
      <c r="AT703"/>
      <c r="AU703"/>
      <c r="AV703"/>
      <c r="AW703"/>
      <c r="AX703"/>
      <c r="AY703"/>
      <c r="AZ703"/>
      <c r="BA703"/>
      <c r="BB703"/>
      <c r="BC703"/>
      <c r="BD703"/>
      <c r="BE703"/>
      <c r="BF703"/>
      <c r="BG703"/>
      <c r="BH703"/>
      <c r="BI703"/>
      <c r="BJ703"/>
      <c r="BK703"/>
      <c r="BL703"/>
      <c r="BM703"/>
    </row>
    <row r="704" spans="1:65" s="436" customFormat="1" ht="15.75" customHeight="1" x14ac:dyDescent="0.2">
      <c r="A704" s="281" t="s">
        <v>123</v>
      </c>
      <c r="B704" s="54">
        <v>45103</v>
      </c>
      <c r="C704" s="54">
        <v>45107</v>
      </c>
      <c r="D704" s="53" t="s">
        <v>154</v>
      </c>
      <c r="E704" s="323" t="s">
        <v>125</v>
      </c>
      <c r="F704" s="53" t="s">
        <v>2524</v>
      </c>
      <c r="G704" s="53" t="s">
        <v>126</v>
      </c>
      <c r="H704" s="357">
        <v>807</v>
      </c>
      <c r="I704" s="55">
        <v>33</v>
      </c>
      <c r="J704" s="55">
        <v>6</v>
      </c>
      <c r="K704" s="55">
        <v>2</v>
      </c>
      <c r="L704" s="55">
        <v>1</v>
      </c>
      <c r="M704" s="55">
        <v>14</v>
      </c>
      <c r="N704" s="55"/>
      <c r="O704" s="55"/>
      <c r="P704" s="55">
        <v>4</v>
      </c>
      <c r="Q704" s="55"/>
      <c r="R704" s="56"/>
      <c r="S704" s="55">
        <v>0</v>
      </c>
      <c r="T704" s="55"/>
      <c r="U704" s="55">
        <v>6</v>
      </c>
      <c r="V704" s="55">
        <v>1</v>
      </c>
      <c r="W704" s="55"/>
      <c r="X704" s="55">
        <v>5</v>
      </c>
      <c r="Y704" s="55"/>
      <c r="Z704" s="55">
        <v>1</v>
      </c>
      <c r="AA704" s="55">
        <v>27</v>
      </c>
      <c r="AB704" s="57">
        <f>100/(SUM(I704:Z704))</f>
        <v>1.3698630136986301</v>
      </c>
      <c r="AC704" s="259">
        <f>SUM(I704:AA704)</f>
        <v>100</v>
      </c>
      <c r="AD704" s="55"/>
      <c r="AE704" s="55"/>
      <c r="AF704" s="55"/>
      <c r="AG704" s="58"/>
      <c r="AH704" s="59" t="s">
        <v>449</v>
      </c>
      <c r="AI704" s="59"/>
      <c r="AJ704" s="59"/>
      <c r="AK704" s="53"/>
      <c r="AL704" s="58">
        <f>(B704-DATE(1970,1,1))*86400</f>
        <v>1687737600</v>
      </c>
      <c r="AM704" s="58">
        <f>(C704-DATE(1970,1,1))*86400</f>
        <v>1688083200</v>
      </c>
      <c r="AN704" s="58">
        <f>AVERAGE(AL704:AM704)</f>
        <v>1687910400</v>
      </c>
      <c r="AO704"/>
      <c r="AP704"/>
      <c r="AQ704"/>
      <c r="AR704"/>
      <c r="AS704"/>
      <c r="AT704"/>
      <c r="AU704"/>
      <c r="AV704"/>
      <c r="AW704"/>
      <c r="AX704"/>
      <c r="AY704"/>
      <c r="AZ704"/>
      <c r="BA704"/>
      <c r="BB704"/>
      <c r="BC704"/>
      <c r="BD704"/>
      <c r="BE704"/>
      <c r="BF704"/>
      <c r="BG704"/>
      <c r="BH704"/>
      <c r="BI704"/>
      <c r="BJ704"/>
      <c r="BK704"/>
      <c r="BL704"/>
      <c r="BM704"/>
    </row>
    <row r="705" spans="1:65" s="436" customFormat="1" ht="15.75" customHeight="1" x14ac:dyDescent="0.2">
      <c r="A705" s="281" t="s">
        <v>123</v>
      </c>
      <c r="B705" s="54">
        <v>45103</v>
      </c>
      <c r="C705" s="54">
        <v>45107</v>
      </c>
      <c r="D705" s="53" t="s">
        <v>154</v>
      </c>
      <c r="E705" s="323" t="s">
        <v>125</v>
      </c>
      <c r="F705" s="53" t="s">
        <v>2524</v>
      </c>
      <c r="G705" s="53" t="s">
        <v>126</v>
      </c>
      <c r="H705" s="357">
        <v>807</v>
      </c>
      <c r="I705" s="55">
        <v>46</v>
      </c>
      <c r="J705" s="55">
        <v>8</v>
      </c>
      <c r="K705" s="55">
        <v>3</v>
      </c>
      <c r="L705" s="55">
        <v>1</v>
      </c>
      <c r="M705" s="55">
        <v>18</v>
      </c>
      <c r="N705" s="55"/>
      <c r="O705" s="55"/>
      <c r="P705" s="55">
        <v>6</v>
      </c>
      <c r="Q705" s="55"/>
      <c r="R705" s="56"/>
      <c r="S705" s="55">
        <v>1</v>
      </c>
      <c r="T705" s="55"/>
      <c r="U705" s="55">
        <v>7</v>
      </c>
      <c r="V705" s="55">
        <v>2</v>
      </c>
      <c r="W705" s="55"/>
      <c r="X705" s="55">
        <v>6</v>
      </c>
      <c r="Y705" s="55"/>
      <c r="Z705" s="55">
        <v>2</v>
      </c>
      <c r="AA705" s="55">
        <v>0</v>
      </c>
      <c r="AB705" s="57">
        <f>100/(SUM(I705:Z705))</f>
        <v>1</v>
      </c>
      <c r="AC705" s="259">
        <f>SUM(I705:AA705)</f>
        <v>100</v>
      </c>
      <c r="AD705" s="55"/>
      <c r="AE705" s="55"/>
      <c r="AF705" s="55"/>
      <c r="AG705" s="58"/>
      <c r="AH705" s="59" t="s">
        <v>449</v>
      </c>
      <c r="AI705" s="59"/>
      <c r="AJ705" s="59"/>
      <c r="AK705" s="53"/>
      <c r="AL705" s="58">
        <f>(B705-DATE(1970,1,1))*86400</f>
        <v>1687737600</v>
      </c>
      <c r="AM705" s="58">
        <f>(C705-DATE(1970,1,1))*86400</f>
        <v>1688083200</v>
      </c>
      <c r="AN705" s="58">
        <f>AVERAGE(AL705:AM705)</f>
        <v>1687910400</v>
      </c>
      <c r="AO705"/>
      <c r="AP705"/>
      <c r="AQ705"/>
      <c r="AR705"/>
      <c r="AS705"/>
      <c r="AT705"/>
      <c r="AU705"/>
      <c r="AV705"/>
      <c r="AW705"/>
      <c r="AX705"/>
      <c r="AY705"/>
      <c r="AZ705"/>
      <c r="BA705"/>
      <c r="BB705"/>
      <c r="BC705"/>
      <c r="BD705"/>
      <c r="BE705"/>
      <c r="BF705"/>
      <c r="BG705"/>
      <c r="BH705"/>
      <c r="BI705"/>
      <c r="BJ705"/>
      <c r="BK705"/>
      <c r="BL705"/>
      <c r="BM705"/>
    </row>
    <row r="706" spans="1:65" s="436" customFormat="1" ht="15.75" customHeight="1" x14ac:dyDescent="0.2">
      <c r="A706" s="286" t="s">
        <v>133</v>
      </c>
      <c r="B706" s="41">
        <v>45099</v>
      </c>
      <c r="C706" s="41">
        <v>45111</v>
      </c>
      <c r="D706" s="40" t="s">
        <v>148</v>
      </c>
      <c r="E706" s="325" t="s">
        <v>125</v>
      </c>
      <c r="F706" s="40" t="s">
        <v>140</v>
      </c>
      <c r="G706" s="40" t="s">
        <v>126</v>
      </c>
      <c r="H706" s="325">
        <v>1000</v>
      </c>
      <c r="I706" s="42"/>
      <c r="J706" s="42"/>
      <c r="K706" s="42"/>
      <c r="L706" s="42"/>
      <c r="M706" s="42"/>
      <c r="N706" s="42"/>
      <c r="O706" s="42"/>
      <c r="P706" s="42"/>
      <c r="Q706" s="42"/>
      <c r="R706" s="43"/>
      <c r="S706" s="42"/>
      <c r="T706" s="42"/>
      <c r="U706" s="42"/>
      <c r="V706" s="42"/>
      <c r="W706" s="42"/>
      <c r="X706" s="42"/>
      <c r="Y706" s="42"/>
      <c r="Z706" s="42"/>
      <c r="AA706" s="42"/>
      <c r="AB706" s="44" t="e">
        <f>100/(SUM(I706:Z706))</f>
        <v>#DIV/0!</v>
      </c>
      <c r="AC706" s="259">
        <f>SUM(I706:AA706)</f>
        <v>0</v>
      </c>
      <c r="AD706" s="42"/>
      <c r="AE706" s="43"/>
      <c r="AF706" s="43"/>
      <c r="AG706" s="45" t="s">
        <v>391</v>
      </c>
      <c r="AH706" s="46" t="s">
        <v>450</v>
      </c>
      <c r="AI706" s="46" t="s">
        <v>451</v>
      </c>
      <c r="AJ706" s="46"/>
      <c r="AK706" s="40"/>
      <c r="AL706" s="45">
        <f>(B706-DATE(1970,1,1))*86400</f>
        <v>1687392000</v>
      </c>
      <c r="AM706" s="45">
        <f>(C706-DATE(1970,1,1))*86400</f>
        <v>1688428800</v>
      </c>
      <c r="AN706" s="45">
        <f>AVERAGE(AL706:AM706)</f>
        <v>1687910400</v>
      </c>
      <c r="AO706"/>
      <c r="AP706"/>
      <c r="AQ706"/>
      <c r="AR706"/>
      <c r="AS706"/>
      <c r="AT706"/>
      <c r="AU706"/>
      <c r="AV706"/>
      <c r="AW706"/>
      <c r="AX706"/>
      <c r="AY706"/>
      <c r="AZ706"/>
      <c r="BA706"/>
      <c r="BB706"/>
      <c r="BC706"/>
      <c r="BD706"/>
      <c r="BE706"/>
      <c r="BF706"/>
      <c r="BG706"/>
      <c r="BH706"/>
      <c r="BI706"/>
      <c r="BJ706"/>
      <c r="BK706"/>
      <c r="BL706"/>
      <c r="BM706"/>
    </row>
    <row r="707" spans="1:65" s="436" customFormat="1" ht="15.75" customHeight="1" x14ac:dyDescent="0.2">
      <c r="A707" s="449" t="s">
        <v>133</v>
      </c>
      <c r="B707" s="460">
        <v>45098</v>
      </c>
      <c r="C707" s="460">
        <v>45100</v>
      </c>
      <c r="D707" s="451" t="s">
        <v>410</v>
      </c>
      <c r="E707" s="452" t="s">
        <v>125</v>
      </c>
      <c r="F707" s="451" t="s">
        <v>2522</v>
      </c>
      <c r="G707" s="451" t="s">
        <v>126</v>
      </c>
      <c r="H707" s="454">
        <v>1000</v>
      </c>
      <c r="I707" s="455"/>
      <c r="J707" s="455"/>
      <c r="K707" s="455"/>
      <c r="L707" s="455"/>
      <c r="M707" s="455"/>
      <c r="N707" s="455"/>
      <c r="O707" s="455"/>
      <c r="P707" s="455"/>
      <c r="Q707" s="455"/>
      <c r="R707" s="456"/>
      <c r="S707" s="455"/>
      <c r="T707" s="455"/>
      <c r="U707" s="455"/>
      <c r="V707" s="455"/>
      <c r="W707" s="455"/>
      <c r="X707" s="455"/>
      <c r="Y707" s="455"/>
      <c r="Z707" s="455"/>
      <c r="AA707" s="455"/>
      <c r="AB707" s="457" t="e">
        <f>100/(SUM(I707:Z707))</f>
        <v>#DIV/0!</v>
      </c>
      <c r="AC707" s="432">
        <f>SUM(I707:AA707)</f>
        <v>0</v>
      </c>
      <c r="AD707" s="455"/>
      <c r="AE707" s="455"/>
      <c r="AF707" s="455"/>
      <c r="AG707" s="451" t="s">
        <v>127</v>
      </c>
      <c r="AH707" s="451"/>
      <c r="AI707" s="458"/>
      <c r="AJ707" s="458" t="s">
        <v>452</v>
      </c>
      <c r="AK707" s="451" t="s">
        <v>443</v>
      </c>
      <c r="AL707" s="459">
        <f>(B707-DATE(1970,1,1))*86400</f>
        <v>1687305600</v>
      </c>
      <c r="AM707" s="459">
        <f>(C707-DATE(1970,1,1))*86400</f>
        <v>1687478400</v>
      </c>
      <c r="AN707" s="459">
        <f>AVERAGE(AL707:AM707)</f>
        <v>1687392000</v>
      </c>
      <c r="AO707"/>
      <c r="AP707"/>
      <c r="AQ707"/>
      <c r="AR707"/>
      <c r="AS707"/>
      <c r="AT707"/>
      <c r="AU707"/>
      <c r="AV707"/>
      <c r="AW707"/>
      <c r="AX707"/>
      <c r="AY707"/>
      <c r="AZ707"/>
      <c r="BA707"/>
      <c r="BB707"/>
      <c r="BC707"/>
      <c r="BD707"/>
      <c r="BE707"/>
      <c r="BF707"/>
      <c r="BG707"/>
      <c r="BH707"/>
      <c r="BI707"/>
      <c r="BJ707"/>
      <c r="BK707"/>
      <c r="BL707"/>
      <c r="BM707"/>
    </row>
    <row r="708" spans="1:65" s="436" customFormat="1" ht="15.75" customHeight="1" x14ac:dyDescent="0.2">
      <c r="A708" s="288" t="s">
        <v>133</v>
      </c>
      <c r="B708" s="60">
        <v>45096</v>
      </c>
      <c r="C708" s="60">
        <v>45100</v>
      </c>
      <c r="D708" s="61" t="s">
        <v>168</v>
      </c>
      <c r="E708" s="334" t="s">
        <v>125</v>
      </c>
      <c r="F708" s="61"/>
      <c r="G708" s="61" t="s">
        <v>126</v>
      </c>
      <c r="H708" s="334">
        <v>1000</v>
      </c>
      <c r="I708" s="63">
        <v>33</v>
      </c>
      <c r="J708" s="63">
        <v>4</v>
      </c>
      <c r="K708" s="63">
        <v>3</v>
      </c>
      <c r="L708" s="63">
        <v>3</v>
      </c>
      <c r="M708" s="63">
        <v>12</v>
      </c>
      <c r="N708" s="63"/>
      <c r="O708" s="63">
        <v>2</v>
      </c>
      <c r="P708" s="63">
        <v>6</v>
      </c>
      <c r="Q708" s="63"/>
      <c r="R708" s="64"/>
      <c r="S708" s="63"/>
      <c r="T708" s="63"/>
      <c r="U708" s="63"/>
      <c r="V708" s="63">
        <v>5</v>
      </c>
      <c r="W708" s="63"/>
      <c r="X708" s="63">
        <v>5</v>
      </c>
      <c r="Y708" s="63"/>
      <c r="Z708" s="63"/>
      <c r="AA708" s="63">
        <v>27</v>
      </c>
      <c r="AB708" s="65">
        <f>100/(SUM(I708:Z708))</f>
        <v>1.3698630136986301</v>
      </c>
      <c r="AC708" s="259">
        <f>SUM(I708:AA708)</f>
        <v>100</v>
      </c>
      <c r="AD708" s="63">
        <v>62</v>
      </c>
      <c r="AE708" s="64"/>
      <c r="AF708" s="64"/>
      <c r="AG708" s="66" t="s">
        <v>127</v>
      </c>
      <c r="AH708" s="67" t="s">
        <v>453</v>
      </c>
      <c r="AI708" s="67" t="s">
        <v>454</v>
      </c>
      <c r="AJ708" s="67" t="s">
        <v>455</v>
      </c>
      <c r="AK708" s="61" t="s">
        <v>457</v>
      </c>
      <c r="AL708" s="66">
        <f>(B708-DATE(1970,1,1))*86400</f>
        <v>1687132800</v>
      </c>
      <c r="AM708" s="66">
        <f>(C708-DATE(1970,1,1))*86400</f>
        <v>1687478400</v>
      </c>
      <c r="AN708" s="66">
        <f>AVERAGE(AL708:AM708)</f>
        <v>1687305600</v>
      </c>
      <c r="AO708"/>
      <c r="AP708"/>
      <c r="AQ708"/>
      <c r="AR708"/>
      <c r="AS708"/>
      <c r="AT708"/>
      <c r="AU708"/>
      <c r="AV708"/>
      <c r="AW708"/>
      <c r="AX708"/>
      <c r="AY708"/>
      <c r="AZ708"/>
      <c r="BA708"/>
      <c r="BB708"/>
      <c r="BC708"/>
      <c r="BD708"/>
      <c r="BE708"/>
      <c r="BF708"/>
      <c r="BG708"/>
      <c r="BH708"/>
      <c r="BI708"/>
      <c r="BJ708"/>
      <c r="BK708"/>
      <c r="BL708"/>
      <c r="BM708"/>
    </row>
    <row r="709" spans="1:65" s="436" customFormat="1" ht="15.75" customHeight="1" x14ac:dyDescent="0.2">
      <c r="A709" s="288" t="s">
        <v>133</v>
      </c>
      <c r="B709" s="60">
        <v>45096</v>
      </c>
      <c r="C709" s="60">
        <v>45100</v>
      </c>
      <c r="D709" s="61" t="s">
        <v>168</v>
      </c>
      <c r="E709" s="334" t="s">
        <v>125</v>
      </c>
      <c r="F709" s="61"/>
      <c r="G709" s="61" t="s">
        <v>126</v>
      </c>
      <c r="H709" s="334">
        <v>1000</v>
      </c>
      <c r="I709" s="63">
        <v>46</v>
      </c>
      <c r="J709" s="63">
        <v>5</v>
      </c>
      <c r="K709" s="63">
        <v>4</v>
      </c>
      <c r="L709" s="63">
        <v>5</v>
      </c>
      <c r="M709" s="63">
        <v>16</v>
      </c>
      <c r="N709" s="63"/>
      <c r="O709" s="63">
        <v>2</v>
      </c>
      <c r="P709" s="63">
        <v>9</v>
      </c>
      <c r="Q709" s="63"/>
      <c r="R709" s="64"/>
      <c r="S709" s="63"/>
      <c r="T709" s="63"/>
      <c r="U709" s="63"/>
      <c r="V709" s="63">
        <v>6</v>
      </c>
      <c r="W709" s="63"/>
      <c r="X709" s="63">
        <v>7</v>
      </c>
      <c r="Y709" s="63"/>
      <c r="Z709" s="63"/>
      <c r="AA709" s="63">
        <v>0</v>
      </c>
      <c r="AB709" s="65">
        <f>100/(SUM(I709:Z709))</f>
        <v>1</v>
      </c>
      <c r="AC709" s="259">
        <f>SUM(I709:AA709)</f>
        <v>100</v>
      </c>
      <c r="AD709" s="63"/>
      <c r="AE709" s="64"/>
      <c r="AF709" s="64"/>
      <c r="AG709" s="66" t="s">
        <v>127</v>
      </c>
      <c r="AH709" s="67" t="s">
        <v>453</v>
      </c>
      <c r="AI709" s="67" t="s">
        <v>454</v>
      </c>
      <c r="AJ709" s="67" t="s">
        <v>455</v>
      </c>
      <c r="AK709" s="61" t="s">
        <v>456</v>
      </c>
      <c r="AL709" s="66">
        <f>(B709-DATE(1970,1,1))*86400</f>
        <v>1687132800</v>
      </c>
      <c r="AM709" s="66">
        <f>(C709-DATE(1970,1,1))*86400</f>
        <v>1687478400</v>
      </c>
      <c r="AN709" s="66">
        <f>AVERAGE(AL709:AM709)</f>
        <v>1687305600</v>
      </c>
      <c r="AO709"/>
      <c r="AP709"/>
      <c r="AQ709"/>
      <c r="AR709"/>
      <c r="AS709"/>
      <c r="AT709"/>
      <c r="AU709"/>
      <c r="AV709"/>
      <c r="AW709"/>
      <c r="AX709"/>
      <c r="AY709"/>
      <c r="AZ709"/>
      <c r="BA709"/>
      <c r="BB709"/>
      <c r="BC709"/>
      <c r="BD709"/>
      <c r="BE709"/>
      <c r="BF709"/>
      <c r="BG709"/>
      <c r="BH709"/>
      <c r="BI709"/>
      <c r="BJ709"/>
      <c r="BK709"/>
      <c r="BL709"/>
      <c r="BM709"/>
    </row>
    <row r="710" spans="1:65" s="436" customFormat="1" ht="15.75" customHeight="1" x14ac:dyDescent="0.2">
      <c r="A710" s="279" t="s">
        <v>123</v>
      </c>
      <c r="B710" s="14">
        <v>45089</v>
      </c>
      <c r="C710" s="14">
        <v>45091</v>
      </c>
      <c r="D710" s="13" t="s">
        <v>124</v>
      </c>
      <c r="E710" s="324" t="s">
        <v>125</v>
      </c>
      <c r="F710" s="13" t="s">
        <v>140</v>
      </c>
      <c r="G710" s="13" t="s">
        <v>126</v>
      </c>
      <c r="H710" s="349">
        <v>1000</v>
      </c>
      <c r="I710" s="15"/>
      <c r="J710" s="15"/>
      <c r="K710" s="15"/>
      <c r="L710" s="15"/>
      <c r="M710" s="15"/>
      <c r="N710" s="15"/>
      <c r="O710" s="15"/>
      <c r="P710" s="15"/>
      <c r="Q710" s="15"/>
      <c r="R710" s="98"/>
      <c r="S710" s="15"/>
      <c r="T710" s="15"/>
      <c r="U710" s="15"/>
      <c r="V710" s="15"/>
      <c r="W710" s="15"/>
      <c r="X710" s="15"/>
      <c r="Y710" s="15"/>
      <c r="Z710" s="98"/>
      <c r="AA710" s="15"/>
      <c r="AB710" s="16" t="e">
        <f>100/(SUM(I710:Z710))</f>
        <v>#DIV/0!</v>
      </c>
      <c r="AC710" s="259">
        <f>SUM(I710:AA710)</f>
        <v>0</v>
      </c>
      <c r="AD710" s="15"/>
      <c r="AE710" s="15"/>
      <c r="AF710" s="15"/>
      <c r="AG710" s="17" t="s">
        <v>127</v>
      </c>
      <c r="AH710" s="18"/>
      <c r="AI710" s="18"/>
      <c r="AJ710" s="18" t="s">
        <v>458</v>
      </c>
      <c r="AK710" s="13"/>
      <c r="AL710" s="17">
        <f>(B710-DATE(1970,1,1))*86400</f>
        <v>1686528000</v>
      </c>
      <c r="AM710" s="17">
        <f>(C710-DATE(1970,1,1))*86400</f>
        <v>1686700800</v>
      </c>
      <c r="AN710" s="17">
        <f>AVERAGE(AL710:AM710)</f>
        <v>1686614400</v>
      </c>
      <c r="AO710"/>
      <c r="AP710"/>
      <c r="AQ710"/>
      <c r="AR710"/>
      <c r="AS710"/>
      <c r="AT710"/>
      <c r="AU710"/>
      <c r="AV710"/>
      <c r="AW710"/>
      <c r="AX710"/>
      <c r="AY710"/>
      <c r="AZ710"/>
      <c r="BA710"/>
      <c r="BB710"/>
      <c r="BC710"/>
      <c r="BD710"/>
      <c r="BE710"/>
      <c r="BF710"/>
      <c r="BG710"/>
      <c r="BH710"/>
      <c r="BI710"/>
      <c r="BJ710"/>
      <c r="BK710"/>
      <c r="BL710"/>
      <c r="BM710"/>
    </row>
    <row r="711" spans="1:65" s="436" customFormat="1" ht="15.75" customHeight="1" x14ac:dyDescent="0.2">
      <c r="A711" s="286" t="s">
        <v>123</v>
      </c>
      <c r="B711" s="106">
        <v>45047</v>
      </c>
      <c r="C711" s="106">
        <v>45128</v>
      </c>
      <c r="D711" s="40" t="s">
        <v>148</v>
      </c>
      <c r="E711" s="325" t="s">
        <v>125</v>
      </c>
      <c r="F711" s="40" t="s">
        <v>2525</v>
      </c>
      <c r="G711" s="40" t="s">
        <v>126</v>
      </c>
      <c r="H711" s="325">
        <v>800</v>
      </c>
      <c r="I711" s="42">
        <v>47</v>
      </c>
      <c r="J711" s="42">
        <v>6</v>
      </c>
      <c r="K711" s="42">
        <v>4</v>
      </c>
      <c r="L711" s="42">
        <v>6</v>
      </c>
      <c r="M711" s="42">
        <v>21</v>
      </c>
      <c r="N711" s="42"/>
      <c r="O711" s="42">
        <v>4</v>
      </c>
      <c r="P711" s="42">
        <v>8</v>
      </c>
      <c r="Q711" s="42"/>
      <c r="R711" s="43"/>
      <c r="S711" s="42"/>
      <c r="T711" s="42"/>
      <c r="U711" s="42"/>
      <c r="V711" s="42">
        <v>1</v>
      </c>
      <c r="W711" s="42"/>
      <c r="X711" s="42">
        <v>2</v>
      </c>
      <c r="Y711" s="42"/>
      <c r="Z711" s="42">
        <v>1</v>
      </c>
      <c r="AA711" s="42"/>
      <c r="AB711" s="44">
        <f>100/(SUM(I711:Z711))</f>
        <v>1</v>
      </c>
      <c r="AC711" s="259">
        <f>SUM(I711:AA711)</f>
        <v>100</v>
      </c>
      <c r="AD711" s="42">
        <v>63</v>
      </c>
      <c r="AE711" s="43"/>
      <c r="AF711" s="43"/>
      <c r="AG711" s="45" t="s">
        <v>459</v>
      </c>
      <c r="AH711" s="46" t="s">
        <v>460</v>
      </c>
      <c r="AI711" s="46" t="s">
        <v>461</v>
      </c>
      <c r="AJ711" s="46"/>
      <c r="AK711" s="40" t="s">
        <v>462</v>
      </c>
      <c r="AL711" s="45">
        <f>(B711-DATE(1970,1,1))*86400</f>
        <v>1682899200</v>
      </c>
      <c r="AM711" s="45">
        <f>(C711-DATE(1970,1,1))*86400</f>
        <v>1689897600</v>
      </c>
      <c r="AN711" s="45">
        <f>AVERAGE(AL711:AM711)</f>
        <v>1686398400</v>
      </c>
      <c r="AO711"/>
      <c r="AP711"/>
      <c r="AQ711"/>
      <c r="AR711"/>
      <c r="AS711"/>
      <c r="AT711"/>
      <c r="AU711"/>
      <c r="AV711"/>
      <c r="AW711"/>
      <c r="AX711"/>
      <c r="AY711"/>
      <c r="AZ711"/>
      <c r="BA711"/>
      <c r="BB711"/>
      <c r="BC711"/>
      <c r="BD711"/>
      <c r="BE711"/>
      <c r="BF711"/>
      <c r="BG711"/>
      <c r="BH711"/>
      <c r="BI711"/>
      <c r="BJ711"/>
      <c r="BK711"/>
      <c r="BL711"/>
      <c r="BM711"/>
    </row>
    <row r="712" spans="1:65" s="436" customFormat="1" ht="15.75" customHeight="1" x14ac:dyDescent="0.2">
      <c r="A712" s="281" t="s">
        <v>133</v>
      </c>
      <c r="B712" s="54">
        <v>45081</v>
      </c>
      <c r="C712" s="54">
        <v>45084</v>
      </c>
      <c r="D712" s="53" t="s">
        <v>154</v>
      </c>
      <c r="E712" s="323" t="s">
        <v>125</v>
      </c>
      <c r="F712" s="53" t="s">
        <v>140</v>
      </c>
      <c r="G712" s="53" t="s">
        <v>126</v>
      </c>
      <c r="H712" s="357">
        <v>1014</v>
      </c>
      <c r="I712" s="55"/>
      <c r="J712" s="55"/>
      <c r="K712" s="55"/>
      <c r="L712" s="55"/>
      <c r="M712" s="55"/>
      <c r="N712" s="55"/>
      <c r="O712" s="55"/>
      <c r="P712" s="55"/>
      <c r="Q712" s="55"/>
      <c r="R712" s="56"/>
      <c r="S712" s="55"/>
      <c r="T712" s="55"/>
      <c r="U712" s="55"/>
      <c r="V712" s="55"/>
      <c r="W712" s="55"/>
      <c r="X712" s="55"/>
      <c r="Y712" s="55"/>
      <c r="Z712" s="55"/>
      <c r="AA712" s="55"/>
      <c r="AB712" s="57" t="e">
        <f>100/(SUM(I712:Z712))</f>
        <v>#DIV/0!</v>
      </c>
      <c r="AC712" s="259">
        <f>SUM(I712:AA712)</f>
        <v>0</v>
      </c>
      <c r="AD712" s="55"/>
      <c r="AE712" s="55"/>
      <c r="AF712" s="55"/>
      <c r="AG712" s="58" t="s">
        <v>155</v>
      </c>
      <c r="AH712" s="59"/>
      <c r="AI712" s="59" t="s">
        <v>463</v>
      </c>
      <c r="AJ712" s="59" t="s">
        <v>464</v>
      </c>
      <c r="AK712" s="53" t="s">
        <v>465</v>
      </c>
      <c r="AL712" s="58">
        <f>(B712-DATE(1970,1,1))*86400</f>
        <v>1685836800</v>
      </c>
      <c r="AM712" s="58">
        <f>(C712-DATE(1970,1,1))*86400</f>
        <v>1686096000</v>
      </c>
      <c r="AN712" s="58">
        <f>AVERAGE(AL712:AM712)</f>
        <v>1685966400</v>
      </c>
      <c r="AO712"/>
      <c r="AP712"/>
      <c r="AQ712"/>
      <c r="AR712"/>
      <c r="AS712"/>
      <c r="AT712"/>
      <c r="AU712"/>
      <c r="AV712"/>
      <c r="AW712"/>
      <c r="AX712"/>
      <c r="AY712"/>
      <c r="AZ712"/>
      <c r="BA712"/>
      <c r="BB712"/>
      <c r="BC712"/>
      <c r="BD712"/>
      <c r="BE712"/>
      <c r="BF712"/>
      <c r="BG712"/>
      <c r="BH712"/>
      <c r="BI712"/>
      <c r="BJ712"/>
      <c r="BK712"/>
      <c r="BL712"/>
      <c r="BM712"/>
    </row>
    <row r="713" spans="1:65" s="436" customFormat="1" ht="15.75" customHeight="1" x14ac:dyDescent="0.2">
      <c r="A713" s="284" t="s">
        <v>133</v>
      </c>
      <c r="B713" s="20">
        <v>45071</v>
      </c>
      <c r="C713" s="20">
        <v>45087</v>
      </c>
      <c r="D713" s="19" t="s">
        <v>134</v>
      </c>
      <c r="E713" s="332" t="s">
        <v>125</v>
      </c>
      <c r="F713" s="19"/>
      <c r="G713" s="19" t="s">
        <v>135</v>
      </c>
      <c r="H713" s="332">
        <v>1800</v>
      </c>
      <c r="I713" s="21">
        <v>30</v>
      </c>
      <c r="J713" s="21">
        <v>1</v>
      </c>
      <c r="K713" s="21">
        <v>1</v>
      </c>
      <c r="L713" s="21">
        <v>1</v>
      </c>
      <c r="M713" s="21">
        <v>13</v>
      </c>
      <c r="N713" s="21"/>
      <c r="O713" s="21">
        <v>1</v>
      </c>
      <c r="P713" s="21">
        <v>6</v>
      </c>
      <c r="Q713" s="21"/>
      <c r="R713" s="22"/>
      <c r="S713" s="21"/>
      <c r="T713" s="21"/>
      <c r="U713" s="21"/>
      <c r="V713" s="21">
        <v>5</v>
      </c>
      <c r="W713" s="21"/>
      <c r="X713" s="21">
        <v>6</v>
      </c>
      <c r="Y713" s="21"/>
      <c r="Z713" s="21">
        <v>2</v>
      </c>
      <c r="AA713" s="21">
        <v>34</v>
      </c>
      <c r="AB713" s="23">
        <f>100/(SUM(I713:Z713))</f>
        <v>1.5151515151515151</v>
      </c>
      <c r="AC713" s="259">
        <f>SUM(I713:AA713)</f>
        <v>100</v>
      </c>
      <c r="AD713" s="24"/>
      <c r="AE713" s="24"/>
      <c r="AF713" s="24"/>
      <c r="AG713" s="25" t="s">
        <v>127</v>
      </c>
      <c r="AH713" s="26" t="s">
        <v>466</v>
      </c>
      <c r="AI713" s="26"/>
      <c r="AJ713" s="83" t="s">
        <v>467</v>
      </c>
      <c r="AK713" s="19" t="s">
        <v>468</v>
      </c>
      <c r="AL713" s="25">
        <f>(B713-DATE(1970,1,1))*86400</f>
        <v>1684972800</v>
      </c>
      <c r="AM713" s="25">
        <f>(C713-DATE(1970,1,1))*86400</f>
        <v>1686355200</v>
      </c>
      <c r="AN713" s="25">
        <f>AVERAGE(AL713:AM713)</f>
        <v>1685664000</v>
      </c>
      <c r="AO713"/>
      <c r="AP713"/>
      <c r="AQ713"/>
      <c r="AR713"/>
      <c r="AS713"/>
      <c r="AT713"/>
      <c r="AU713"/>
      <c r="AV713"/>
      <c r="AW713"/>
      <c r="AX713"/>
      <c r="AY713"/>
      <c r="AZ713"/>
      <c r="BA713"/>
      <c r="BB713"/>
      <c r="BC713"/>
      <c r="BD713"/>
      <c r="BE713"/>
      <c r="BF713"/>
      <c r="BG713"/>
      <c r="BH713"/>
      <c r="BI713"/>
      <c r="BJ713"/>
      <c r="BK713"/>
      <c r="BL713"/>
      <c r="BM713"/>
    </row>
    <row r="714" spans="1:65" s="436" customFormat="1" ht="15.75" customHeight="1" x14ac:dyDescent="0.2">
      <c r="A714" s="284" t="s">
        <v>123</v>
      </c>
      <c r="B714" s="20">
        <v>45071</v>
      </c>
      <c r="C714" s="20">
        <v>45087</v>
      </c>
      <c r="D714" s="19" t="s">
        <v>134</v>
      </c>
      <c r="E714" s="332" t="s">
        <v>125</v>
      </c>
      <c r="F714" s="19"/>
      <c r="G714" s="19" t="s">
        <v>135</v>
      </c>
      <c r="H714" s="332">
        <v>1800</v>
      </c>
      <c r="I714" s="21">
        <v>48</v>
      </c>
      <c r="J714" s="21">
        <v>2</v>
      </c>
      <c r="K714" s="21">
        <v>2</v>
      </c>
      <c r="L714" s="21">
        <v>2</v>
      </c>
      <c r="M714" s="21">
        <v>20</v>
      </c>
      <c r="N714" s="21"/>
      <c r="O714" s="21">
        <v>1</v>
      </c>
      <c r="P714" s="21">
        <v>8</v>
      </c>
      <c r="Q714" s="21"/>
      <c r="R714" s="22"/>
      <c r="S714" s="21"/>
      <c r="T714" s="21"/>
      <c r="U714" s="21"/>
      <c r="V714" s="21">
        <v>6</v>
      </c>
      <c r="W714" s="21"/>
      <c r="X714" s="21">
        <v>8</v>
      </c>
      <c r="Y714" s="21"/>
      <c r="Z714" s="21">
        <v>3</v>
      </c>
      <c r="AA714" s="21">
        <v>0</v>
      </c>
      <c r="AB714" s="23">
        <f>100/(SUM(I714:Z714))</f>
        <v>1</v>
      </c>
      <c r="AC714" s="259">
        <f>SUM(I714:AA714)</f>
        <v>100</v>
      </c>
      <c r="AD714" s="24"/>
      <c r="AE714" s="24"/>
      <c r="AF714" s="24"/>
      <c r="AG714" s="25" t="s">
        <v>127</v>
      </c>
      <c r="AH714" s="26" t="s">
        <v>466</v>
      </c>
      <c r="AI714" s="26"/>
      <c r="AJ714" s="83" t="s">
        <v>467</v>
      </c>
      <c r="AK714" s="19"/>
      <c r="AL714" s="25">
        <f>(B714-DATE(1970,1,1))*86400</f>
        <v>1684972800</v>
      </c>
      <c r="AM714" s="25">
        <f>(C714-DATE(1970,1,1))*86400</f>
        <v>1686355200</v>
      </c>
      <c r="AN714" s="25">
        <f>AVERAGE(AL714:AM714)</f>
        <v>1685664000</v>
      </c>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row>
    <row r="715" spans="1:65" s="436" customFormat="1" ht="15.75" customHeight="1" x14ac:dyDescent="0.2">
      <c r="A715" s="281" t="s">
        <v>133</v>
      </c>
      <c r="B715" s="54">
        <v>45075</v>
      </c>
      <c r="C715" s="54">
        <v>45079</v>
      </c>
      <c r="D715" s="53" t="s">
        <v>154</v>
      </c>
      <c r="E715" s="323" t="s">
        <v>125</v>
      </c>
      <c r="F715" s="53" t="s">
        <v>140</v>
      </c>
      <c r="G715" s="53" t="s">
        <v>126</v>
      </c>
      <c r="H715" s="357">
        <v>1009</v>
      </c>
      <c r="I715" s="55"/>
      <c r="J715" s="55"/>
      <c r="K715" s="55"/>
      <c r="L715" s="55"/>
      <c r="M715" s="55"/>
      <c r="N715" s="55"/>
      <c r="O715" s="55"/>
      <c r="P715" s="55"/>
      <c r="Q715" s="55"/>
      <c r="R715" s="56"/>
      <c r="S715" s="55"/>
      <c r="T715" s="55"/>
      <c r="U715" s="55"/>
      <c r="V715" s="55"/>
      <c r="W715" s="55"/>
      <c r="X715" s="55"/>
      <c r="Y715" s="55"/>
      <c r="Z715" s="55"/>
      <c r="AA715" s="55"/>
      <c r="AB715" s="57" t="e">
        <f>100/(SUM(I715:Z715))</f>
        <v>#DIV/0!</v>
      </c>
      <c r="AC715" s="259">
        <f>SUM(I715:AA715)</f>
        <v>0</v>
      </c>
      <c r="AD715" s="55"/>
      <c r="AE715" s="55"/>
      <c r="AF715" s="55"/>
      <c r="AG715" s="58" t="s">
        <v>155</v>
      </c>
      <c r="AH715" s="59"/>
      <c r="AI715" s="59" t="s">
        <v>469</v>
      </c>
      <c r="AJ715" s="59" t="s">
        <v>470</v>
      </c>
      <c r="AK715" s="53"/>
      <c r="AL715" s="58">
        <f>(B715-DATE(1970,1,1))*86400</f>
        <v>1685318400</v>
      </c>
      <c r="AM715" s="58">
        <f>(C715-DATE(1970,1,1))*86400</f>
        <v>1685664000</v>
      </c>
      <c r="AN715" s="58">
        <f>AVERAGE(AL715:AM715)</f>
        <v>1685491200</v>
      </c>
      <c r="AO715"/>
      <c r="AP715"/>
      <c r="AQ715"/>
      <c r="AR715"/>
      <c r="AS715"/>
      <c r="AT715"/>
      <c r="AU715"/>
      <c r="AV715"/>
      <c r="AW715"/>
      <c r="AX715"/>
      <c r="AY715"/>
      <c r="AZ715"/>
      <c r="BA715"/>
      <c r="BB715"/>
      <c r="BC715"/>
      <c r="BD715"/>
      <c r="BE715"/>
      <c r="BF715"/>
      <c r="BG715"/>
      <c r="BH715"/>
      <c r="BI715"/>
      <c r="BJ715"/>
      <c r="BK715"/>
      <c r="BL715"/>
      <c r="BM715"/>
    </row>
    <row r="716" spans="1:65" s="436" customFormat="1" ht="15.75" customHeight="1" x14ac:dyDescent="0.2">
      <c r="A716" s="285" t="s">
        <v>133</v>
      </c>
      <c r="B716" s="34">
        <v>45072</v>
      </c>
      <c r="C716" s="34">
        <v>45077</v>
      </c>
      <c r="D716" s="33" t="s">
        <v>143</v>
      </c>
      <c r="E716" s="319" t="s">
        <v>125</v>
      </c>
      <c r="F716" s="33"/>
      <c r="G716" s="33" t="s">
        <v>126</v>
      </c>
      <c r="H716" s="353">
        <v>1000</v>
      </c>
      <c r="I716" s="35">
        <v>32</v>
      </c>
      <c r="J716" s="35">
        <v>1</v>
      </c>
      <c r="K716" s="35">
        <v>4</v>
      </c>
      <c r="L716" s="35">
        <v>2</v>
      </c>
      <c r="M716" s="35">
        <v>9</v>
      </c>
      <c r="N716" s="35"/>
      <c r="O716" s="35">
        <v>1</v>
      </c>
      <c r="P716" s="35">
        <v>5</v>
      </c>
      <c r="Q716" s="35"/>
      <c r="R716" s="36"/>
      <c r="S716" s="35">
        <v>2</v>
      </c>
      <c r="T716" s="35">
        <v>1</v>
      </c>
      <c r="U716" s="35"/>
      <c r="V716" s="35">
        <v>8</v>
      </c>
      <c r="W716" s="35"/>
      <c r="X716" s="35">
        <v>6</v>
      </c>
      <c r="Y716" s="35"/>
      <c r="Z716" s="35"/>
      <c r="AA716" s="35">
        <v>29</v>
      </c>
      <c r="AB716" s="37">
        <f>100/(SUM(I716:Z716))</f>
        <v>1.408450704225352</v>
      </c>
      <c r="AC716" s="259">
        <f>SUM(I716:AA716)</f>
        <v>100</v>
      </c>
      <c r="AD716" s="35"/>
      <c r="AE716" s="35"/>
      <c r="AF716" s="35"/>
      <c r="AG716" s="33" t="s">
        <v>144</v>
      </c>
      <c r="AH716" s="38" t="s">
        <v>471</v>
      </c>
      <c r="AI716" s="38"/>
      <c r="AJ716" s="33" t="s">
        <v>165</v>
      </c>
      <c r="AK716" s="33" t="s">
        <v>472</v>
      </c>
      <c r="AL716" s="39">
        <f>(B716-DATE(1970,1,1))*86400</f>
        <v>1685059200</v>
      </c>
      <c r="AM716" s="39">
        <f>(C716-DATE(1970,1,1))*86400</f>
        <v>1685491200</v>
      </c>
      <c r="AN716" s="39">
        <f>AVERAGE(AL716:AM716)</f>
        <v>1685275200</v>
      </c>
      <c r="AO716"/>
      <c r="AP716"/>
      <c r="AQ716"/>
      <c r="AR716"/>
      <c r="AS716"/>
      <c r="AT716"/>
      <c r="AU716"/>
      <c r="AV716"/>
      <c r="AW716"/>
      <c r="AX716"/>
      <c r="AY716"/>
      <c r="AZ716"/>
      <c r="BA716"/>
      <c r="BB716"/>
      <c r="BC716"/>
      <c r="BD716"/>
      <c r="BE716"/>
      <c r="BF716"/>
      <c r="BG716"/>
      <c r="BH716"/>
      <c r="BI716"/>
      <c r="BJ716"/>
      <c r="BK716"/>
      <c r="BL716"/>
      <c r="BM716"/>
    </row>
    <row r="717" spans="1:65" s="436" customFormat="1" ht="15.75" customHeight="1" x14ac:dyDescent="0.2">
      <c r="A717" s="285" t="s">
        <v>133</v>
      </c>
      <c r="B717" s="34">
        <v>45072</v>
      </c>
      <c r="C717" s="34">
        <v>45077</v>
      </c>
      <c r="D717" s="33" t="s">
        <v>143</v>
      </c>
      <c r="E717" s="319" t="s">
        <v>125</v>
      </c>
      <c r="F717" s="33"/>
      <c r="G717" s="33" t="s">
        <v>126</v>
      </c>
      <c r="H717" s="353">
        <v>1000</v>
      </c>
      <c r="I717" s="35">
        <v>45</v>
      </c>
      <c r="J717" s="35">
        <v>1</v>
      </c>
      <c r="K717" s="35">
        <v>6</v>
      </c>
      <c r="L717" s="35">
        <v>3</v>
      </c>
      <c r="M717" s="35">
        <v>13</v>
      </c>
      <c r="N717" s="35"/>
      <c r="O717" s="35">
        <v>1</v>
      </c>
      <c r="P717" s="35">
        <v>7</v>
      </c>
      <c r="Q717" s="35"/>
      <c r="R717" s="36"/>
      <c r="S717" s="35">
        <v>2</v>
      </c>
      <c r="T717" s="35">
        <v>2</v>
      </c>
      <c r="U717" s="35"/>
      <c r="V717" s="35">
        <v>12</v>
      </c>
      <c r="W717" s="35"/>
      <c r="X717" s="35">
        <v>8</v>
      </c>
      <c r="Y717" s="35"/>
      <c r="Z717" s="35"/>
      <c r="AA717" s="35">
        <v>0</v>
      </c>
      <c r="AB717" s="37">
        <f>100/(SUM(I717:Z717))</f>
        <v>1</v>
      </c>
      <c r="AC717" s="259">
        <f>SUM(I717:AA717)</f>
        <v>100</v>
      </c>
      <c r="AD717" s="35"/>
      <c r="AE717" s="35"/>
      <c r="AF717" s="35"/>
      <c r="AG717" s="33" t="s">
        <v>144</v>
      </c>
      <c r="AH717" s="38" t="s">
        <v>471</v>
      </c>
      <c r="AI717" s="38"/>
      <c r="AJ717" s="33" t="s">
        <v>165</v>
      </c>
      <c r="AK717" s="33"/>
      <c r="AL717" s="39">
        <f>(B717-DATE(1970,1,1))*86400</f>
        <v>1685059200</v>
      </c>
      <c r="AM717" s="39">
        <f>(C717-DATE(1970,1,1))*86400</f>
        <v>1685491200</v>
      </c>
      <c r="AN717" s="39">
        <f>AVERAGE(AL717:AM717)</f>
        <v>1685275200</v>
      </c>
      <c r="AO717"/>
      <c r="AP717"/>
      <c r="AQ717"/>
      <c r="AR717"/>
      <c r="AS717"/>
      <c r="AT717"/>
      <c r="AU717"/>
      <c r="AV717"/>
      <c r="AW717"/>
      <c r="AX717"/>
      <c r="AY717"/>
      <c r="AZ717"/>
      <c r="BA717"/>
      <c r="BB717"/>
      <c r="BC717"/>
      <c r="BD717"/>
      <c r="BE717"/>
      <c r="BF717"/>
      <c r="BG717"/>
      <c r="BH717"/>
      <c r="BI717"/>
      <c r="BJ717"/>
      <c r="BK717"/>
      <c r="BL717"/>
      <c r="BM717"/>
    </row>
    <row r="718" spans="1:65" s="436" customFormat="1" ht="15.75" customHeight="1" x14ac:dyDescent="0.2">
      <c r="A718" s="285" t="s">
        <v>123</v>
      </c>
      <c r="B718" s="34">
        <v>45072</v>
      </c>
      <c r="C718" s="34">
        <v>45077</v>
      </c>
      <c r="D718" s="33" t="s">
        <v>143</v>
      </c>
      <c r="E718" s="319" t="s">
        <v>125</v>
      </c>
      <c r="F718" s="33"/>
      <c r="G718" s="33" t="s">
        <v>126</v>
      </c>
      <c r="H718" s="353">
        <v>1000</v>
      </c>
      <c r="I718" s="35">
        <v>49</v>
      </c>
      <c r="J718" s="35">
        <v>1</v>
      </c>
      <c r="K718" s="35">
        <v>4</v>
      </c>
      <c r="L718" s="35">
        <v>3</v>
      </c>
      <c r="M718" s="35">
        <v>14</v>
      </c>
      <c r="N718" s="35"/>
      <c r="O718" s="35">
        <v>1</v>
      </c>
      <c r="P718" s="35">
        <v>8</v>
      </c>
      <c r="Q718" s="35"/>
      <c r="R718" s="36"/>
      <c r="S718" s="35">
        <v>2</v>
      </c>
      <c r="T718" s="35">
        <v>2</v>
      </c>
      <c r="U718" s="35"/>
      <c r="V718" s="35">
        <v>9</v>
      </c>
      <c r="W718" s="35"/>
      <c r="X718" s="35">
        <v>7</v>
      </c>
      <c r="Y718" s="35"/>
      <c r="Z718" s="35"/>
      <c r="AA718" s="35">
        <v>0</v>
      </c>
      <c r="AB718" s="37">
        <f>100/(SUM(I718:Z718))</f>
        <v>1</v>
      </c>
      <c r="AC718" s="259">
        <f>SUM(I718:AA718)</f>
        <v>100</v>
      </c>
      <c r="AD718" s="35"/>
      <c r="AE718" s="35"/>
      <c r="AF718" s="35"/>
      <c r="AG718" s="33" t="s">
        <v>144</v>
      </c>
      <c r="AH718" s="38" t="s">
        <v>471</v>
      </c>
      <c r="AI718" s="38"/>
      <c r="AJ718" s="33" t="s">
        <v>165</v>
      </c>
      <c r="AK718" s="33"/>
      <c r="AL718" s="39">
        <f>(B718-DATE(1970,1,1))*86400</f>
        <v>1685059200</v>
      </c>
      <c r="AM718" s="39">
        <f>(C718-DATE(1970,1,1))*86400</f>
        <v>1685491200</v>
      </c>
      <c r="AN718" s="39">
        <f>AVERAGE(AL718:AM718)</f>
        <v>1685275200</v>
      </c>
      <c r="AO718"/>
      <c r="AP718"/>
      <c r="AQ718"/>
      <c r="AR718"/>
      <c r="AS718"/>
      <c r="AT718"/>
      <c r="AU718"/>
      <c r="AV718"/>
      <c r="AW718"/>
      <c r="AX718"/>
      <c r="AY718"/>
      <c r="AZ718"/>
      <c r="BA718"/>
      <c r="BB718"/>
      <c r="BC718"/>
      <c r="BD718"/>
      <c r="BE718"/>
      <c r="BF718"/>
      <c r="BG718"/>
      <c r="BH718"/>
      <c r="BI718"/>
      <c r="BJ718"/>
      <c r="BK718"/>
      <c r="BL718"/>
      <c r="BM718"/>
    </row>
    <row r="719" spans="1:65" s="436" customFormat="1" ht="15.75" customHeight="1" x14ac:dyDescent="0.2">
      <c r="A719" s="296" t="s">
        <v>133</v>
      </c>
      <c r="B719" s="111">
        <v>45017</v>
      </c>
      <c r="C719" s="111">
        <v>45107</v>
      </c>
      <c r="D719" s="99" t="s">
        <v>276</v>
      </c>
      <c r="E719" s="326" t="s">
        <v>125</v>
      </c>
      <c r="F719" s="99"/>
      <c r="G719" s="99" t="s">
        <v>126</v>
      </c>
      <c r="H719" s="365">
        <v>7000</v>
      </c>
      <c r="I719" s="101">
        <v>34.6</v>
      </c>
      <c r="J719" s="101">
        <v>1</v>
      </c>
      <c r="K719" s="101">
        <v>3.52</v>
      </c>
      <c r="L719" s="101">
        <v>1.52</v>
      </c>
      <c r="M719" s="101">
        <v>9.52</v>
      </c>
      <c r="N719" s="101"/>
      <c r="O719" s="101">
        <v>1</v>
      </c>
      <c r="P719" s="101">
        <v>6</v>
      </c>
      <c r="Q719" s="101"/>
      <c r="R719" s="101"/>
      <c r="S719" s="101"/>
      <c r="T719" s="101"/>
      <c r="U719" s="101"/>
      <c r="V719" s="101">
        <v>7.96</v>
      </c>
      <c r="W719" s="101"/>
      <c r="X719" s="101">
        <v>7.36</v>
      </c>
      <c r="Y719" s="101"/>
      <c r="Z719" s="101">
        <v>3.48</v>
      </c>
      <c r="AA719" s="101">
        <v>23.56</v>
      </c>
      <c r="AB719" s="102">
        <f>100/(SUM(I719:Z719))</f>
        <v>1.3164823591363874</v>
      </c>
      <c r="AC719" s="259">
        <f>SUM(I719:AA719)</f>
        <v>99.52000000000001</v>
      </c>
      <c r="AD719" s="101"/>
      <c r="AE719" s="101">
        <v>6.7</v>
      </c>
      <c r="AF719" s="101">
        <v>6</v>
      </c>
      <c r="AG719" s="103" t="s">
        <v>127</v>
      </c>
      <c r="AH719" s="222" t="s">
        <v>477</v>
      </c>
      <c r="AI719" s="104" t="s">
        <v>478</v>
      </c>
      <c r="AJ719" s="104"/>
      <c r="AK719" s="99" t="s">
        <v>1855</v>
      </c>
      <c r="AL719" s="103">
        <f>(B719-DATE(1970,1,1))*86400</f>
        <v>1680307200</v>
      </c>
      <c r="AM719" s="103">
        <f>(C719-DATE(1970,1,1))*86400</f>
        <v>1688083200</v>
      </c>
      <c r="AN719" s="103">
        <f>AVERAGE(AL719:AM719)</f>
        <v>1684195200</v>
      </c>
      <c r="AO719"/>
      <c r="AP719"/>
      <c r="AQ719"/>
      <c r="AR719"/>
      <c r="AS719"/>
      <c r="AT719"/>
      <c r="AU719"/>
      <c r="AV719"/>
      <c r="AW719"/>
      <c r="AX719"/>
      <c r="AY719"/>
      <c r="AZ719"/>
      <c r="BA719"/>
      <c r="BB719"/>
      <c r="BC719"/>
      <c r="BD719"/>
      <c r="BE719"/>
      <c r="BF719"/>
      <c r="BG719"/>
      <c r="BH719"/>
      <c r="BI719"/>
      <c r="BJ719"/>
      <c r="BK719"/>
      <c r="BL719"/>
      <c r="BM719"/>
    </row>
    <row r="720" spans="1:65" s="436" customFormat="1" ht="15.75" customHeight="1" x14ac:dyDescent="0.2">
      <c r="A720" s="296" t="s">
        <v>133</v>
      </c>
      <c r="B720" s="111">
        <v>45017</v>
      </c>
      <c r="C720" s="111">
        <v>45107</v>
      </c>
      <c r="D720" s="99" t="s">
        <v>276</v>
      </c>
      <c r="E720" s="326" t="s">
        <v>125</v>
      </c>
      <c r="F720" s="99" t="s">
        <v>2495</v>
      </c>
      <c r="G720" s="99" t="s">
        <v>126</v>
      </c>
      <c r="H720" s="365">
        <v>1200</v>
      </c>
      <c r="I720" s="101">
        <v>26</v>
      </c>
      <c r="J720" s="101">
        <v>1</v>
      </c>
      <c r="K720" s="101">
        <v>2</v>
      </c>
      <c r="L720" s="101">
        <v>2</v>
      </c>
      <c r="M720" s="101">
        <v>13</v>
      </c>
      <c r="N720" s="101"/>
      <c r="O720" s="101">
        <v>2</v>
      </c>
      <c r="P720" s="101">
        <v>11</v>
      </c>
      <c r="Q720" s="101"/>
      <c r="R720" s="101"/>
      <c r="S720" s="101"/>
      <c r="T720" s="101"/>
      <c r="U720" s="101"/>
      <c r="V720" s="101">
        <v>14</v>
      </c>
      <c r="W720" s="101"/>
      <c r="X720" s="101">
        <v>5</v>
      </c>
      <c r="Y720" s="101"/>
      <c r="Z720" s="101">
        <v>3</v>
      </c>
      <c r="AA720" s="101">
        <v>22</v>
      </c>
      <c r="AB720" s="102">
        <f>100/(SUM(I720:Z720))</f>
        <v>1.2658227848101267</v>
      </c>
      <c r="AC720" s="259">
        <f>SUM(I720:AA720)</f>
        <v>101</v>
      </c>
      <c r="AD720" s="101"/>
      <c r="AE720" s="101"/>
      <c r="AF720" s="101"/>
      <c r="AG720" s="103" t="s">
        <v>127</v>
      </c>
      <c r="AH720" s="104" t="s">
        <v>477</v>
      </c>
      <c r="AI720" s="104" t="s">
        <v>478</v>
      </c>
      <c r="AJ720" s="104"/>
      <c r="AK720" s="99" t="s">
        <v>479</v>
      </c>
      <c r="AL720" s="103">
        <f>(B720-DATE(1970,1,1))*86400</f>
        <v>1680307200</v>
      </c>
      <c r="AM720" s="103">
        <f>(C720-DATE(1970,1,1))*86400</f>
        <v>1688083200</v>
      </c>
      <c r="AN720" s="103">
        <f>AVERAGE(AL720:AM720)</f>
        <v>1684195200</v>
      </c>
      <c r="AO720"/>
      <c r="AP720"/>
      <c r="AQ720"/>
      <c r="AR720"/>
      <c r="AS720"/>
      <c r="AT720"/>
      <c r="AU720"/>
      <c r="AV720"/>
      <c r="AW720"/>
      <c r="AX720"/>
      <c r="AY720"/>
      <c r="AZ720"/>
      <c r="BA720"/>
      <c r="BB720"/>
      <c r="BC720"/>
      <c r="BD720"/>
      <c r="BE720"/>
      <c r="BF720"/>
      <c r="BG720"/>
      <c r="BH720"/>
      <c r="BI720"/>
      <c r="BJ720"/>
      <c r="BK720"/>
      <c r="BL720"/>
      <c r="BM720"/>
    </row>
    <row r="721" spans="1:65" s="436" customFormat="1" ht="15.75" customHeight="1" x14ac:dyDescent="0.2">
      <c r="A721" s="285" t="s">
        <v>133</v>
      </c>
      <c r="B721" s="34">
        <v>45059</v>
      </c>
      <c r="C721" s="34">
        <v>45065</v>
      </c>
      <c r="D721" s="33" t="s">
        <v>143</v>
      </c>
      <c r="E721" s="319" t="s">
        <v>125</v>
      </c>
      <c r="F721" s="33" t="s">
        <v>2522</v>
      </c>
      <c r="G721" s="33" t="s">
        <v>126</v>
      </c>
      <c r="H721" s="353">
        <v>1000</v>
      </c>
      <c r="I721" s="35"/>
      <c r="J721" s="35"/>
      <c r="K721" s="35"/>
      <c r="L721" s="35"/>
      <c r="M721" s="35"/>
      <c r="N721" s="35"/>
      <c r="O721" s="35"/>
      <c r="P721" s="35"/>
      <c r="Q721" s="35"/>
      <c r="R721" s="36"/>
      <c r="S721" s="35"/>
      <c r="T721" s="35"/>
      <c r="U721" s="35"/>
      <c r="V721" s="35"/>
      <c r="W721" s="35"/>
      <c r="X721" s="35"/>
      <c r="Y721" s="35"/>
      <c r="Z721" s="35"/>
      <c r="AA721" s="35"/>
      <c r="AB721" s="37" t="e">
        <f>100/(SUM(I721:Z721))</f>
        <v>#DIV/0!</v>
      </c>
      <c r="AC721" s="259">
        <f>SUM(I721:AA721)</f>
        <v>0</v>
      </c>
      <c r="AD721" s="35"/>
      <c r="AE721" s="35"/>
      <c r="AF721" s="35"/>
      <c r="AG721" s="33" t="s">
        <v>332</v>
      </c>
      <c r="AH721" s="33"/>
      <c r="AI721" s="38" t="s">
        <v>475</v>
      </c>
      <c r="AJ721" s="38" t="s">
        <v>476</v>
      </c>
      <c r="AK721" s="33"/>
      <c r="AL721" s="39">
        <f>(B721-DATE(1970,1,1))*86400</f>
        <v>1683936000</v>
      </c>
      <c r="AM721" s="39">
        <f>(C721-DATE(1970,1,1))*86400</f>
        <v>1684454400</v>
      </c>
      <c r="AN721" s="39">
        <f>AVERAGE(AL721:AM721)</f>
        <v>1684195200</v>
      </c>
      <c r="AO721"/>
      <c r="AP721"/>
      <c r="AQ721"/>
      <c r="AR721"/>
      <c r="AS721"/>
      <c r="AT721"/>
      <c r="AU721"/>
      <c r="AV721"/>
      <c r="AW721"/>
      <c r="AX721"/>
      <c r="AY721"/>
      <c r="AZ721"/>
      <c r="BA721"/>
      <c r="BB721"/>
      <c r="BC721"/>
      <c r="BD721"/>
      <c r="BE721"/>
      <c r="BF721"/>
      <c r="BG721"/>
      <c r="BH721"/>
      <c r="BI721"/>
      <c r="BJ721"/>
      <c r="BK721"/>
      <c r="BL721"/>
      <c r="BM721"/>
    </row>
    <row r="722" spans="1:65" s="436" customFormat="1" ht="15.75" customHeight="1" x14ac:dyDescent="0.2">
      <c r="A722" s="279" t="s">
        <v>123</v>
      </c>
      <c r="B722" s="14">
        <v>45061</v>
      </c>
      <c r="C722" s="14">
        <v>45063</v>
      </c>
      <c r="D722" s="13" t="s">
        <v>124</v>
      </c>
      <c r="E722" s="324" t="s">
        <v>125</v>
      </c>
      <c r="F722" s="13" t="s">
        <v>195</v>
      </c>
      <c r="G722" s="13" t="s">
        <v>126</v>
      </c>
      <c r="H722" s="349">
        <v>1000</v>
      </c>
      <c r="I722" s="15">
        <v>51</v>
      </c>
      <c r="J722" s="15">
        <v>2</v>
      </c>
      <c r="K722" s="15">
        <v>5</v>
      </c>
      <c r="L722" s="15">
        <v>3</v>
      </c>
      <c r="M722" s="15">
        <v>16</v>
      </c>
      <c r="N722" s="15"/>
      <c r="O722" s="15">
        <v>1</v>
      </c>
      <c r="P722" s="15">
        <v>9</v>
      </c>
      <c r="Q722" s="15"/>
      <c r="R722" s="98"/>
      <c r="S722" s="15"/>
      <c r="T722" s="15"/>
      <c r="U722" s="15"/>
      <c r="V722" s="15">
        <v>3</v>
      </c>
      <c r="W722" s="15"/>
      <c r="X722" s="15">
        <v>6</v>
      </c>
      <c r="Y722" s="15"/>
      <c r="Z722" s="98">
        <v>4</v>
      </c>
      <c r="AA722" s="15">
        <v>0</v>
      </c>
      <c r="AB722" s="16">
        <f>100/(SUM(I722:Z722))</f>
        <v>1</v>
      </c>
      <c r="AC722" s="259">
        <f>SUM(I722:AA722)</f>
        <v>100</v>
      </c>
      <c r="AD722" s="15"/>
      <c r="AE722" s="15"/>
      <c r="AF722" s="15"/>
      <c r="AG722" s="17" t="s">
        <v>127</v>
      </c>
      <c r="AH722" s="18" t="s">
        <v>473</v>
      </c>
      <c r="AI722" s="18"/>
      <c r="AJ722" s="18"/>
      <c r="AK722" s="13" t="s">
        <v>474</v>
      </c>
      <c r="AL722" s="17">
        <f>(B722-DATE(1970,1,1))*86400</f>
        <v>1684108800</v>
      </c>
      <c r="AM722" s="17">
        <f>(C722-DATE(1970,1,1))*86400</f>
        <v>1684281600</v>
      </c>
      <c r="AN722" s="17">
        <f>AVERAGE(AL722:AM722)</f>
        <v>1684195200</v>
      </c>
      <c r="AO722"/>
      <c r="AP722"/>
      <c r="AQ722"/>
      <c r="AR722"/>
      <c r="AS722"/>
      <c r="AT722"/>
      <c r="AU722"/>
      <c r="AV722"/>
      <c r="AW722"/>
      <c r="AX722"/>
      <c r="AY722"/>
      <c r="AZ722"/>
      <c r="BA722"/>
      <c r="BB722"/>
      <c r="BC722"/>
      <c r="BD722"/>
      <c r="BE722"/>
      <c r="BF722"/>
      <c r="BG722"/>
      <c r="BH722"/>
      <c r="BI722"/>
      <c r="BJ722"/>
      <c r="BK722"/>
      <c r="BL722"/>
      <c r="BM722"/>
    </row>
    <row r="723" spans="1:65" s="436" customFormat="1" ht="15.75" customHeight="1" x14ac:dyDescent="0.2">
      <c r="A723" s="284" t="s">
        <v>133</v>
      </c>
      <c r="B723" s="20">
        <v>45043</v>
      </c>
      <c r="C723" s="20">
        <v>45065</v>
      </c>
      <c r="D723" s="19" t="s">
        <v>134</v>
      </c>
      <c r="E723" s="332" t="s">
        <v>125</v>
      </c>
      <c r="F723" s="19"/>
      <c r="G723" s="19" t="s">
        <v>135</v>
      </c>
      <c r="H723" s="332">
        <v>1800</v>
      </c>
      <c r="I723" s="21">
        <v>30</v>
      </c>
      <c r="J723" s="21">
        <v>2</v>
      </c>
      <c r="K723" s="21">
        <v>1</v>
      </c>
      <c r="L723" s="21">
        <v>1</v>
      </c>
      <c r="M723" s="21">
        <v>12</v>
      </c>
      <c r="N723" s="21"/>
      <c r="O723" s="21">
        <v>1</v>
      </c>
      <c r="P723" s="21">
        <v>5</v>
      </c>
      <c r="Q723" s="21"/>
      <c r="R723" s="22"/>
      <c r="S723" s="21"/>
      <c r="T723" s="21"/>
      <c r="U723" s="21"/>
      <c r="V723" s="21">
        <v>5</v>
      </c>
      <c r="W723" s="21"/>
      <c r="X723" s="21">
        <v>6</v>
      </c>
      <c r="Y723" s="21"/>
      <c r="Z723" s="21">
        <v>2</v>
      </c>
      <c r="AA723" s="21">
        <v>35</v>
      </c>
      <c r="AB723" s="23">
        <f>100/(SUM(I723:Z723))</f>
        <v>1.5384615384615385</v>
      </c>
      <c r="AC723" s="259">
        <f>SUM(I723:AA723)</f>
        <v>100</v>
      </c>
      <c r="AD723" s="24"/>
      <c r="AE723" s="24"/>
      <c r="AF723" s="24"/>
      <c r="AG723" s="25" t="s">
        <v>127</v>
      </c>
      <c r="AH723" s="26" t="s">
        <v>480</v>
      </c>
      <c r="AI723" s="26" t="s">
        <v>481</v>
      </c>
      <c r="AJ723" s="83" t="s">
        <v>482</v>
      </c>
      <c r="AK723" s="19" t="s">
        <v>483</v>
      </c>
      <c r="AL723" s="25">
        <f>(B723-DATE(1970,1,1))*86400</f>
        <v>1682553600</v>
      </c>
      <c r="AM723" s="25">
        <f>(C723-DATE(1970,1,1))*86400</f>
        <v>1684454400</v>
      </c>
      <c r="AN723" s="25">
        <f>AVERAGE(AL723:AM723)</f>
        <v>1683504000</v>
      </c>
      <c r="AO723"/>
      <c r="AP723"/>
      <c r="AQ723"/>
      <c r="AR723"/>
      <c r="AS723"/>
      <c r="AT723"/>
      <c r="AU723"/>
      <c r="AV723"/>
      <c r="AW723"/>
      <c r="AX723"/>
      <c r="AY723"/>
      <c r="AZ723"/>
      <c r="BA723"/>
      <c r="BB723"/>
      <c r="BC723"/>
      <c r="BD723"/>
      <c r="BE723"/>
      <c r="BF723"/>
      <c r="BG723"/>
      <c r="BH723"/>
      <c r="BI723"/>
      <c r="BJ723"/>
      <c r="BK723"/>
      <c r="BL723"/>
      <c r="BM723"/>
    </row>
    <row r="724" spans="1:65" s="436" customFormat="1" ht="15.75" customHeight="1" x14ac:dyDescent="0.2">
      <c r="A724" s="284" t="s">
        <v>123</v>
      </c>
      <c r="B724" s="20">
        <v>45043</v>
      </c>
      <c r="C724" s="20">
        <v>45065</v>
      </c>
      <c r="D724" s="19" t="s">
        <v>134</v>
      </c>
      <c r="E724" s="332" t="s">
        <v>125</v>
      </c>
      <c r="F724" s="19"/>
      <c r="G724" s="19" t="s">
        <v>135</v>
      </c>
      <c r="H724" s="332">
        <v>1800</v>
      </c>
      <c r="I724" s="21">
        <v>48</v>
      </c>
      <c r="J724" s="21">
        <v>3</v>
      </c>
      <c r="K724" s="21">
        <v>2</v>
      </c>
      <c r="L724" s="21">
        <v>2</v>
      </c>
      <c r="M724" s="21">
        <v>19</v>
      </c>
      <c r="N724" s="21"/>
      <c r="O724" s="21">
        <v>1</v>
      </c>
      <c r="P724" s="21">
        <v>8</v>
      </c>
      <c r="Q724" s="21"/>
      <c r="R724" s="22"/>
      <c r="S724" s="21"/>
      <c r="T724" s="21"/>
      <c r="U724" s="21"/>
      <c r="V724" s="21">
        <v>6</v>
      </c>
      <c r="W724" s="21"/>
      <c r="X724" s="21">
        <v>9</v>
      </c>
      <c r="Y724" s="21"/>
      <c r="Z724" s="21">
        <v>3</v>
      </c>
      <c r="AA724" s="21">
        <v>0</v>
      </c>
      <c r="AB724" s="23">
        <f>100/(SUM(I724:Z724))</f>
        <v>0.99009900990099009</v>
      </c>
      <c r="AC724" s="259">
        <f>SUM(I724:AA724)</f>
        <v>101</v>
      </c>
      <c r="AD724" s="24"/>
      <c r="AE724" s="24"/>
      <c r="AF724" s="24"/>
      <c r="AG724" s="25" t="s">
        <v>127</v>
      </c>
      <c r="AH724" s="26" t="s">
        <v>480</v>
      </c>
      <c r="AI724" s="26" t="s">
        <v>481</v>
      </c>
      <c r="AJ724" s="83" t="s">
        <v>482</v>
      </c>
      <c r="AK724" s="19"/>
      <c r="AL724" s="25">
        <f>(B724-DATE(1970,1,1))*86400</f>
        <v>1682553600</v>
      </c>
      <c r="AM724" s="25">
        <f>(C724-DATE(1970,1,1))*86400</f>
        <v>1684454400</v>
      </c>
      <c r="AN724" s="25">
        <f>AVERAGE(AL724:AM724)</f>
        <v>1683504000</v>
      </c>
      <c r="AO724"/>
      <c r="AP724"/>
      <c r="AQ724"/>
      <c r="AR724"/>
      <c r="AS724"/>
      <c r="AT724"/>
      <c r="AU724"/>
      <c r="AV724"/>
      <c r="AW724"/>
      <c r="AX724"/>
      <c r="AY724"/>
      <c r="AZ724"/>
      <c r="BA724"/>
      <c r="BB724"/>
      <c r="BC724"/>
      <c r="BD724"/>
      <c r="BE724"/>
      <c r="BF724"/>
      <c r="BG724"/>
      <c r="BH724"/>
      <c r="BI724"/>
      <c r="BJ724"/>
      <c r="BK724"/>
      <c r="BL724"/>
      <c r="BM724"/>
    </row>
    <row r="725" spans="1:65" s="436" customFormat="1" ht="15.75" customHeight="1" x14ac:dyDescent="0.2">
      <c r="A725" s="288" t="s">
        <v>484</v>
      </c>
      <c r="B725" s="60">
        <v>45044</v>
      </c>
      <c r="C725" s="60">
        <v>45051</v>
      </c>
      <c r="D725" s="61" t="s">
        <v>168</v>
      </c>
      <c r="E725" s="334" t="s">
        <v>125</v>
      </c>
      <c r="F725" s="61" t="s">
        <v>485</v>
      </c>
      <c r="G725" s="61" t="s">
        <v>149</v>
      </c>
      <c r="H725" s="334">
        <v>1000</v>
      </c>
      <c r="I725" s="63">
        <v>32</v>
      </c>
      <c r="J725" s="63">
        <v>3</v>
      </c>
      <c r="K725" s="63">
        <v>4</v>
      </c>
      <c r="L725" s="63"/>
      <c r="M725" s="63">
        <v>13</v>
      </c>
      <c r="N725" s="63"/>
      <c r="O725" s="63"/>
      <c r="P725" s="63">
        <v>5</v>
      </c>
      <c r="Q725" s="63"/>
      <c r="R725" s="64"/>
      <c r="S725" s="63"/>
      <c r="T725" s="63"/>
      <c r="U725" s="63">
        <v>4</v>
      </c>
      <c r="V725" s="63">
        <v>3</v>
      </c>
      <c r="W725" s="63"/>
      <c r="X725" s="63">
        <v>6</v>
      </c>
      <c r="Y725" s="63"/>
      <c r="Z725" s="63">
        <v>0</v>
      </c>
      <c r="AA725" s="64">
        <v>30</v>
      </c>
      <c r="AB725" s="65">
        <f>100/(SUM(I725:Z725))</f>
        <v>1.4285714285714286</v>
      </c>
      <c r="AC725" s="259">
        <f>SUM(I725:AA725)</f>
        <v>100</v>
      </c>
      <c r="AD725" s="63"/>
      <c r="AE725" s="64"/>
      <c r="AF725" s="64"/>
      <c r="AG725" s="66" t="s">
        <v>127</v>
      </c>
      <c r="AH725" s="67" t="s">
        <v>486</v>
      </c>
      <c r="AI725" s="67" t="s">
        <v>487</v>
      </c>
      <c r="AJ725" s="67"/>
      <c r="AK725" s="61" t="s">
        <v>488</v>
      </c>
      <c r="AL725" s="66">
        <f>(B725-DATE(1970,1,1))*86400</f>
        <v>1682640000</v>
      </c>
      <c r="AM725" s="66">
        <f>(C725-DATE(1970,1,1))*86400</f>
        <v>1683244800</v>
      </c>
      <c r="AN725" s="66">
        <f>AVERAGE(AL725:AM725)</f>
        <v>1682942400</v>
      </c>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row>
    <row r="726" spans="1:65" s="436" customFormat="1" ht="15.75" customHeight="1" x14ac:dyDescent="0.2">
      <c r="A726" s="286" t="s">
        <v>133</v>
      </c>
      <c r="B726" s="41">
        <v>45044</v>
      </c>
      <c r="C726" s="41">
        <v>45051</v>
      </c>
      <c r="D726" s="40" t="s">
        <v>148</v>
      </c>
      <c r="E726" s="325" t="s">
        <v>125</v>
      </c>
      <c r="F726" s="40" t="s">
        <v>195</v>
      </c>
      <c r="G726" s="40" t="s">
        <v>149</v>
      </c>
      <c r="H726" s="325">
        <v>1000</v>
      </c>
      <c r="I726" s="42">
        <v>32</v>
      </c>
      <c r="J726" s="42">
        <v>4</v>
      </c>
      <c r="K726" s="42">
        <v>4</v>
      </c>
      <c r="L726" s="42">
        <v>3</v>
      </c>
      <c r="M726" s="42">
        <v>13</v>
      </c>
      <c r="N726" s="42"/>
      <c r="O726" s="42">
        <v>1</v>
      </c>
      <c r="P726" s="42">
        <v>5</v>
      </c>
      <c r="Q726" s="42"/>
      <c r="R726" s="43"/>
      <c r="S726" s="42"/>
      <c r="T726" s="42"/>
      <c r="U726" s="42"/>
      <c r="V726" s="42">
        <v>2</v>
      </c>
      <c r="W726" s="42"/>
      <c r="X726" s="42">
        <v>5</v>
      </c>
      <c r="Y726" s="42"/>
      <c r="Z726" s="43">
        <v>0</v>
      </c>
      <c r="AA726" s="43">
        <v>31</v>
      </c>
      <c r="AB726" s="44">
        <f>100/(SUM(I726:Z726))</f>
        <v>1.4492753623188406</v>
      </c>
      <c r="AC726" s="259">
        <f>SUM(I726:AA726)</f>
        <v>100</v>
      </c>
      <c r="AD726" s="42"/>
      <c r="AE726" s="43"/>
      <c r="AF726" s="43"/>
      <c r="AG726" s="45" t="s">
        <v>489</v>
      </c>
      <c r="AH726" s="46" t="s">
        <v>491</v>
      </c>
      <c r="AI726" s="46" t="s">
        <v>492</v>
      </c>
      <c r="AJ726" s="46"/>
      <c r="AK726" s="40"/>
      <c r="AL726" s="45">
        <f>(B726-DATE(1970,1,1))*86400</f>
        <v>1682640000</v>
      </c>
      <c r="AM726" s="45">
        <f>(C726-DATE(1970,1,1))*86400</f>
        <v>1683244800</v>
      </c>
      <c r="AN726" s="45">
        <f>AVERAGE(AL726:AM726)</f>
        <v>1682942400</v>
      </c>
      <c r="AO726"/>
      <c r="AP726"/>
      <c r="AQ726"/>
      <c r="AR726"/>
      <c r="AS726"/>
      <c r="AT726"/>
      <c r="AU726"/>
      <c r="AV726"/>
      <c r="AW726"/>
      <c r="AX726"/>
      <c r="AY726"/>
      <c r="AZ726"/>
      <c r="BA726"/>
      <c r="BB726"/>
      <c r="BC726"/>
      <c r="BD726"/>
      <c r="BE726"/>
      <c r="BF726"/>
      <c r="BG726"/>
      <c r="BH726"/>
      <c r="BI726"/>
      <c r="BJ726"/>
      <c r="BK726"/>
      <c r="BL726"/>
      <c r="BM726"/>
    </row>
    <row r="727" spans="1:65" s="436" customFormat="1" ht="15.75" customHeight="1" x14ac:dyDescent="0.2">
      <c r="A727" s="286" t="s">
        <v>133</v>
      </c>
      <c r="B727" s="41">
        <v>45044</v>
      </c>
      <c r="C727" s="41">
        <v>45051</v>
      </c>
      <c r="D727" s="40" t="s">
        <v>148</v>
      </c>
      <c r="E727" s="325" t="s">
        <v>125</v>
      </c>
      <c r="F727" s="40"/>
      <c r="G727" s="40" t="s">
        <v>149</v>
      </c>
      <c r="H727" s="325">
        <v>1000</v>
      </c>
      <c r="I727" s="42">
        <v>32</v>
      </c>
      <c r="J727" s="42">
        <v>3</v>
      </c>
      <c r="K727" s="42">
        <v>4</v>
      </c>
      <c r="L727" s="42">
        <v>2</v>
      </c>
      <c r="M727" s="42">
        <v>13</v>
      </c>
      <c r="N727" s="42"/>
      <c r="O727" s="42">
        <v>2</v>
      </c>
      <c r="P727" s="42">
        <v>5</v>
      </c>
      <c r="Q727" s="42"/>
      <c r="R727" s="43"/>
      <c r="S727" s="42">
        <v>1</v>
      </c>
      <c r="T727" s="42"/>
      <c r="U727" s="42"/>
      <c r="V727" s="42">
        <v>3</v>
      </c>
      <c r="W727" s="42"/>
      <c r="X727" s="42">
        <v>6</v>
      </c>
      <c r="Y727" s="42"/>
      <c r="Z727" s="43">
        <v>1</v>
      </c>
      <c r="AA727" s="42">
        <v>28</v>
      </c>
      <c r="AB727" s="44">
        <f>100/(SUM(I727:Z727))</f>
        <v>1.3888888888888888</v>
      </c>
      <c r="AC727" s="259">
        <f>SUM(I727:AA727)</f>
        <v>100</v>
      </c>
      <c r="AD727" s="42">
        <v>48</v>
      </c>
      <c r="AE727" s="43"/>
      <c r="AF727" s="43"/>
      <c r="AG727" s="45" t="s">
        <v>489</v>
      </c>
      <c r="AH727" s="46" t="s">
        <v>493</v>
      </c>
      <c r="AI727" s="46" t="s">
        <v>494</v>
      </c>
      <c r="AJ727" s="46" t="s">
        <v>495</v>
      </c>
      <c r="AK727" s="40" t="s">
        <v>496</v>
      </c>
      <c r="AL727" s="45">
        <f>(B727-DATE(1970,1,1))*86400</f>
        <v>1682640000</v>
      </c>
      <c r="AM727" s="45">
        <f>(C727-DATE(1970,1,1))*86400</f>
        <v>1683244800</v>
      </c>
      <c r="AN727" s="45">
        <f>AVERAGE(AL727:AM727)</f>
        <v>1682942400</v>
      </c>
      <c r="AO727"/>
      <c r="AP727"/>
      <c r="AQ727"/>
      <c r="AR727"/>
      <c r="AS727"/>
      <c r="AT727"/>
      <c r="AU727"/>
      <c r="AV727"/>
      <c r="AW727"/>
      <c r="AX727"/>
      <c r="AY727"/>
      <c r="AZ727"/>
      <c r="BA727"/>
      <c r="BB727"/>
      <c r="BC727"/>
      <c r="BD727"/>
      <c r="BE727"/>
      <c r="BF727"/>
      <c r="BG727"/>
      <c r="BH727"/>
      <c r="BI727"/>
      <c r="BJ727"/>
      <c r="BK727"/>
      <c r="BL727"/>
      <c r="BM727"/>
    </row>
    <row r="728" spans="1:65" s="436" customFormat="1" ht="15.75" customHeight="1" x14ac:dyDescent="0.2">
      <c r="A728" s="286" t="s">
        <v>133</v>
      </c>
      <c r="B728" s="41">
        <v>45044</v>
      </c>
      <c r="C728" s="41">
        <v>45051</v>
      </c>
      <c r="D728" s="40" t="s">
        <v>148</v>
      </c>
      <c r="E728" s="325" t="s">
        <v>125</v>
      </c>
      <c r="F728" s="40" t="s">
        <v>195</v>
      </c>
      <c r="G728" s="40" t="s">
        <v>149</v>
      </c>
      <c r="H728" s="325">
        <v>1000</v>
      </c>
      <c r="I728" s="42">
        <v>46</v>
      </c>
      <c r="J728" s="42">
        <v>6</v>
      </c>
      <c r="K728" s="42">
        <v>6</v>
      </c>
      <c r="L728" s="42">
        <v>4</v>
      </c>
      <c r="M728" s="42">
        <v>19</v>
      </c>
      <c r="N728" s="42"/>
      <c r="O728" s="42">
        <v>2</v>
      </c>
      <c r="P728" s="42">
        <v>8</v>
      </c>
      <c r="Q728" s="42"/>
      <c r="R728" s="43"/>
      <c r="S728" s="42"/>
      <c r="T728" s="42"/>
      <c r="U728" s="42"/>
      <c r="V728" s="42">
        <v>3</v>
      </c>
      <c r="W728" s="42"/>
      <c r="X728" s="42">
        <v>7</v>
      </c>
      <c r="Y728" s="42"/>
      <c r="Z728" s="43">
        <v>0</v>
      </c>
      <c r="AA728" s="42">
        <v>0</v>
      </c>
      <c r="AB728" s="44">
        <f>100/(SUM(I728:Z728))</f>
        <v>0.99009900990099009</v>
      </c>
      <c r="AC728" s="259">
        <f>SUM(I728:AA728)</f>
        <v>101</v>
      </c>
      <c r="AD728" s="42"/>
      <c r="AE728" s="43"/>
      <c r="AF728" s="43"/>
      <c r="AG728" s="45" t="s">
        <v>489</v>
      </c>
      <c r="AH728" s="46" t="s">
        <v>490</v>
      </c>
      <c r="AI728" s="46" t="s">
        <v>491</v>
      </c>
      <c r="AJ728" s="46"/>
      <c r="AK728" s="40"/>
      <c r="AL728" s="45">
        <f>(B728-DATE(1970,1,1))*86400</f>
        <v>1682640000</v>
      </c>
      <c r="AM728" s="45">
        <f>(C728-DATE(1970,1,1))*86400</f>
        <v>1683244800</v>
      </c>
      <c r="AN728" s="45">
        <f>AVERAGE(AL728:AM728)</f>
        <v>1682942400</v>
      </c>
      <c r="AO728"/>
      <c r="AP728"/>
      <c r="AQ728"/>
      <c r="AR728"/>
      <c r="AS728"/>
      <c r="AT728"/>
      <c r="AU728"/>
      <c r="AV728"/>
      <c r="AW728"/>
      <c r="AX728"/>
      <c r="AY728"/>
      <c r="AZ728"/>
      <c r="BA728"/>
      <c r="BB728"/>
      <c r="BC728"/>
      <c r="BD728"/>
      <c r="BE728"/>
      <c r="BF728"/>
      <c r="BG728"/>
      <c r="BH728"/>
      <c r="BI728"/>
      <c r="BJ728"/>
      <c r="BK728"/>
      <c r="BL728"/>
      <c r="BM728"/>
    </row>
    <row r="729" spans="1:65" s="436" customFormat="1" ht="15.75" customHeight="1" x14ac:dyDescent="0.2">
      <c r="A729" s="286" t="s">
        <v>123</v>
      </c>
      <c r="B729" s="41">
        <v>45044</v>
      </c>
      <c r="C729" s="41">
        <v>45051</v>
      </c>
      <c r="D729" s="40" t="s">
        <v>148</v>
      </c>
      <c r="E729" s="325" t="s">
        <v>125</v>
      </c>
      <c r="F729" s="40"/>
      <c r="G729" s="40" t="s">
        <v>149</v>
      </c>
      <c r="H729" s="325">
        <v>1000</v>
      </c>
      <c r="I729" s="42">
        <v>50</v>
      </c>
      <c r="J729" s="42">
        <v>4</v>
      </c>
      <c r="K729" s="42">
        <v>4</v>
      </c>
      <c r="L729" s="42">
        <v>2</v>
      </c>
      <c r="M729" s="42">
        <v>19</v>
      </c>
      <c r="N729" s="42"/>
      <c r="O729" s="42">
        <v>2</v>
      </c>
      <c r="P729" s="42">
        <v>6</v>
      </c>
      <c r="Q729" s="42"/>
      <c r="R729" s="43"/>
      <c r="S729" s="42">
        <v>0</v>
      </c>
      <c r="T729" s="42"/>
      <c r="U729" s="42"/>
      <c r="V729" s="42">
        <v>3</v>
      </c>
      <c r="W729" s="42"/>
      <c r="X729" s="42">
        <v>7</v>
      </c>
      <c r="Y729" s="42"/>
      <c r="Z729" s="42">
        <v>3</v>
      </c>
      <c r="AA729" s="42">
        <v>0</v>
      </c>
      <c r="AB729" s="44">
        <f>100/(SUM(I729:Z729))</f>
        <v>1</v>
      </c>
      <c r="AC729" s="259">
        <f>SUM(I729:AA729)</f>
        <v>100</v>
      </c>
      <c r="AD729" s="42"/>
      <c r="AE729" s="43"/>
      <c r="AF729" s="43"/>
      <c r="AG729" s="45" t="s">
        <v>489</v>
      </c>
      <c r="AH729" s="42" t="s">
        <v>493</v>
      </c>
      <c r="AI729" s="46" t="s">
        <v>494</v>
      </c>
      <c r="AJ729" s="46" t="s">
        <v>495</v>
      </c>
      <c r="AK729" s="40" t="s">
        <v>497</v>
      </c>
      <c r="AL729" s="45">
        <f>(B729-DATE(1970,1,1))*86400</f>
        <v>1682640000</v>
      </c>
      <c r="AM729" s="45">
        <f>(C729-DATE(1970,1,1))*86400</f>
        <v>1683244800</v>
      </c>
      <c r="AN729" s="45">
        <f>AVERAGE(AL729:AM729)</f>
        <v>1682942400</v>
      </c>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row>
    <row r="730" spans="1:65" s="436" customFormat="1" ht="15.75" customHeight="1" x14ac:dyDescent="0.2">
      <c r="A730" s="288" t="s">
        <v>133</v>
      </c>
      <c r="B730" s="60">
        <v>45037</v>
      </c>
      <c r="C730" s="60">
        <v>45044</v>
      </c>
      <c r="D730" s="61" t="s">
        <v>168</v>
      </c>
      <c r="E730" s="334" t="s">
        <v>125</v>
      </c>
      <c r="F730" s="61"/>
      <c r="G730" s="61" t="s">
        <v>126</v>
      </c>
      <c r="H730" s="334">
        <v>1000</v>
      </c>
      <c r="I730" s="63">
        <v>34</v>
      </c>
      <c r="J730" s="63">
        <v>3</v>
      </c>
      <c r="K730" s="63">
        <v>3</v>
      </c>
      <c r="L730" s="63">
        <v>3</v>
      </c>
      <c r="M730" s="63">
        <v>12</v>
      </c>
      <c r="N730" s="63"/>
      <c r="O730" s="63">
        <v>1</v>
      </c>
      <c r="P730" s="63">
        <v>5</v>
      </c>
      <c r="Q730" s="63"/>
      <c r="R730" s="64"/>
      <c r="S730" s="63"/>
      <c r="T730" s="63"/>
      <c r="U730" s="63"/>
      <c r="V730" s="63">
        <v>3</v>
      </c>
      <c r="W730" s="63"/>
      <c r="X730" s="63">
        <v>5</v>
      </c>
      <c r="Y730" s="63"/>
      <c r="Z730" s="63">
        <v>0</v>
      </c>
      <c r="AA730" s="63">
        <v>30</v>
      </c>
      <c r="AB730" s="65">
        <f>100/(SUM(I730:Z730))</f>
        <v>1.4492753623188406</v>
      </c>
      <c r="AC730" s="259">
        <f>SUM(I730:AA730)</f>
        <v>99</v>
      </c>
      <c r="AD730" s="63">
        <v>67</v>
      </c>
      <c r="AE730" s="64"/>
      <c r="AF730" s="64"/>
      <c r="AG730" s="66" t="s">
        <v>127</v>
      </c>
      <c r="AH730" s="67" t="s">
        <v>498</v>
      </c>
      <c r="AI730" s="67" t="s">
        <v>499</v>
      </c>
      <c r="AJ730" s="67"/>
      <c r="AK730" s="61" t="s">
        <v>500</v>
      </c>
      <c r="AL730" s="66">
        <f>(B730-DATE(1970,1,1))*86400</f>
        <v>1682035200</v>
      </c>
      <c r="AM730" s="66">
        <f>(C730-DATE(1970,1,1))*86400</f>
        <v>1682640000</v>
      </c>
      <c r="AN730" s="66">
        <f>AVERAGE(AL730:AM730)</f>
        <v>1682337600</v>
      </c>
      <c r="AO730"/>
      <c r="AP730"/>
      <c r="AQ730"/>
      <c r="AR730"/>
      <c r="AS730"/>
      <c r="AT730"/>
      <c r="AU730"/>
      <c r="AV730"/>
      <c r="AW730"/>
      <c r="AX730"/>
      <c r="AY730"/>
      <c r="AZ730"/>
      <c r="BA730"/>
      <c r="BB730"/>
      <c r="BC730"/>
      <c r="BD730"/>
      <c r="BE730"/>
      <c r="BF730"/>
      <c r="BG730"/>
      <c r="BH730"/>
      <c r="BI730"/>
      <c r="BJ730"/>
      <c r="BK730"/>
      <c r="BL730"/>
      <c r="BM730"/>
    </row>
    <row r="731" spans="1:65" s="436" customFormat="1" ht="15.75" customHeight="1" x14ac:dyDescent="0.2">
      <c r="A731" s="288" t="s">
        <v>133</v>
      </c>
      <c r="B731" s="60">
        <v>45037</v>
      </c>
      <c r="C731" s="60">
        <v>45044</v>
      </c>
      <c r="D731" s="61" t="s">
        <v>168</v>
      </c>
      <c r="E731" s="334" t="s">
        <v>125</v>
      </c>
      <c r="F731" s="61"/>
      <c r="G731" s="61" t="s">
        <v>126</v>
      </c>
      <c r="H731" s="334">
        <v>1000</v>
      </c>
      <c r="I731" s="63">
        <v>48</v>
      </c>
      <c r="J731" s="63">
        <v>5</v>
      </c>
      <c r="K731" s="63">
        <v>4</v>
      </c>
      <c r="L731" s="63">
        <v>4</v>
      </c>
      <c r="M731" s="63">
        <v>17</v>
      </c>
      <c r="N731" s="63"/>
      <c r="O731" s="63">
        <v>2</v>
      </c>
      <c r="P731" s="63">
        <v>7</v>
      </c>
      <c r="Q731" s="63"/>
      <c r="R731" s="64"/>
      <c r="S731" s="63"/>
      <c r="T731" s="63"/>
      <c r="U731" s="63"/>
      <c r="V731" s="63">
        <v>5</v>
      </c>
      <c r="W731" s="63"/>
      <c r="X731" s="63">
        <v>8</v>
      </c>
      <c r="Y731" s="63"/>
      <c r="Z731" s="63">
        <v>0</v>
      </c>
      <c r="AA731" s="63">
        <v>0</v>
      </c>
      <c r="AB731" s="65">
        <f>100/(SUM(I731:Z731))</f>
        <v>1</v>
      </c>
      <c r="AC731" s="259">
        <f>SUM(I731:AA731)</f>
        <v>100</v>
      </c>
      <c r="AD731" s="63"/>
      <c r="AE731" s="64"/>
      <c r="AF731" s="64"/>
      <c r="AG731" s="66" t="s">
        <v>127</v>
      </c>
      <c r="AH731" s="67" t="s">
        <v>498</v>
      </c>
      <c r="AI731" s="67" t="s">
        <v>499</v>
      </c>
      <c r="AJ731" s="67"/>
      <c r="AK731" s="61" t="s">
        <v>138</v>
      </c>
      <c r="AL731" s="66">
        <f>(B731-DATE(1970,1,1))*86400</f>
        <v>1682035200</v>
      </c>
      <c r="AM731" s="66">
        <f>(C731-DATE(1970,1,1))*86400</f>
        <v>1682640000</v>
      </c>
      <c r="AN731" s="66">
        <f>AVERAGE(AL731:AM731)</f>
        <v>1682337600</v>
      </c>
      <c r="AO731"/>
      <c r="AP731"/>
      <c r="AQ731"/>
      <c r="AR731"/>
      <c r="AS731"/>
      <c r="AT731"/>
      <c r="AU731"/>
      <c r="AV731"/>
      <c r="AW731"/>
      <c r="AX731"/>
      <c r="AY731"/>
      <c r="AZ731"/>
      <c r="BA731"/>
      <c r="BB731"/>
      <c r="BC731"/>
      <c r="BD731"/>
      <c r="BE731"/>
      <c r="BF731"/>
      <c r="BG731"/>
      <c r="BH731"/>
      <c r="BI731"/>
      <c r="BJ731"/>
      <c r="BK731"/>
      <c r="BL731"/>
      <c r="BM731"/>
    </row>
    <row r="732" spans="1:65" s="436" customFormat="1" ht="15.75" customHeight="1" x14ac:dyDescent="0.2">
      <c r="A732" s="285" t="s">
        <v>133</v>
      </c>
      <c r="B732" s="34">
        <v>45030</v>
      </c>
      <c r="C732" s="34">
        <v>45044</v>
      </c>
      <c r="D732" s="33" t="s">
        <v>143</v>
      </c>
      <c r="E732" s="319" t="s">
        <v>125</v>
      </c>
      <c r="F732" s="33" t="s">
        <v>140</v>
      </c>
      <c r="G732" s="33" t="s">
        <v>126</v>
      </c>
      <c r="H732" s="353">
        <v>1200</v>
      </c>
      <c r="I732" s="35"/>
      <c r="J732" s="35"/>
      <c r="K732" s="35"/>
      <c r="L732" s="35"/>
      <c r="M732" s="35"/>
      <c r="N732" s="35"/>
      <c r="O732" s="35"/>
      <c r="P732" s="35"/>
      <c r="Q732" s="35"/>
      <c r="R732" s="36"/>
      <c r="S732" s="35"/>
      <c r="T732" s="35"/>
      <c r="U732" s="35"/>
      <c r="V732" s="35"/>
      <c r="W732" s="35"/>
      <c r="X732" s="35"/>
      <c r="Y732" s="35"/>
      <c r="Z732" s="35"/>
      <c r="AA732" s="35"/>
      <c r="AB732" s="37" t="e">
        <f>100/(SUM(I732:Z732))</f>
        <v>#DIV/0!</v>
      </c>
      <c r="AC732" s="259">
        <f>SUM(I732:AA732)</f>
        <v>0</v>
      </c>
      <c r="AD732" s="35"/>
      <c r="AE732" s="35"/>
      <c r="AF732" s="35"/>
      <c r="AG732" s="33" t="s">
        <v>501</v>
      </c>
      <c r="AH732" s="33"/>
      <c r="AI732" s="38"/>
      <c r="AJ732" s="38" t="s">
        <v>502</v>
      </c>
      <c r="AK732" s="33"/>
      <c r="AL732" s="39">
        <f>(B732-DATE(1970,1,1))*86400</f>
        <v>1681430400</v>
      </c>
      <c r="AM732" s="39">
        <f>(C732-DATE(1970,1,1))*86400</f>
        <v>1682640000</v>
      </c>
      <c r="AN732" s="39">
        <f>AVERAGE(AL732:AM732)</f>
        <v>1682035200</v>
      </c>
      <c r="AO732"/>
      <c r="AP732"/>
      <c r="AQ732"/>
      <c r="AR732"/>
      <c r="AS732"/>
      <c r="AT732"/>
      <c r="AU732"/>
      <c r="AV732"/>
      <c r="AW732"/>
      <c r="AX732"/>
      <c r="AY732"/>
      <c r="AZ732"/>
      <c r="BA732"/>
      <c r="BB732"/>
      <c r="BC732"/>
      <c r="BD732"/>
      <c r="BE732"/>
      <c r="BF732"/>
      <c r="BG732"/>
      <c r="BH732"/>
      <c r="BI732"/>
      <c r="BJ732"/>
      <c r="BK732"/>
      <c r="BL732"/>
      <c r="BM732"/>
    </row>
    <row r="733" spans="1:65" s="436" customFormat="1" ht="15.75" customHeight="1" x14ac:dyDescent="0.2">
      <c r="A733" s="279" t="s">
        <v>133</v>
      </c>
      <c r="B733" s="14">
        <v>45033</v>
      </c>
      <c r="C733" s="14">
        <v>45035</v>
      </c>
      <c r="D733" s="13" t="s">
        <v>124</v>
      </c>
      <c r="E733" s="324" t="s">
        <v>125</v>
      </c>
      <c r="F733" s="13" t="s">
        <v>140</v>
      </c>
      <c r="G733" s="13" t="s">
        <v>126</v>
      </c>
      <c r="H733" s="349">
        <v>1000</v>
      </c>
      <c r="I733" s="15"/>
      <c r="J733" s="15"/>
      <c r="K733" s="15"/>
      <c r="L733" s="15"/>
      <c r="M733" s="15"/>
      <c r="N733" s="15"/>
      <c r="O733" s="15"/>
      <c r="P733" s="15"/>
      <c r="Q733" s="15"/>
      <c r="R733" s="98"/>
      <c r="S733" s="15"/>
      <c r="T733" s="15"/>
      <c r="U733" s="15"/>
      <c r="V733" s="15"/>
      <c r="W733" s="15"/>
      <c r="X733" s="15"/>
      <c r="Y733" s="15"/>
      <c r="Z733" s="15"/>
      <c r="AA733" s="15"/>
      <c r="AB733" s="16" t="e">
        <f>100/(SUM(I733:Z733))</f>
        <v>#DIV/0!</v>
      </c>
      <c r="AC733" s="259">
        <f>SUM(I733:AA733)</f>
        <v>0</v>
      </c>
      <c r="AD733" s="15"/>
      <c r="AE733" s="15"/>
      <c r="AF733" s="15"/>
      <c r="AG733" s="17" t="s">
        <v>127</v>
      </c>
      <c r="AH733" s="18"/>
      <c r="AI733" s="18"/>
      <c r="AJ733" s="18" t="s">
        <v>503</v>
      </c>
      <c r="AK733" s="13"/>
      <c r="AL733" s="17">
        <f>(B733-DATE(1970,1,1))*86400</f>
        <v>1681689600</v>
      </c>
      <c r="AM733" s="17">
        <f>(C733-DATE(1970,1,1))*86400</f>
        <v>1681862400</v>
      </c>
      <c r="AN733" s="17">
        <f>AVERAGE(AL733:AM733)</f>
        <v>1681776000</v>
      </c>
      <c r="AO733"/>
      <c r="AP733"/>
      <c r="AQ733"/>
      <c r="AR733"/>
      <c r="AS733"/>
      <c r="AT733"/>
      <c r="AU733"/>
      <c r="AV733"/>
      <c r="AW733"/>
      <c r="AX733"/>
      <c r="AY733"/>
      <c r="AZ733"/>
      <c r="BA733"/>
      <c r="BB733"/>
      <c r="BC733"/>
      <c r="BD733"/>
      <c r="BE733"/>
      <c r="BF733"/>
      <c r="BG733"/>
      <c r="BH733"/>
      <c r="BI733"/>
      <c r="BJ733"/>
      <c r="BK733"/>
      <c r="BL733"/>
      <c r="BM733"/>
    </row>
    <row r="734" spans="1:65" s="436" customFormat="1" ht="15.75" customHeight="1" x14ac:dyDescent="0.2">
      <c r="A734" s="287" t="s">
        <v>133</v>
      </c>
      <c r="B734" s="109">
        <v>45017</v>
      </c>
      <c r="C734" s="109">
        <v>45046</v>
      </c>
      <c r="D734" s="69" t="s">
        <v>183</v>
      </c>
      <c r="E734" s="333" t="s">
        <v>125</v>
      </c>
      <c r="F734" s="69" t="s">
        <v>2498</v>
      </c>
      <c r="G734" s="188"/>
      <c r="H734" s="354">
        <v>1000</v>
      </c>
      <c r="I734" s="71">
        <v>29</v>
      </c>
      <c r="J734" s="71"/>
      <c r="K734" s="71"/>
      <c r="L734" s="71"/>
      <c r="M734" s="71">
        <v>10</v>
      </c>
      <c r="N734" s="71"/>
      <c r="O734" s="71"/>
      <c r="P734" s="71"/>
      <c r="Q734" s="71"/>
      <c r="R734" s="72"/>
      <c r="S734" s="71"/>
      <c r="T734" s="71"/>
      <c r="U734" s="71"/>
      <c r="V734" s="71">
        <v>9</v>
      </c>
      <c r="W734" s="71"/>
      <c r="X734" s="71">
        <v>4</v>
      </c>
      <c r="Y734" s="71"/>
      <c r="Z734" s="71">
        <v>14</v>
      </c>
      <c r="AA734" s="71">
        <v>34</v>
      </c>
      <c r="AB734" s="73">
        <f>100/(SUM(I734:Z734))</f>
        <v>1.5151515151515151</v>
      </c>
      <c r="AC734" s="259">
        <f>SUM(I734:AA734)</f>
        <v>100</v>
      </c>
      <c r="AD734" s="71"/>
      <c r="AE734" s="71"/>
      <c r="AF734" s="71"/>
      <c r="AG734" s="74" t="s">
        <v>2245</v>
      </c>
      <c r="AH734" s="199" t="s">
        <v>2244</v>
      </c>
      <c r="AI734" s="221"/>
      <c r="AJ734" s="75"/>
      <c r="AK734" s="69" t="s">
        <v>2243</v>
      </c>
      <c r="AL734" s="74">
        <f>(B734-DATE(1970,1,1))*86400</f>
        <v>1680307200</v>
      </c>
      <c r="AM734" s="74">
        <f>(C734-DATE(1970,1,1))*86400</f>
        <v>1682812800</v>
      </c>
      <c r="AN734" s="74">
        <f>AVERAGE(AL734:AM734)</f>
        <v>1681560000</v>
      </c>
      <c r="AO734"/>
      <c r="AP734"/>
      <c r="AQ734"/>
      <c r="AR734"/>
      <c r="AS734"/>
      <c r="AT734"/>
      <c r="AU734"/>
      <c r="AV734"/>
      <c r="AW734"/>
      <c r="AX734"/>
      <c r="AY734"/>
      <c r="AZ734"/>
      <c r="BA734"/>
      <c r="BB734"/>
      <c r="BC734"/>
      <c r="BD734"/>
      <c r="BE734"/>
      <c r="BF734"/>
      <c r="BG734"/>
      <c r="BH734"/>
      <c r="BI734"/>
      <c r="BJ734"/>
      <c r="BK734"/>
      <c r="BL734"/>
      <c r="BM734"/>
    </row>
    <row r="735" spans="1:65" s="436" customFormat="1" ht="15.75" customHeight="1" x14ac:dyDescent="0.2">
      <c r="A735" s="287" t="s">
        <v>133</v>
      </c>
      <c r="B735" s="109">
        <v>45017</v>
      </c>
      <c r="C735" s="109">
        <v>45046</v>
      </c>
      <c r="D735" s="69" t="s">
        <v>183</v>
      </c>
      <c r="E735" s="333" t="s">
        <v>184</v>
      </c>
      <c r="F735" s="69" t="s">
        <v>2297</v>
      </c>
      <c r="G735" s="69" t="s">
        <v>504</v>
      </c>
      <c r="H735" s="360">
        <v>500</v>
      </c>
      <c r="I735" s="71">
        <v>32</v>
      </c>
      <c r="J735" s="71">
        <v>2</v>
      </c>
      <c r="K735" s="71">
        <v>5</v>
      </c>
      <c r="L735" s="71">
        <v>3</v>
      </c>
      <c r="M735" s="71">
        <v>11</v>
      </c>
      <c r="N735" s="71"/>
      <c r="O735" s="71">
        <v>2</v>
      </c>
      <c r="P735" s="71">
        <v>6</v>
      </c>
      <c r="Q735" s="71"/>
      <c r="R735" s="72"/>
      <c r="S735" s="71">
        <v>2</v>
      </c>
      <c r="T735" s="71">
        <v>3</v>
      </c>
      <c r="U735" s="71"/>
      <c r="V735" s="71">
        <v>6</v>
      </c>
      <c r="W735" s="71"/>
      <c r="X735" s="71">
        <v>4</v>
      </c>
      <c r="Y735" s="71"/>
      <c r="Z735" s="71"/>
      <c r="AA735" s="71">
        <v>25</v>
      </c>
      <c r="AB735" s="73">
        <f>100/(SUM(I735:Z735))</f>
        <v>1.3157894736842106</v>
      </c>
      <c r="AC735" s="259">
        <f>SUM(I735:AA735)</f>
        <v>101</v>
      </c>
      <c r="AD735" s="71"/>
      <c r="AE735" s="71"/>
      <c r="AF735" s="71"/>
      <c r="AG735" s="112" t="s">
        <v>505</v>
      </c>
      <c r="AH735" s="74" t="s">
        <v>506</v>
      </c>
      <c r="AI735" s="75" t="s">
        <v>427</v>
      </c>
      <c r="AJ735" s="75" t="s">
        <v>2296</v>
      </c>
      <c r="AK735" s="69" t="s">
        <v>2295</v>
      </c>
      <c r="AL735" s="74">
        <f>(B735-DATE(1970,1,1))*86400</f>
        <v>1680307200</v>
      </c>
      <c r="AM735" s="74">
        <f>(C735-DATE(1970,1,1))*86400</f>
        <v>1682812800</v>
      </c>
      <c r="AN735" s="74">
        <f>AVERAGE(AL735:AM735)</f>
        <v>1681560000</v>
      </c>
      <c r="AO735"/>
      <c r="AP735"/>
      <c r="AQ735"/>
      <c r="AR735"/>
      <c r="AS735"/>
      <c r="AT735"/>
      <c r="AU735"/>
      <c r="AV735"/>
      <c r="AW735"/>
      <c r="AX735"/>
      <c r="AY735"/>
      <c r="AZ735"/>
      <c r="BA735"/>
      <c r="BB735"/>
      <c r="BC735"/>
      <c r="BD735"/>
      <c r="BE735"/>
      <c r="BF735"/>
      <c r="BG735"/>
      <c r="BH735"/>
      <c r="BI735"/>
      <c r="BJ735"/>
      <c r="BK735"/>
      <c r="BL735"/>
      <c r="BM735"/>
    </row>
    <row r="736" spans="1:65" s="436" customFormat="1" ht="15.75" customHeight="1" x14ac:dyDescent="0.2">
      <c r="A736" s="287" t="s">
        <v>133</v>
      </c>
      <c r="B736" s="109">
        <v>45017</v>
      </c>
      <c r="C736" s="109">
        <v>45046</v>
      </c>
      <c r="D736" s="69" t="s">
        <v>183</v>
      </c>
      <c r="E736" s="333" t="s">
        <v>184</v>
      </c>
      <c r="F736" s="69" t="s">
        <v>2297</v>
      </c>
      <c r="G736" s="69" t="s">
        <v>504</v>
      </c>
      <c r="H736" s="360">
        <v>500</v>
      </c>
      <c r="I736" s="71">
        <v>43</v>
      </c>
      <c r="J736" s="71">
        <v>2</v>
      </c>
      <c r="K736" s="71">
        <v>6</v>
      </c>
      <c r="L736" s="71">
        <v>3</v>
      </c>
      <c r="M736" s="71">
        <v>14</v>
      </c>
      <c r="N736" s="71"/>
      <c r="O736" s="71">
        <v>3</v>
      </c>
      <c r="P736" s="71">
        <v>8</v>
      </c>
      <c r="Q736" s="71"/>
      <c r="R736" s="72"/>
      <c r="S736" s="71">
        <v>3</v>
      </c>
      <c r="T736" s="71">
        <v>4</v>
      </c>
      <c r="U736" s="71"/>
      <c r="V736" s="71">
        <v>8</v>
      </c>
      <c r="W736" s="71"/>
      <c r="X736" s="71">
        <v>6</v>
      </c>
      <c r="Y736" s="71"/>
      <c r="Z736" s="71"/>
      <c r="AA736" s="71">
        <v>0</v>
      </c>
      <c r="AB736" s="73">
        <f>100/(SUM(I736:Z736))</f>
        <v>1</v>
      </c>
      <c r="AC736" s="259">
        <f>SUM(I736:AA736)</f>
        <v>100</v>
      </c>
      <c r="AD736" s="71"/>
      <c r="AE736" s="71"/>
      <c r="AF736" s="71"/>
      <c r="AG736" s="112" t="s">
        <v>505</v>
      </c>
      <c r="AH736" s="74" t="s">
        <v>506</v>
      </c>
      <c r="AI736" s="75" t="s">
        <v>427</v>
      </c>
      <c r="AJ736" s="75" t="s">
        <v>2296</v>
      </c>
      <c r="AK736" s="69" t="s">
        <v>2295</v>
      </c>
      <c r="AL736" s="74">
        <f>(B736-DATE(1970,1,1))*86400</f>
        <v>1680307200</v>
      </c>
      <c r="AM736" s="74">
        <f>(C736-DATE(1970,1,1))*86400</f>
        <v>1682812800</v>
      </c>
      <c r="AN736" s="74">
        <f>AVERAGE(AL736:AM736)</f>
        <v>1681560000</v>
      </c>
      <c r="AO736"/>
      <c r="AP736"/>
      <c r="AQ736"/>
      <c r="AR736"/>
      <c r="AS736"/>
      <c r="AT736"/>
      <c r="AU736"/>
      <c r="AV736"/>
      <c r="AW736"/>
      <c r="AX736"/>
      <c r="AY736"/>
      <c r="AZ736"/>
      <c r="BA736"/>
      <c r="BB736"/>
      <c r="BC736"/>
      <c r="BD736"/>
      <c r="BE736"/>
      <c r="BF736"/>
      <c r="BG736"/>
      <c r="BH736"/>
      <c r="BI736"/>
      <c r="BJ736"/>
      <c r="BK736"/>
      <c r="BL736"/>
      <c r="BM736"/>
    </row>
    <row r="737" spans="1:65" s="436" customFormat="1" ht="15.75" customHeight="1" x14ac:dyDescent="0.2">
      <c r="A737" s="286" t="s">
        <v>133</v>
      </c>
      <c r="B737" s="106">
        <v>45017</v>
      </c>
      <c r="C737" s="106">
        <v>45046</v>
      </c>
      <c r="D737" s="40" t="s">
        <v>148</v>
      </c>
      <c r="E737" s="325" t="s">
        <v>125</v>
      </c>
      <c r="F737" s="40" t="s">
        <v>2526</v>
      </c>
      <c r="G737" s="40" t="s">
        <v>149</v>
      </c>
      <c r="H737" s="325">
        <v>500</v>
      </c>
      <c r="I737" s="42">
        <v>29</v>
      </c>
      <c r="J737" s="42">
        <v>12</v>
      </c>
      <c r="K737" s="42">
        <v>4</v>
      </c>
      <c r="L737" s="42">
        <v>3</v>
      </c>
      <c r="M737" s="42">
        <v>8</v>
      </c>
      <c r="N737" s="42"/>
      <c r="O737" s="42">
        <v>2</v>
      </c>
      <c r="P737" s="42">
        <v>7</v>
      </c>
      <c r="Q737" s="42"/>
      <c r="R737" s="43"/>
      <c r="S737" s="42"/>
      <c r="T737" s="42"/>
      <c r="U737" s="42"/>
      <c r="V737" s="42"/>
      <c r="W737" s="42"/>
      <c r="X737" s="42"/>
      <c r="Y737" s="42"/>
      <c r="Z737" s="43">
        <v>13</v>
      </c>
      <c r="AA737" s="42">
        <v>22</v>
      </c>
      <c r="AB737" s="44">
        <f>100/(SUM(I737:Z737))</f>
        <v>1.2820512820512822</v>
      </c>
      <c r="AC737" s="259">
        <f>SUM(I737:AA737)</f>
        <v>100</v>
      </c>
      <c r="AD737" s="42"/>
      <c r="AE737" s="43"/>
      <c r="AF737" s="43"/>
      <c r="AG737" s="45" t="s">
        <v>391</v>
      </c>
      <c r="AH737" s="46" t="s">
        <v>508</v>
      </c>
      <c r="AI737" s="46" t="s">
        <v>509</v>
      </c>
      <c r="AJ737" s="46"/>
      <c r="AK737" s="40"/>
      <c r="AL737" s="45">
        <f>(B737-DATE(1970,1,1))*86400</f>
        <v>1680307200</v>
      </c>
      <c r="AM737" s="45">
        <f>(C737-DATE(1970,1,1))*86400</f>
        <v>1682812800</v>
      </c>
      <c r="AN737" s="45">
        <f>AVERAGE(AL737:AM737)</f>
        <v>1681560000</v>
      </c>
      <c r="AO737"/>
      <c r="AP737"/>
      <c r="AQ737"/>
      <c r="AR737"/>
      <c r="AS737"/>
      <c r="AT737"/>
      <c r="AU737"/>
      <c r="AV737"/>
      <c r="AW737"/>
      <c r="AX737"/>
      <c r="AY737"/>
      <c r="AZ737"/>
      <c r="BA737"/>
      <c r="BB737"/>
      <c r="BC737"/>
      <c r="BD737"/>
      <c r="BE737"/>
      <c r="BF737"/>
      <c r="BG737"/>
      <c r="BH737"/>
      <c r="BI737"/>
      <c r="BJ737"/>
      <c r="BK737"/>
      <c r="BL737"/>
      <c r="BM737"/>
    </row>
    <row r="738" spans="1:65" s="436" customFormat="1" ht="15.75" customHeight="1" x14ac:dyDescent="0.2">
      <c r="A738" s="286" t="s">
        <v>133</v>
      </c>
      <c r="B738" s="106">
        <v>45017</v>
      </c>
      <c r="C738" s="106">
        <v>45046</v>
      </c>
      <c r="D738" s="40" t="s">
        <v>148</v>
      </c>
      <c r="E738" s="325" t="s">
        <v>125</v>
      </c>
      <c r="F738" s="40" t="s">
        <v>2527</v>
      </c>
      <c r="G738" s="40" t="s">
        <v>149</v>
      </c>
      <c r="H738" s="325">
        <v>500</v>
      </c>
      <c r="I738" s="42">
        <v>24</v>
      </c>
      <c r="J738" s="42"/>
      <c r="K738" s="42"/>
      <c r="L738" s="42"/>
      <c r="M738" s="42"/>
      <c r="N738" s="42"/>
      <c r="O738" s="42"/>
      <c r="P738" s="42"/>
      <c r="Q738" s="42"/>
      <c r="R738" s="43"/>
      <c r="S738" s="42"/>
      <c r="T738" s="42"/>
      <c r="U738" s="42">
        <v>29</v>
      </c>
      <c r="V738" s="42"/>
      <c r="W738" s="42"/>
      <c r="X738" s="42"/>
      <c r="Y738" s="42"/>
      <c r="Z738" s="42"/>
      <c r="AA738" s="42"/>
      <c r="AB738" s="44">
        <f>100/(SUM(I738:Z738))</f>
        <v>1.8867924528301887</v>
      </c>
      <c r="AC738" s="259">
        <f>SUM(I738:AA738)</f>
        <v>53</v>
      </c>
      <c r="AD738" s="42"/>
      <c r="AE738" s="43"/>
      <c r="AF738" s="43"/>
      <c r="AG738" s="45" t="s">
        <v>391</v>
      </c>
      <c r="AH738" s="46" t="s">
        <v>508</v>
      </c>
      <c r="AI738" s="46" t="s">
        <v>509</v>
      </c>
      <c r="AJ738" s="46"/>
      <c r="AK738" s="40" t="s">
        <v>510</v>
      </c>
      <c r="AL738" s="45">
        <f>(B738-DATE(1970,1,1))*86400</f>
        <v>1680307200</v>
      </c>
      <c r="AM738" s="45">
        <f>(C738-DATE(1970,1,1))*86400</f>
        <v>1682812800</v>
      </c>
      <c r="AN738" s="45">
        <f>AVERAGE(AL738:AM738)</f>
        <v>1681560000</v>
      </c>
      <c r="AO738"/>
      <c r="AP738"/>
      <c r="AQ738"/>
      <c r="AR738"/>
      <c r="AS738"/>
      <c r="AT738"/>
      <c r="AU738"/>
      <c r="AV738"/>
      <c r="AW738"/>
      <c r="AX738"/>
      <c r="AY738"/>
      <c r="AZ738"/>
      <c r="BA738"/>
      <c r="BB738"/>
      <c r="BC738"/>
      <c r="BD738"/>
      <c r="BE738"/>
      <c r="BF738"/>
      <c r="BG738"/>
      <c r="BH738"/>
      <c r="BI738"/>
      <c r="BJ738"/>
      <c r="BK738"/>
      <c r="BL738"/>
      <c r="BM738"/>
    </row>
    <row r="739" spans="1:65" s="436" customFormat="1" ht="15.75" customHeight="1" x14ac:dyDescent="0.2">
      <c r="A739" s="285" t="s">
        <v>133</v>
      </c>
      <c r="B739" s="34">
        <v>45027</v>
      </c>
      <c r="C739" s="34">
        <v>45029</v>
      </c>
      <c r="D739" s="33" t="s">
        <v>143</v>
      </c>
      <c r="E739" s="319" t="s">
        <v>125</v>
      </c>
      <c r="F739" s="33" t="s">
        <v>2495</v>
      </c>
      <c r="G739" s="33" t="s">
        <v>126</v>
      </c>
      <c r="H739" s="353">
        <v>1000</v>
      </c>
      <c r="I739" s="35">
        <v>23</v>
      </c>
      <c r="J739" s="35"/>
      <c r="K739" s="35"/>
      <c r="L739" s="35"/>
      <c r="M739" s="35"/>
      <c r="N739" s="35"/>
      <c r="O739" s="35"/>
      <c r="P739" s="35"/>
      <c r="Q739" s="35"/>
      <c r="R739" s="36"/>
      <c r="S739" s="35"/>
      <c r="T739" s="35"/>
      <c r="U739" s="35">
        <v>46</v>
      </c>
      <c r="V739" s="35">
        <v>12</v>
      </c>
      <c r="W739" s="35"/>
      <c r="X739" s="35">
        <v>8</v>
      </c>
      <c r="Y739" s="35"/>
      <c r="Z739" s="35">
        <v>1</v>
      </c>
      <c r="AA739" s="35">
        <v>11</v>
      </c>
      <c r="AB739" s="37">
        <f>100/(SUM(I739:Z739))</f>
        <v>1.1111111111111112</v>
      </c>
      <c r="AC739" s="259">
        <f>SUM(I739:AA739)</f>
        <v>101</v>
      </c>
      <c r="AD739" s="35"/>
      <c r="AE739" s="35"/>
      <c r="AF739" s="35"/>
      <c r="AG739" s="33" t="s">
        <v>144</v>
      </c>
      <c r="AH739" s="33" t="s">
        <v>511</v>
      </c>
      <c r="AI739" s="38" t="s">
        <v>512</v>
      </c>
      <c r="AJ739" s="38"/>
      <c r="AK739" s="33"/>
      <c r="AL739" s="39">
        <f>(B739-DATE(1970,1,1))*86400</f>
        <v>1681171200</v>
      </c>
      <c r="AM739" s="39">
        <f>(C739-DATE(1970,1,1))*86400</f>
        <v>1681344000</v>
      </c>
      <c r="AN739" s="39">
        <f>AVERAGE(AL739:AM739)</f>
        <v>1681257600</v>
      </c>
      <c r="AO739"/>
      <c r="AP739"/>
      <c r="AQ739"/>
      <c r="AR739"/>
      <c r="AS739"/>
      <c r="AT739"/>
      <c r="AU739"/>
      <c r="AV739"/>
      <c r="AW739"/>
      <c r="AX739"/>
      <c r="AY739"/>
      <c r="AZ739"/>
      <c r="BA739"/>
      <c r="BB739"/>
      <c r="BC739"/>
      <c r="BD739"/>
      <c r="BE739"/>
      <c r="BF739"/>
      <c r="BG739"/>
      <c r="BH739"/>
      <c r="BI739"/>
      <c r="BJ739"/>
      <c r="BK739"/>
      <c r="BL739"/>
      <c r="BM739"/>
    </row>
    <row r="740" spans="1:65" s="436" customFormat="1" ht="15.75" customHeight="1" x14ac:dyDescent="0.2">
      <c r="A740" s="287" t="s">
        <v>133</v>
      </c>
      <c r="B740" s="187">
        <v>45017</v>
      </c>
      <c r="C740" s="187">
        <v>45031</v>
      </c>
      <c r="D740" s="69" t="s">
        <v>183</v>
      </c>
      <c r="E740" s="333" t="s">
        <v>184</v>
      </c>
      <c r="F740" s="69" t="s">
        <v>140</v>
      </c>
      <c r="G740" s="69" t="s">
        <v>504</v>
      </c>
      <c r="H740" s="360">
        <v>1000</v>
      </c>
      <c r="I740" s="71"/>
      <c r="J740" s="71"/>
      <c r="K740" s="71"/>
      <c r="L740" s="71"/>
      <c r="M740" s="71"/>
      <c r="N740" s="71"/>
      <c r="O740" s="71"/>
      <c r="P740" s="71"/>
      <c r="Q740" s="71"/>
      <c r="R740" s="72"/>
      <c r="S740" s="71"/>
      <c r="T740" s="71"/>
      <c r="U740" s="71"/>
      <c r="V740" s="71"/>
      <c r="W740" s="71"/>
      <c r="X740" s="71"/>
      <c r="Y740" s="71"/>
      <c r="Z740" s="71"/>
      <c r="AA740" s="71"/>
      <c r="AB740" s="73" t="e">
        <f>100/(SUM(I740:Z740))</f>
        <v>#DIV/0!</v>
      </c>
      <c r="AC740" s="259">
        <f>SUM(I740:AA740)</f>
        <v>0</v>
      </c>
      <c r="AD740" s="71"/>
      <c r="AE740" s="71"/>
      <c r="AF740" s="71"/>
      <c r="AG740" s="112" t="s">
        <v>505</v>
      </c>
      <c r="AH740" s="75" t="s">
        <v>507</v>
      </c>
      <c r="AI740" s="75"/>
      <c r="AJ740" s="75"/>
      <c r="AK740" s="69" t="s">
        <v>2294</v>
      </c>
      <c r="AL740" s="74">
        <f>(B740-DATE(1970,1,1))*86400</f>
        <v>1680307200</v>
      </c>
      <c r="AM740" s="74">
        <f>(C740-DATE(1970,1,1))*86400</f>
        <v>1681516800</v>
      </c>
      <c r="AN740" s="74">
        <f>AVERAGE(AL740:AM740)</f>
        <v>1680912000</v>
      </c>
      <c r="AO740"/>
      <c r="AP740"/>
      <c r="AQ740"/>
      <c r="AR740"/>
      <c r="AS740"/>
      <c r="AT740"/>
      <c r="AU740"/>
      <c r="AV740"/>
      <c r="AW740"/>
      <c r="AX740"/>
      <c r="AY740"/>
      <c r="AZ740"/>
      <c r="BA740"/>
      <c r="BB740"/>
      <c r="BC740"/>
      <c r="BD740"/>
      <c r="BE740"/>
      <c r="BF740"/>
      <c r="BG740"/>
      <c r="BH740"/>
      <c r="BI740"/>
      <c r="BJ740"/>
      <c r="BK740"/>
      <c r="BL740"/>
      <c r="BM740"/>
    </row>
    <row r="741" spans="1:65" s="436" customFormat="1" ht="15.75" customHeight="1" x14ac:dyDescent="0.2">
      <c r="A741" s="284" t="s">
        <v>133</v>
      </c>
      <c r="B741" s="20">
        <v>45010</v>
      </c>
      <c r="C741" s="20">
        <v>45029</v>
      </c>
      <c r="D741" s="19" t="s">
        <v>134</v>
      </c>
      <c r="E741" s="332" t="s">
        <v>125</v>
      </c>
      <c r="F741" s="19"/>
      <c r="G741" s="19" t="s">
        <v>135</v>
      </c>
      <c r="H741" s="332">
        <v>1800</v>
      </c>
      <c r="I741" s="21">
        <v>30</v>
      </c>
      <c r="J741" s="21">
        <v>1</v>
      </c>
      <c r="K741" s="21">
        <v>1</v>
      </c>
      <c r="L741" s="21">
        <v>1</v>
      </c>
      <c r="M741" s="21">
        <v>12</v>
      </c>
      <c r="N741" s="21"/>
      <c r="O741" s="21">
        <v>1</v>
      </c>
      <c r="P741" s="21">
        <v>5</v>
      </c>
      <c r="Q741" s="21"/>
      <c r="R741" s="22"/>
      <c r="S741" s="21"/>
      <c r="T741" s="21"/>
      <c r="U741" s="21"/>
      <c r="V741" s="21">
        <v>4</v>
      </c>
      <c r="W741" s="21"/>
      <c r="X741" s="21">
        <v>6</v>
      </c>
      <c r="Y741" s="21"/>
      <c r="Z741" s="21">
        <v>2</v>
      </c>
      <c r="AA741" s="21">
        <v>37</v>
      </c>
      <c r="AB741" s="23">
        <f>100/(SUM(I741:Z741))</f>
        <v>1.5873015873015872</v>
      </c>
      <c r="AC741" s="259">
        <f>SUM(I741:AA741)</f>
        <v>100</v>
      </c>
      <c r="AD741" s="24"/>
      <c r="AE741" s="24"/>
      <c r="AF741" s="24"/>
      <c r="AG741" s="25" t="s">
        <v>127</v>
      </c>
      <c r="AH741" s="26"/>
      <c r="AI741" s="26" t="s">
        <v>513</v>
      </c>
      <c r="AJ741" s="83"/>
      <c r="AK741" s="19"/>
      <c r="AL741" s="25">
        <f>(B741-DATE(1970,1,1))*86400</f>
        <v>1679702400</v>
      </c>
      <c r="AM741" s="25">
        <f>(C741-DATE(1970,1,1))*86400</f>
        <v>1681344000</v>
      </c>
      <c r="AN741" s="25">
        <f>AVERAGE(AL741:AM741)</f>
        <v>1680523200</v>
      </c>
      <c r="AO741"/>
      <c r="AP741"/>
      <c r="AQ741"/>
      <c r="AR741"/>
      <c r="AS741"/>
      <c r="AT741"/>
      <c r="AU741"/>
      <c r="AV741"/>
      <c r="AW741"/>
      <c r="AX741"/>
      <c r="AY741"/>
      <c r="AZ741"/>
      <c r="BA741"/>
      <c r="BB741"/>
      <c r="BC741"/>
      <c r="BD741"/>
      <c r="BE741"/>
      <c r="BF741"/>
      <c r="BG741"/>
      <c r="BH741"/>
      <c r="BI741"/>
      <c r="BJ741"/>
      <c r="BK741"/>
      <c r="BL741"/>
      <c r="BM741"/>
    </row>
    <row r="742" spans="1:65" s="436" customFormat="1" ht="15.75" customHeight="1" x14ac:dyDescent="0.2">
      <c r="A742" s="284" t="s">
        <v>123</v>
      </c>
      <c r="B742" s="20">
        <v>45010</v>
      </c>
      <c r="C742" s="20">
        <v>45029</v>
      </c>
      <c r="D742" s="19" t="s">
        <v>134</v>
      </c>
      <c r="E742" s="332" t="s">
        <v>125</v>
      </c>
      <c r="F742" s="19"/>
      <c r="G742" s="19" t="s">
        <v>135</v>
      </c>
      <c r="H742" s="332">
        <v>1800</v>
      </c>
      <c r="I742" s="21">
        <v>49</v>
      </c>
      <c r="J742" s="21">
        <v>2</v>
      </c>
      <c r="K742" s="21">
        <v>1</v>
      </c>
      <c r="L742" s="21">
        <v>2</v>
      </c>
      <c r="M742" s="21">
        <v>20</v>
      </c>
      <c r="N742" s="21"/>
      <c r="O742" s="21">
        <v>1</v>
      </c>
      <c r="P742" s="21">
        <v>8</v>
      </c>
      <c r="Q742" s="21"/>
      <c r="R742" s="22"/>
      <c r="S742" s="21"/>
      <c r="T742" s="21"/>
      <c r="U742" s="21"/>
      <c r="V742" s="21">
        <v>5</v>
      </c>
      <c r="W742" s="21"/>
      <c r="X742" s="21">
        <v>9</v>
      </c>
      <c r="Y742" s="21"/>
      <c r="Z742" s="21">
        <v>3</v>
      </c>
      <c r="AA742" s="21">
        <v>0</v>
      </c>
      <c r="AB742" s="23">
        <f>100/(SUM(I742:Z742))</f>
        <v>1</v>
      </c>
      <c r="AC742" s="259">
        <f>SUM(I742:AA742)</f>
        <v>100</v>
      </c>
      <c r="AD742" s="24"/>
      <c r="AE742" s="24"/>
      <c r="AF742" s="24"/>
      <c r="AG742" s="25" t="s">
        <v>127</v>
      </c>
      <c r="AH742" s="26"/>
      <c r="AI742" s="26" t="s">
        <v>513</v>
      </c>
      <c r="AJ742" s="83"/>
      <c r="AK742" s="19"/>
      <c r="AL742" s="25">
        <f>(B742-DATE(1970,1,1))*86400</f>
        <v>1679702400</v>
      </c>
      <c r="AM742" s="25">
        <f>(C742-DATE(1970,1,1))*86400</f>
        <v>1681344000</v>
      </c>
      <c r="AN742" s="25">
        <f>AVERAGE(AL742:AM742)</f>
        <v>1680523200</v>
      </c>
      <c r="AO742"/>
      <c r="AP742"/>
      <c r="AQ742"/>
      <c r="AR742"/>
      <c r="AS742"/>
      <c r="AT742"/>
      <c r="AU742"/>
      <c r="AV742"/>
      <c r="AW742"/>
      <c r="AX742"/>
      <c r="AY742"/>
      <c r="AZ742"/>
      <c r="BA742"/>
      <c r="BB742"/>
      <c r="BC742"/>
      <c r="BD742"/>
      <c r="BE742"/>
      <c r="BF742"/>
      <c r="BG742"/>
      <c r="BH742"/>
      <c r="BI742"/>
      <c r="BJ742"/>
      <c r="BK742"/>
      <c r="BL742"/>
      <c r="BM742"/>
    </row>
    <row r="743" spans="1:65" s="436" customFormat="1" ht="15.75" customHeight="1" x14ac:dyDescent="0.2">
      <c r="A743" s="281" t="s">
        <v>133</v>
      </c>
      <c r="B743" s="54">
        <v>45015</v>
      </c>
      <c r="C743" s="54">
        <v>45020</v>
      </c>
      <c r="D743" s="53" t="s">
        <v>154</v>
      </c>
      <c r="E743" s="323" t="s">
        <v>125</v>
      </c>
      <c r="F743" s="53" t="s">
        <v>140</v>
      </c>
      <c r="G743" s="53" t="s">
        <v>126</v>
      </c>
      <c r="H743" s="357">
        <v>1007</v>
      </c>
      <c r="I743" s="55"/>
      <c r="J743" s="55"/>
      <c r="K743" s="55"/>
      <c r="L743" s="55"/>
      <c r="M743" s="55"/>
      <c r="N743" s="55"/>
      <c r="O743" s="55"/>
      <c r="P743" s="55"/>
      <c r="Q743" s="55"/>
      <c r="R743" s="56"/>
      <c r="S743" s="55"/>
      <c r="T743" s="55"/>
      <c r="U743" s="55"/>
      <c r="V743" s="55"/>
      <c r="W743" s="55"/>
      <c r="X743" s="55"/>
      <c r="Y743" s="55"/>
      <c r="Z743" s="55"/>
      <c r="AA743" s="55"/>
      <c r="AB743" s="57" t="e">
        <f>100/(SUM(I743:Z743))</f>
        <v>#DIV/0!</v>
      </c>
      <c r="AC743" s="259">
        <f>SUM(I743:AA743)</f>
        <v>0</v>
      </c>
      <c r="AD743" s="55"/>
      <c r="AE743" s="55"/>
      <c r="AF743" s="55"/>
      <c r="AG743" s="58" t="s">
        <v>155</v>
      </c>
      <c r="AH743" s="59"/>
      <c r="AI743" s="59" t="s">
        <v>514</v>
      </c>
      <c r="AJ743" s="59" t="s">
        <v>515</v>
      </c>
      <c r="AK743" s="53"/>
      <c r="AL743" s="58">
        <f>(B743-DATE(1970,1,1))*86400</f>
        <v>1680134400</v>
      </c>
      <c r="AM743" s="58">
        <f>(C743-DATE(1970,1,1))*86400</f>
        <v>1680566400</v>
      </c>
      <c r="AN743" s="58">
        <f>AVERAGE(AL743:AM743)</f>
        <v>1680350400</v>
      </c>
      <c r="AO743"/>
      <c r="AP743"/>
      <c r="AQ743"/>
      <c r="AR743"/>
      <c r="AS743"/>
      <c r="AT743"/>
      <c r="AU743"/>
      <c r="AV743"/>
      <c r="AW743"/>
      <c r="AX743"/>
      <c r="AY743"/>
      <c r="AZ743"/>
      <c r="BA743"/>
      <c r="BB743"/>
      <c r="BC743"/>
      <c r="BD743"/>
      <c r="BE743"/>
      <c r="BF743"/>
      <c r="BG743"/>
      <c r="BH743"/>
      <c r="BI743"/>
      <c r="BJ743"/>
      <c r="BK743"/>
      <c r="BL743"/>
      <c r="BM743"/>
    </row>
    <row r="744" spans="1:65" s="436" customFormat="1" ht="15.75" customHeight="1" x14ac:dyDescent="0.2">
      <c r="A744" s="279" t="s">
        <v>123</v>
      </c>
      <c r="B744" s="14">
        <v>45012</v>
      </c>
      <c r="C744" s="14">
        <v>45014</v>
      </c>
      <c r="D744" s="13" t="s">
        <v>124</v>
      </c>
      <c r="E744" s="324" t="s">
        <v>125</v>
      </c>
      <c r="F744" s="13" t="s">
        <v>390</v>
      </c>
      <c r="G744" s="13" t="s">
        <v>126</v>
      </c>
      <c r="H744" s="349">
        <v>1000</v>
      </c>
      <c r="I744" s="15">
        <v>51</v>
      </c>
      <c r="J744" s="15"/>
      <c r="K744" s="15"/>
      <c r="L744" s="15"/>
      <c r="M744" s="15"/>
      <c r="N744" s="15"/>
      <c r="O744" s="15"/>
      <c r="P744" s="15"/>
      <c r="Q744" s="15"/>
      <c r="R744" s="98"/>
      <c r="S744" s="15"/>
      <c r="T744" s="15"/>
      <c r="U744" s="15">
        <v>26</v>
      </c>
      <c r="V744" s="15">
        <v>8</v>
      </c>
      <c r="W744" s="15"/>
      <c r="X744" s="15">
        <v>12</v>
      </c>
      <c r="Y744" s="15"/>
      <c r="Z744" s="15">
        <v>3</v>
      </c>
      <c r="AA744" s="15">
        <v>0</v>
      </c>
      <c r="AB744" s="16">
        <f>100/(SUM(I744:Z744))</f>
        <v>1</v>
      </c>
      <c r="AC744" s="259">
        <f>SUM(I744:AA744)</f>
        <v>100</v>
      </c>
      <c r="AD744" s="15"/>
      <c r="AE744" s="15"/>
      <c r="AF744" s="15"/>
      <c r="AG744" s="17" t="s">
        <v>127</v>
      </c>
      <c r="AH744" s="18" t="s">
        <v>516</v>
      </c>
      <c r="AI744" s="18"/>
      <c r="AJ744" s="18"/>
      <c r="AK744" s="13" t="s">
        <v>517</v>
      </c>
      <c r="AL744" s="17">
        <f>(B744-DATE(1970,1,1))*86400</f>
        <v>1679875200</v>
      </c>
      <c r="AM744" s="17">
        <f>(C744-DATE(1970,1,1))*86400</f>
        <v>1680048000</v>
      </c>
      <c r="AN744" s="17">
        <f>AVERAGE(AL744:AM744)</f>
        <v>1679961600</v>
      </c>
      <c r="AO744"/>
      <c r="AP744"/>
      <c r="AQ744"/>
      <c r="AR744"/>
      <c r="AS744"/>
      <c r="AT744"/>
      <c r="AU744"/>
      <c r="AV744"/>
      <c r="AW744"/>
      <c r="AX744"/>
      <c r="AY744"/>
      <c r="AZ744"/>
      <c r="BA744"/>
      <c r="BB744"/>
      <c r="BC744"/>
      <c r="BD744"/>
      <c r="BE744"/>
      <c r="BF744"/>
      <c r="BG744"/>
      <c r="BH744"/>
      <c r="BI744"/>
      <c r="BJ744"/>
      <c r="BK744"/>
      <c r="BL744"/>
      <c r="BM744"/>
    </row>
    <row r="745" spans="1:65" s="436" customFormat="1" ht="15.75" customHeight="1" x14ac:dyDescent="0.2">
      <c r="A745" s="303" t="s">
        <v>123</v>
      </c>
      <c r="B745" s="48">
        <v>45012</v>
      </c>
      <c r="C745" s="48">
        <v>45014</v>
      </c>
      <c r="D745" s="47" t="s">
        <v>152</v>
      </c>
      <c r="E745" s="337" t="s">
        <v>125</v>
      </c>
      <c r="F745" s="47"/>
      <c r="G745" s="47" t="s">
        <v>126</v>
      </c>
      <c r="H745" s="370">
        <v>1000</v>
      </c>
      <c r="I745" s="49">
        <v>52</v>
      </c>
      <c r="J745" s="49">
        <v>2</v>
      </c>
      <c r="K745" s="49">
        <v>4</v>
      </c>
      <c r="L745" s="49">
        <v>3</v>
      </c>
      <c r="M745" s="49">
        <v>12</v>
      </c>
      <c r="N745" s="49"/>
      <c r="O745" s="49">
        <v>1</v>
      </c>
      <c r="P745" s="49">
        <v>6</v>
      </c>
      <c r="Q745" s="49"/>
      <c r="R745" s="49"/>
      <c r="S745" s="49">
        <v>2</v>
      </c>
      <c r="T745" s="49"/>
      <c r="U745" s="49"/>
      <c r="V745" s="49">
        <v>10</v>
      </c>
      <c r="W745" s="49"/>
      <c r="X745" s="49">
        <v>8</v>
      </c>
      <c r="Y745" s="49"/>
      <c r="Z745" s="49">
        <v>0</v>
      </c>
      <c r="AA745" s="49">
        <v>0</v>
      </c>
      <c r="AB745" s="50">
        <f>100/(SUM(I745:Z745))</f>
        <v>1</v>
      </c>
      <c r="AC745" s="259">
        <f>SUM(I745:AA745)</f>
        <v>100</v>
      </c>
      <c r="AD745" s="49"/>
      <c r="AE745" s="113"/>
      <c r="AF745" s="49"/>
      <c r="AG745" s="51" t="s">
        <v>127</v>
      </c>
      <c r="AH745" s="52" t="s">
        <v>518</v>
      </c>
      <c r="AI745" s="52"/>
      <c r="AJ745" s="52"/>
      <c r="AK745" s="47" t="s">
        <v>519</v>
      </c>
      <c r="AL745" s="51">
        <f>(B745-DATE(1970,1,1))*86400</f>
        <v>1679875200</v>
      </c>
      <c r="AM745" s="51">
        <f>(C745-DATE(1970,1,1))*86400</f>
        <v>1680048000</v>
      </c>
      <c r="AN745" s="51">
        <f>AVERAGE(AL745:AM745)</f>
        <v>1679961600</v>
      </c>
      <c r="AO745"/>
      <c r="AP745"/>
      <c r="AQ745"/>
      <c r="AR745"/>
      <c r="AS745"/>
      <c r="AT745"/>
      <c r="AU745"/>
      <c r="AV745"/>
      <c r="AW745"/>
      <c r="AX745"/>
      <c r="AY745"/>
      <c r="AZ745"/>
      <c r="BA745"/>
      <c r="BB745"/>
      <c r="BC745"/>
      <c r="BD745"/>
      <c r="BE745"/>
      <c r="BF745"/>
      <c r="BG745"/>
      <c r="BH745"/>
      <c r="BI745"/>
      <c r="BJ745"/>
      <c r="BK745"/>
      <c r="BL745"/>
      <c r="BM745"/>
    </row>
    <row r="746" spans="1:65" s="436" customFormat="1" ht="15.75" customHeight="1" x14ac:dyDescent="0.2">
      <c r="A746" s="288" t="s">
        <v>133</v>
      </c>
      <c r="B746" s="60">
        <v>45005</v>
      </c>
      <c r="C746" s="60">
        <v>45009</v>
      </c>
      <c r="D746" s="61" t="s">
        <v>168</v>
      </c>
      <c r="E746" s="334" t="s">
        <v>125</v>
      </c>
      <c r="F746" s="61"/>
      <c r="G746" s="61" t="s">
        <v>126</v>
      </c>
      <c r="H746" s="334">
        <v>1000</v>
      </c>
      <c r="I746" s="63">
        <v>34</v>
      </c>
      <c r="J746" s="63">
        <v>3</v>
      </c>
      <c r="K746" s="63">
        <v>2</v>
      </c>
      <c r="L746" s="63">
        <v>3</v>
      </c>
      <c r="M746" s="63">
        <v>14</v>
      </c>
      <c r="N746" s="63"/>
      <c r="O746" s="63">
        <v>1</v>
      </c>
      <c r="P746" s="63">
        <v>6</v>
      </c>
      <c r="Q746" s="63"/>
      <c r="R746" s="64"/>
      <c r="S746" s="63"/>
      <c r="T746" s="63"/>
      <c r="U746" s="63"/>
      <c r="V746" s="63">
        <v>3</v>
      </c>
      <c r="W746" s="63"/>
      <c r="X746" s="63">
        <v>6</v>
      </c>
      <c r="Y746" s="63"/>
      <c r="Z746" s="63">
        <v>0</v>
      </c>
      <c r="AA746" s="63">
        <v>28</v>
      </c>
      <c r="AB746" s="65">
        <f>100/(SUM(I746:Z746))</f>
        <v>1.3888888888888888</v>
      </c>
      <c r="AC746" s="259">
        <f>SUM(I746:AA746)</f>
        <v>100</v>
      </c>
      <c r="AD746" s="63">
        <v>65</v>
      </c>
      <c r="AE746" s="64"/>
      <c r="AF746" s="64"/>
      <c r="AG746" s="66" t="s">
        <v>127</v>
      </c>
      <c r="AH746" s="67" t="s">
        <v>520</v>
      </c>
      <c r="AI746" s="67"/>
      <c r="AJ746" s="67"/>
      <c r="AK746" s="61" t="s">
        <v>521</v>
      </c>
      <c r="AL746" s="66">
        <f>(B746-DATE(1970,1,1))*86400</f>
        <v>1679270400</v>
      </c>
      <c r="AM746" s="66">
        <f>(C746-DATE(1970,1,1))*86400</f>
        <v>1679616000</v>
      </c>
      <c r="AN746" s="66">
        <f>AVERAGE(AL746:AM746)</f>
        <v>1679443200</v>
      </c>
      <c r="AO746"/>
      <c r="AP746"/>
      <c r="AQ746"/>
      <c r="AR746"/>
      <c r="AS746"/>
      <c r="AT746"/>
      <c r="AU746"/>
      <c r="AV746"/>
      <c r="AW746"/>
      <c r="AX746"/>
      <c r="AY746"/>
      <c r="AZ746"/>
      <c r="BA746"/>
      <c r="BB746"/>
      <c r="BC746"/>
      <c r="BD746"/>
      <c r="BE746"/>
      <c r="BF746"/>
      <c r="BG746"/>
      <c r="BH746"/>
      <c r="BI746"/>
      <c r="BJ746"/>
      <c r="BK746"/>
      <c r="BL746"/>
      <c r="BM746"/>
    </row>
    <row r="747" spans="1:65" s="436" customFormat="1" ht="15.75" customHeight="1" x14ac:dyDescent="0.2">
      <c r="A747" s="288" t="s">
        <v>133</v>
      </c>
      <c r="B747" s="60">
        <v>45005</v>
      </c>
      <c r="C747" s="60">
        <v>45009</v>
      </c>
      <c r="D747" s="61" t="s">
        <v>168</v>
      </c>
      <c r="E747" s="334" t="s">
        <v>125</v>
      </c>
      <c r="F747" s="61"/>
      <c r="G747" s="61" t="s">
        <v>126</v>
      </c>
      <c r="H747" s="334">
        <v>1000</v>
      </c>
      <c r="I747" s="63">
        <v>47</v>
      </c>
      <c r="J747" s="63">
        <v>5</v>
      </c>
      <c r="K747" s="63">
        <v>3</v>
      </c>
      <c r="L747" s="63">
        <v>4</v>
      </c>
      <c r="M747" s="63">
        <v>20</v>
      </c>
      <c r="N747" s="63"/>
      <c r="O747" s="63">
        <v>2</v>
      </c>
      <c r="P747" s="63">
        <v>8</v>
      </c>
      <c r="Q747" s="63"/>
      <c r="R747" s="64"/>
      <c r="S747" s="63"/>
      <c r="T747" s="63"/>
      <c r="U747" s="63"/>
      <c r="V747" s="63">
        <v>3</v>
      </c>
      <c r="W747" s="63"/>
      <c r="X747" s="63">
        <v>8</v>
      </c>
      <c r="Y747" s="63"/>
      <c r="Z747" s="63">
        <v>0</v>
      </c>
      <c r="AA747" s="63">
        <v>0</v>
      </c>
      <c r="AB747" s="65">
        <f>100/(SUM(I747:Z747))</f>
        <v>1</v>
      </c>
      <c r="AC747" s="259">
        <f>SUM(I747:AA747)</f>
        <v>100</v>
      </c>
      <c r="AD747" s="63"/>
      <c r="AE747" s="64"/>
      <c r="AF747" s="64"/>
      <c r="AG747" s="66" t="s">
        <v>127</v>
      </c>
      <c r="AH747" s="67" t="s">
        <v>520</v>
      </c>
      <c r="AI747" s="67"/>
      <c r="AJ747" s="67"/>
      <c r="AK747" s="61" t="s">
        <v>138</v>
      </c>
      <c r="AL747" s="66">
        <f>(B747-DATE(1970,1,1))*86400</f>
        <v>1679270400</v>
      </c>
      <c r="AM747" s="66">
        <f>(C747-DATE(1970,1,1))*86400</f>
        <v>1679616000</v>
      </c>
      <c r="AN747" s="66">
        <f>AVERAGE(AL747:AM747)</f>
        <v>1679443200</v>
      </c>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row>
    <row r="748" spans="1:65" s="436" customFormat="1" ht="15.75" customHeight="1" x14ac:dyDescent="0.2">
      <c r="A748" s="280" t="s">
        <v>123</v>
      </c>
      <c r="B748" s="108">
        <v>44986</v>
      </c>
      <c r="C748" s="108">
        <v>45015</v>
      </c>
      <c r="D748" s="76" t="s">
        <v>200</v>
      </c>
      <c r="E748" s="320" t="s">
        <v>125</v>
      </c>
      <c r="F748" s="76" t="s">
        <v>390</v>
      </c>
      <c r="G748" s="76" t="s">
        <v>126</v>
      </c>
      <c r="H748" s="320">
        <v>1000</v>
      </c>
      <c r="I748" s="78">
        <v>42</v>
      </c>
      <c r="J748" s="78"/>
      <c r="K748" s="78"/>
      <c r="L748" s="78"/>
      <c r="M748" s="78"/>
      <c r="N748" s="78"/>
      <c r="O748" s="78"/>
      <c r="P748" s="78"/>
      <c r="Q748" s="78"/>
      <c r="R748" s="78"/>
      <c r="S748" s="78"/>
      <c r="T748" s="78"/>
      <c r="U748" s="78">
        <v>25</v>
      </c>
      <c r="V748" s="78">
        <v>11</v>
      </c>
      <c r="W748" s="78"/>
      <c r="X748" s="78">
        <v>9</v>
      </c>
      <c r="Y748" s="78"/>
      <c r="Z748" s="78">
        <v>2</v>
      </c>
      <c r="AA748" s="78">
        <v>12</v>
      </c>
      <c r="AB748" s="79">
        <f>100/(SUM(I748:Z748))</f>
        <v>1.1235955056179776</v>
      </c>
      <c r="AC748" s="259">
        <f>SUM(I748:AA748)</f>
        <v>101</v>
      </c>
      <c r="AD748" s="78"/>
      <c r="AE748" s="78"/>
      <c r="AF748" s="78"/>
      <c r="AG748" s="80" t="s">
        <v>127</v>
      </c>
      <c r="AH748" s="81" t="s">
        <v>522</v>
      </c>
      <c r="AI748" s="81" t="s">
        <v>523</v>
      </c>
      <c r="AJ748" s="81"/>
      <c r="AK748" s="76" t="s">
        <v>524</v>
      </c>
      <c r="AL748" s="80">
        <f>(B748-DATE(1970,1,1))*86400</f>
        <v>1677628800</v>
      </c>
      <c r="AM748" s="80">
        <f>(C748-DATE(1970,1,1))*86400</f>
        <v>1680134400</v>
      </c>
      <c r="AN748" s="80">
        <f>AVERAGE(AL748:AM748)</f>
        <v>1678881600</v>
      </c>
      <c r="AO748"/>
      <c r="AP748"/>
      <c r="AQ748"/>
      <c r="AR748"/>
      <c r="AS748"/>
      <c r="AT748"/>
      <c r="AU748"/>
      <c r="AV748"/>
      <c r="AW748"/>
      <c r="AX748"/>
      <c r="AY748"/>
      <c r="AZ748"/>
      <c r="BA748"/>
      <c r="BB748"/>
      <c r="BC748"/>
      <c r="BD748"/>
      <c r="BE748"/>
      <c r="BF748"/>
      <c r="BG748"/>
      <c r="BH748"/>
      <c r="BI748"/>
      <c r="BJ748"/>
      <c r="BK748"/>
      <c r="BL748"/>
      <c r="BM748"/>
    </row>
    <row r="749" spans="1:65" s="436" customFormat="1" ht="15.75" customHeight="1" x14ac:dyDescent="0.2">
      <c r="A749" s="280" t="s">
        <v>123</v>
      </c>
      <c r="B749" s="108">
        <v>44986</v>
      </c>
      <c r="C749" s="108">
        <v>45015</v>
      </c>
      <c r="D749" s="76" t="s">
        <v>200</v>
      </c>
      <c r="E749" s="320" t="s">
        <v>125</v>
      </c>
      <c r="F749" s="76"/>
      <c r="G749" s="76" t="s">
        <v>126</v>
      </c>
      <c r="H749" s="320">
        <v>1000</v>
      </c>
      <c r="I749" s="78">
        <v>40</v>
      </c>
      <c r="J749" s="78">
        <v>1</v>
      </c>
      <c r="K749" s="78">
        <v>2</v>
      </c>
      <c r="L749" s="78">
        <v>2</v>
      </c>
      <c r="M749" s="78">
        <v>9</v>
      </c>
      <c r="N749" s="78"/>
      <c r="O749" s="78">
        <v>1</v>
      </c>
      <c r="P749" s="78">
        <v>8</v>
      </c>
      <c r="Q749" s="78"/>
      <c r="R749" s="78"/>
      <c r="S749" s="78"/>
      <c r="T749" s="78"/>
      <c r="U749" s="78"/>
      <c r="V749" s="78">
        <v>11</v>
      </c>
      <c r="W749" s="78"/>
      <c r="X749" s="78">
        <v>9</v>
      </c>
      <c r="Y749" s="78"/>
      <c r="Z749" s="78">
        <v>5</v>
      </c>
      <c r="AA749" s="78">
        <v>12</v>
      </c>
      <c r="AB749" s="79">
        <f>100/(SUM(I749:Z749))</f>
        <v>1.1363636363636365</v>
      </c>
      <c r="AC749" s="259">
        <f>SUM(I749:AA749)</f>
        <v>100</v>
      </c>
      <c r="AD749" s="78"/>
      <c r="AE749" s="78"/>
      <c r="AF749" s="78"/>
      <c r="AG749" s="80" t="s">
        <v>127</v>
      </c>
      <c r="AH749" s="81" t="s">
        <v>522</v>
      </c>
      <c r="AI749" s="81" t="s">
        <v>523</v>
      </c>
      <c r="AJ749" s="81"/>
      <c r="AK749" s="76" t="s">
        <v>525</v>
      </c>
      <c r="AL749" s="80">
        <f>(B749-DATE(1970,1,1))*86400</f>
        <v>1677628800</v>
      </c>
      <c r="AM749" s="80">
        <f>(C749-DATE(1970,1,1))*86400</f>
        <v>1680134400</v>
      </c>
      <c r="AN749" s="80">
        <f>AVERAGE(AL749:AM749)</f>
        <v>1678881600</v>
      </c>
      <c r="AO749"/>
      <c r="AP749"/>
      <c r="AQ749"/>
      <c r="AR749"/>
      <c r="AS749"/>
      <c r="AT749"/>
      <c r="AU749"/>
      <c r="AV749"/>
      <c r="AW749"/>
      <c r="AX749"/>
      <c r="AY749"/>
      <c r="AZ749"/>
      <c r="BA749"/>
      <c r="BB749"/>
      <c r="BC749"/>
      <c r="BD749"/>
      <c r="BE749"/>
      <c r="BF749"/>
      <c r="BG749"/>
      <c r="BH749"/>
      <c r="BI749"/>
      <c r="BJ749"/>
      <c r="BK749"/>
      <c r="BL749"/>
      <c r="BM749"/>
    </row>
    <row r="750" spans="1:65" s="436" customFormat="1" ht="15.75" customHeight="1" x14ac:dyDescent="0.2">
      <c r="A750" s="284" t="s">
        <v>133</v>
      </c>
      <c r="B750" s="20">
        <v>44991</v>
      </c>
      <c r="C750" s="20">
        <v>45007</v>
      </c>
      <c r="D750" s="19" t="s">
        <v>134</v>
      </c>
      <c r="E750" s="332" t="s">
        <v>125</v>
      </c>
      <c r="F750" s="19" t="s">
        <v>140</v>
      </c>
      <c r="G750" s="19" t="s">
        <v>135</v>
      </c>
      <c r="H750" s="332">
        <v>1500</v>
      </c>
      <c r="I750" s="21"/>
      <c r="J750" s="21"/>
      <c r="K750" s="21"/>
      <c r="L750" s="21"/>
      <c r="M750" s="21"/>
      <c r="N750" s="21"/>
      <c r="O750" s="21"/>
      <c r="P750" s="21"/>
      <c r="Q750" s="21"/>
      <c r="R750" s="22"/>
      <c r="S750" s="21"/>
      <c r="T750" s="21"/>
      <c r="U750" s="21"/>
      <c r="V750" s="21"/>
      <c r="W750" s="21"/>
      <c r="X750" s="21"/>
      <c r="Y750" s="21"/>
      <c r="Z750" s="21"/>
      <c r="AA750" s="21"/>
      <c r="AB750" s="23" t="e">
        <f>100/(SUM(I750:Z750))</f>
        <v>#DIV/0!</v>
      </c>
      <c r="AC750" s="259">
        <f>SUM(I750:AA750)</f>
        <v>0</v>
      </c>
      <c r="AD750" s="24"/>
      <c r="AE750" s="24"/>
      <c r="AF750" s="24"/>
      <c r="AG750" s="25" t="s">
        <v>127</v>
      </c>
      <c r="AH750" s="26"/>
      <c r="AI750" s="83"/>
      <c r="AJ750" s="83" t="s">
        <v>526</v>
      </c>
      <c r="AK750" s="19"/>
      <c r="AL750" s="25">
        <f>(B750-DATE(1970,1,1))*86400</f>
        <v>1678060800</v>
      </c>
      <c r="AM750" s="25">
        <f>(C750-DATE(1970,1,1))*86400</f>
        <v>1679443200</v>
      </c>
      <c r="AN750" s="25">
        <f>AVERAGE(AL750:AM750)</f>
        <v>1678752000</v>
      </c>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row>
    <row r="751" spans="1:65" s="436" customFormat="1" ht="15.75" customHeight="1" x14ac:dyDescent="0.2">
      <c r="A751" s="279" t="s">
        <v>123</v>
      </c>
      <c r="B751" s="14">
        <v>44991</v>
      </c>
      <c r="C751" s="14">
        <v>44993</v>
      </c>
      <c r="D751" s="13" t="s">
        <v>124</v>
      </c>
      <c r="E751" s="324" t="s">
        <v>125</v>
      </c>
      <c r="F751" s="13" t="s">
        <v>140</v>
      </c>
      <c r="G751" s="13" t="s">
        <v>126</v>
      </c>
      <c r="H751" s="349">
        <v>1000</v>
      </c>
      <c r="I751" s="15"/>
      <c r="J751" s="15"/>
      <c r="K751" s="15"/>
      <c r="L751" s="15"/>
      <c r="M751" s="15"/>
      <c r="N751" s="15"/>
      <c r="O751" s="15"/>
      <c r="P751" s="15"/>
      <c r="Q751" s="15"/>
      <c r="R751" s="98"/>
      <c r="S751" s="15"/>
      <c r="T751" s="15"/>
      <c r="U751" s="15"/>
      <c r="V751" s="15"/>
      <c r="W751" s="15"/>
      <c r="X751" s="15"/>
      <c r="Y751" s="15"/>
      <c r="Z751" s="15"/>
      <c r="AA751" s="15"/>
      <c r="AB751" s="16" t="e">
        <f>100/(SUM(I751:Z751))</f>
        <v>#DIV/0!</v>
      </c>
      <c r="AC751" s="259">
        <f>SUM(I751:AA751)</f>
        <v>0</v>
      </c>
      <c r="AD751" s="15"/>
      <c r="AE751" s="15"/>
      <c r="AF751" s="15"/>
      <c r="AG751" s="17" t="s">
        <v>127</v>
      </c>
      <c r="AH751" s="18"/>
      <c r="AI751" s="18"/>
      <c r="AJ751" s="18" t="s">
        <v>527</v>
      </c>
      <c r="AK751" s="13"/>
      <c r="AL751" s="17">
        <f>(B751-DATE(1970,1,1))*86400</f>
        <v>1678060800</v>
      </c>
      <c r="AM751" s="17">
        <f>(C751-DATE(1970,1,1))*86400</f>
        <v>1678233600</v>
      </c>
      <c r="AN751" s="17">
        <f>AVERAGE(AL751:AM751)</f>
        <v>1678147200</v>
      </c>
      <c r="AO751"/>
      <c r="AP751"/>
      <c r="AQ751"/>
      <c r="AR751"/>
      <c r="AS751"/>
      <c r="AT751"/>
      <c r="AU751"/>
      <c r="AV751"/>
      <c r="AW751"/>
      <c r="AX751"/>
      <c r="AY751"/>
      <c r="AZ751"/>
      <c r="BA751"/>
      <c r="BB751"/>
      <c r="BC751"/>
      <c r="BD751"/>
      <c r="BE751"/>
      <c r="BF751"/>
      <c r="BG751"/>
      <c r="BH751"/>
      <c r="BI751"/>
      <c r="BJ751"/>
      <c r="BK751"/>
      <c r="BL751"/>
      <c r="BM751"/>
    </row>
    <row r="752" spans="1:65" s="436" customFormat="1" ht="15.75" customHeight="1" x14ac:dyDescent="0.2">
      <c r="A752" s="284" t="s">
        <v>133</v>
      </c>
      <c r="B752" s="20">
        <v>44982</v>
      </c>
      <c r="C752" s="20">
        <v>45001</v>
      </c>
      <c r="D752" s="19" t="s">
        <v>134</v>
      </c>
      <c r="E752" s="332" t="s">
        <v>125</v>
      </c>
      <c r="F752" s="19"/>
      <c r="G752" s="19" t="s">
        <v>135</v>
      </c>
      <c r="H752" s="332">
        <v>1800</v>
      </c>
      <c r="I752" s="21">
        <v>29</v>
      </c>
      <c r="J752" s="21">
        <v>1</v>
      </c>
      <c r="K752" s="21">
        <v>1</v>
      </c>
      <c r="L752" s="21">
        <v>1</v>
      </c>
      <c r="M752" s="21">
        <v>12</v>
      </c>
      <c r="N752" s="21"/>
      <c r="O752" s="21">
        <v>1</v>
      </c>
      <c r="P752" s="21">
        <v>5</v>
      </c>
      <c r="Q752" s="21"/>
      <c r="R752" s="22"/>
      <c r="S752" s="21"/>
      <c r="T752" s="21"/>
      <c r="U752" s="21"/>
      <c r="V752" s="21">
        <v>4</v>
      </c>
      <c r="W752" s="21"/>
      <c r="X752" s="21">
        <v>6</v>
      </c>
      <c r="Y752" s="21"/>
      <c r="Z752" s="21">
        <v>2</v>
      </c>
      <c r="AA752" s="21">
        <v>38</v>
      </c>
      <c r="AB752" s="23">
        <f>100/(SUM(I752:Z752))</f>
        <v>1.6129032258064515</v>
      </c>
      <c r="AC752" s="259">
        <f>SUM(I752:AA752)</f>
        <v>100</v>
      </c>
      <c r="AD752" s="24"/>
      <c r="AE752" s="24"/>
      <c r="AF752" s="24"/>
      <c r="AG752" s="25" t="s">
        <v>127</v>
      </c>
      <c r="AH752" s="26" t="s">
        <v>528</v>
      </c>
      <c r="AI752" s="26" t="s">
        <v>529</v>
      </c>
      <c r="AJ752" s="83" t="s">
        <v>530</v>
      </c>
      <c r="AK752" s="19" t="s">
        <v>531</v>
      </c>
      <c r="AL752" s="25">
        <f>(B752-DATE(1970,1,1))*86400</f>
        <v>1677283200</v>
      </c>
      <c r="AM752" s="25">
        <f>(C752-DATE(1970,1,1))*86400</f>
        <v>1678924800</v>
      </c>
      <c r="AN752" s="25">
        <f>AVERAGE(AL752:AM752)</f>
        <v>1678104000</v>
      </c>
      <c r="AO752"/>
      <c r="AP752"/>
      <c r="AQ752"/>
      <c r="AR752"/>
      <c r="AS752"/>
      <c r="AT752"/>
      <c r="AU752"/>
      <c r="AV752"/>
      <c r="AW752"/>
      <c r="AX752"/>
      <c r="AY752"/>
      <c r="AZ752"/>
      <c r="BA752"/>
      <c r="BB752"/>
      <c r="BC752"/>
      <c r="BD752"/>
      <c r="BE752"/>
      <c r="BF752"/>
      <c r="BG752"/>
      <c r="BH752"/>
      <c r="BI752"/>
      <c r="BJ752"/>
      <c r="BK752"/>
      <c r="BL752"/>
      <c r="BM752"/>
    </row>
    <row r="753" spans="1:40" ht="15.75" customHeight="1" x14ac:dyDescent="0.2">
      <c r="A753" s="284" t="s">
        <v>123</v>
      </c>
      <c r="B753" s="20">
        <v>44982</v>
      </c>
      <c r="C753" s="20">
        <v>45001</v>
      </c>
      <c r="D753" s="19" t="s">
        <v>134</v>
      </c>
      <c r="E753" s="332" t="s">
        <v>125</v>
      </c>
      <c r="F753" s="19"/>
      <c r="G753" s="19" t="s">
        <v>135</v>
      </c>
      <c r="H753" s="332">
        <v>1800</v>
      </c>
      <c r="I753" s="21">
        <v>48</v>
      </c>
      <c r="J753" s="21">
        <v>2</v>
      </c>
      <c r="K753" s="21">
        <v>2</v>
      </c>
      <c r="L753" s="21">
        <v>1</v>
      </c>
      <c r="M753" s="21">
        <v>19</v>
      </c>
      <c r="N753" s="21"/>
      <c r="O753" s="21">
        <v>2</v>
      </c>
      <c r="P753" s="21">
        <v>7</v>
      </c>
      <c r="Q753" s="21"/>
      <c r="R753" s="22"/>
      <c r="S753" s="21"/>
      <c r="T753" s="21"/>
      <c r="U753" s="21"/>
      <c r="V753" s="21">
        <v>6</v>
      </c>
      <c r="W753" s="21"/>
      <c r="X753" s="21">
        <v>9</v>
      </c>
      <c r="Y753" s="21"/>
      <c r="Z753" s="21">
        <v>4</v>
      </c>
      <c r="AA753" s="21">
        <v>0</v>
      </c>
      <c r="AB753" s="23">
        <f>100/(SUM(I753:Z753))</f>
        <v>1</v>
      </c>
      <c r="AC753" s="259">
        <f>SUM(I753:AA753)</f>
        <v>100</v>
      </c>
      <c r="AD753" s="24"/>
      <c r="AE753" s="24"/>
      <c r="AF753" s="24"/>
      <c r="AG753" s="25" t="s">
        <v>127</v>
      </c>
      <c r="AH753" s="26" t="s">
        <v>528</v>
      </c>
      <c r="AI753" s="26" t="s">
        <v>529</v>
      </c>
      <c r="AJ753" s="83" t="s">
        <v>530</v>
      </c>
      <c r="AK753" s="19" t="s">
        <v>531</v>
      </c>
      <c r="AL753" s="25">
        <f>(B753-DATE(1970,1,1))*86400</f>
        <v>1677283200</v>
      </c>
      <c r="AM753" s="25">
        <f>(C753-DATE(1970,1,1))*86400</f>
        <v>1678924800</v>
      </c>
      <c r="AN753" s="25">
        <f>AVERAGE(AL753:AM753)</f>
        <v>1678104000</v>
      </c>
    </row>
    <row r="754" spans="1:40" ht="15.75" customHeight="1" x14ac:dyDescent="0.2">
      <c r="A754" s="286" t="s">
        <v>133</v>
      </c>
      <c r="B754" s="41">
        <v>44985</v>
      </c>
      <c r="C754" s="41">
        <v>44993</v>
      </c>
      <c r="D754" s="40" t="s">
        <v>148</v>
      </c>
      <c r="E754" s="325" t="s">
        <v>125</v>
      </c>
      <c r="F754" s="40"/>
      <c r="G754" s="40" t="s">
        <v>149</v>
      </c>
      <c r="H754" s="325">
        <v>1000</v>
      </c>
      <c r="I754" s="42">
        <v>31.8</v>
      </c>
      <c r="J754" s="42">
        <v>3.6</v>
      </c>
      <c r="K754" s="42">
        <v>3.3</v>
      </c>
      <c r="L754" s="42">
        <v>2.7</v>
      </c>
      <c r="M754" s="42">
        <v>12.2</v>
      </c>
      <c r="N754" s="42"/>
      <c r="O754" s="42">
        <v>1.2</v>
      </c>
      <c r="P754" s="42">
        <v>5.9</v>
      </c>
      <c r="Q754" s="42"/>
      <c r="R754" s="43"/>
      <c r="S754" s="42"/>
      <c r="T754" s="42"/>
      <c r="U754" s="42"/>
      <c r="V754" s="42">
        <v>2.2000000000000002</v>
      </c>
      <c r="W754" s="42"/>
      <c r="X754" s="42">
        <v>6.6</v>
      </c>
      <c r="Y754" s="42"/>
      <c r="Z754" s="42">
        <v>1.4</v>
      </c>
      <c r="AA754" s="42">
        <v>29.1</v>
      </c>
      <c r="AB754" s="44">
        <f>100/(SUM(I754:Z754))</f>
        <v>1.4104372355430181</v>
      </c>
      <c r="AC754" s="259">
        <f>SUM(I754:AA754)</f>
        <v>100</v>
      </c>
      <c r="AD754" s="42"/>
      <c r="AE754" s="43"/>
      <c r="AF754" s="43"/>
      <c r="AG754" s="45" t="s">
        <v>127</v>
      </c>
      <c r="AH754" s="42" t="s">
        <v>532</v>
      </c>
      <c r="AI754" s="46" t="s">
        <v>533</v>
      </c>
      <c r="AJ754" s="46" t="s">
        <v>534</v>
      </c>
      <c r="AK754" s="40" t="s">
        <v>497</v>
      </c>
      <c r="AL754" s="45">
        <f>(B754-DATE(1970,1,1))*86400</f>
        <v>1677542400</v>
      </c>
      <c r="AM754" s="45">
        <f>(C754-DATE(1970,1,1))*86400</f>
        <v>1678233600</v>
      </c>
      <c r="AN754" s="45">
        <f>AVERAGE(AL754:AM754)</f>
        <v>1677888000</v>
      </c>
    </row>
    <row r="755" spans="1:40" ht="15.75" customHeight="1" x14ac:dyDescent="0.2">
      <c r="A755" s="286" t="s">
        <v>123</v>
      </c>
      <c r="B755" s="41">
        <v>44985</v>
      </c>
      <c r="C755" s="41">
        <v>44993</v>
      </c>
      <c r="D755" s="40" t="s">
        <v>148</v>
      </c>
      <c r="E755" s="325" t="s">
        <v>125</v>
      </c>
      <c r="F755" s="40"/>
      <c r="G755" s="40" t="s">
        <v>149</v>
      </c>
      <c r="H755" s="325">
        <v>1000</v>
      </c>
      <c r="I755" s="42">
        <v>48.9</v>
      </c>
      <c r="J755" s="42">
        <v>4.5</v>
      </c>
      <c r="K755" s="42">
        <v>3.9</v>
      </c>
      <c r="L755" s="42">
        <v>3.1</v>
      </c>
      <c r="M755" s="42">
        <v>18</v>
      </c>
      <c r="N755" s="42"/>
      <c r="O755" s="42">
        <v>1.2</v>
      </c>
      <c r="P755" s="42">
        <v>6</v>
      </c>
      <c r="Q755" s="42"/>
      <c r="R755" s="43"/>
      <c r="S755" s="42"/>
      <c r="T755" s="42"/>
      <c r="U755" s="42"/>
      <c r="V755" s="42">
        <v>3.1</v>
      </c>
      <c r="W755" s="42"/>
      <c r="X755" s="42">
        <v>9</v>
      </c>
      <c r="Y755" s="42"/>
      <c r="Z755" s="42">
        <v>2.2999999999999998</v>
      </c>
      <c r="AA755" s="42">
        <v>0</v>
      </c>
      <c r="AB755" s="44">
        <f>100/(SUM(I755:Z755))</f>
        <v>1</v>
      </c>
      <c r="AC755" s="259">
        <f>SUM(I755:AA755)</f>
        <v>100</v>
      </c>
      <c r="AD755" s="42"/>
      <c r="AE755" s="43"/>
      <c r="AF755" s="43"/>
      <c r="AG755" s="45" t="s">
        <v>127</v>
      </c>
      <c r="AH755" s="42" t="s">
        <v>532</v>
      </c>
      <c r="AI755" s="46" t="s">
        <v>533</v>
      </c>
      <c r="AJ755" s="46" t="s">
        <v>534</v>
      </c>
      <c r="AK755" s="40" t="s">
        <v>535</v>
      </c>
      <c r="AL755" s="45">
        <f>(B755-DATE(1970,1,1))*86400</f>
        <v>1677542400</v>
      </c>
      <c r="AM755" s="45">
        <f>(C755-DATE(1970,1,1))*86400</f>
        <v>1678233600</v>
      </c>
      <c r="AN755" s="45">
        <f>AVERAGE(AL755:AM755)</f>
        <v>1677888000</v>
      </c>
    </row>
    <row r="756" spans="1:40" ht="15.75" customHeight="1" x14ac:dyDescent="0.2">
      <c r="A756" s="281" t="s">
        <v>133</v>
      </c>
      <c r="B756" s="54">
        <v>44985</v>
      </c>
      <c r="C756" s="54">
        <v>44991</v>
      </c>
      <c r="D756" s="53" t="s">
        <v>154</v>
      </c>
      <c r="E756" s="323" t="s">
        <v>125</v>
      </c>
      <c r="F756" s="53" t="s">
        <v>140</v>
      </c>
      <c r="G756" s="53" t="s">
        <v>126</v>
      </c>
      <c r="H756" s="357">
        <v>1012</v>
      </c>
      <c r="I756" s="55"/>
      <c r="J756" s="55"/>
      <c r="K756" s="55"/>
      <c r="L756" s="55"/>
      <c r="M756" s="55"/>
      <c r="N756" s="55"/>
      <c r="O756" s="55"/>
      <c r="P756" s="55"/>
      <c r="Q756" s="55"/>
      <c r="R756" s="56"/>
      <c r="S756" s="55"/>
      <c r="T756" s="55"/>
      <c r="U756" s="55"/>
      <c r="V756" s="55"/>
      <c r="W756" s="55"/>
      <c r="X756" s="55"/>
      <c r="Y756" s="55"/>
      <c r="Z756" s="55"/>
      <c r="AA756" s="55"/>
      <c r="AB756" s="57" t="e">
        <f>100/(SUM(I756:Z756))</f>
        <v>#DIV/0!</v>
      </c>
      <c r="AC756" s="259">
        <f>SUM(I756:AA756)</f>
        <v>0</v>
      </c>
      <c r="AD756" s="55"/>
      <c r="AE756" s="55"/>
      <c r="AF756" s="55"/>
      <c r="AG756" s="58" t="s">
        <v>155</v>
      </c>
      <c r="AH756" s="59"/>
      <c r="AI756" s="59"/>
      <c r="AJ756" s="59" t="s">
        <v>536</v>
      </c>
      <c r="AK756" s="53"/>
      <c r="AL756" s="58">
        <f>(B756-DATE(1970,1,1))*86400</f>
        <v>1677542400</v>
      </c>
      <c r="AM756" s="58">
        <f>(C756-DATE(1970,1,1))*86400</f>
        <v>1678060800</v>
      </c>
      <c r="AN756" s="58">
        <f>AVERAGE(AL756:AM756)</f>
        <v>1677801600</v>
      </c>
    </row>
    <row r="757" spans="1:40" ht="15.75" customHeight="1" x14ac:dyDescent="0.2">
      <c r="A757" s="285" t="s">
        <v>133</v>
      </c>
      <c r="B757" s="34">
        <v>44978</v>
      </c>
      <c r="C757" s="34">
        <v>44984</v>
      </c>
      <c r="D757" s="33" t="s">
        <v>143</v>
      </c>
      <c r="E757" s="319" t="s">
        <v>125</v>
      </c>
      <c r="F757" s="33"/>
      <c r="G757" s="33" t="s">
        <v>126</v>
      </c>
      <c r="H757" s="353">
        <v>1000</v>
      </c>
      <c r="I757" s="35">
        <v>35</v>
      </c>
      <c r="J757" s="35">
        <v>1</v>
      </c>
      <c r="K757" s="35">
        <v>4</v>
      </c>
      <c r="L757" s="35">
        <v>1</v>
      </c>
      <c r="M757" s="35">
        <v>9</v>
      </c>
      <c r="N757" s="35"/>
      <c r="O757" s="35">
        <v>1</v>
      </c>
      <c r="P757" s="35">
        <v>6</v>
      </c>
      <c r="Q757" s="35"/>
      <c r="R757" s="36"/>
      <c r="S757" s="35">
        <v>2</v>
      </c>
      <c r="T757" s="35">
        <v>1</v>
      </c>
      <c r="U757" s="35"/>
      <c r="V757" s="35">
        <v>7</v>
      </c>
      <c r="W757" s="35"/>
      <c r="X757" s="35">
        <v>5</v>
      </c>
      <c r="Y757" s="35"/>
      <c r="Z757" s="35">
        <v>1</v>
      </c>
      <c r="AA757" s="35">
        <v>27</v>
      </c>
      <c r="AB757" s="37">
        <f>100/(SUM(I757:Z757))</f>
        <v>1.3698630136986301</v>
      </c>
      <c r="AC757" s="259">
        <f>SUM(I757:AA757)</f>
        <v>100</v>
      </c>
      <c r="AD757" s="35"/>
      <c r="AE757" s="35"/>
      <c r="AF757" s="35"/>
      <c r="AG757" s="33" t="s">
        <v>144</v>
      </c>
      <c r="AH757" s="33" t="s">
        <v>165</v>
      </c>
      <c r="AI757" s="38" t="s">
        <v>537</v>
      </c>
      <c r="AJ757" s="38" t="s">
        <v>538</v>
      </c>
      <c r="AK757" s="33" t="s">
        <v>539</v>
      </c>
      <c r="AL757" s="39">
        <f>(B757-DATE(1970,1,1))*86400</f>
        <v>1676937600</v>
      </c>
      <c r="AM757" s="39">
        <f>(C757-DATE(1970,1,1))*86400</f>
        <v>1677456000</v>
      </c>
      <c r="AN757" s="39">
        <f>AVERAGE(AL757:AM757)</f>
        <v>1677196800</v>
      </c>
    </row>
    <row r="758" spans="1:40" ht="15.75" customHeight="1" x14ac:dyDescent="0.2">
      <c r="A758" s="285" t="s">
        <v>133</v>
      </c>
      <c r="B758" s="34">
        <v>44978</v>
      </c>
      <c r="C758" s="34">
        <v>44984</v>
      </c>
      <c r="D758" s="33" t="s">
        <v>143</v>
      </c>
      <c r="E758" s="319" t="s">
        <v>125</v>
      </c>
      <c r="F758" s="33"/>
      <c r="G758" s="33" t="s">
        <v>126</v>
      </c>
      <c r="H758" s="353">
        <v>1000</v>
      </c>
      <c r="I758" s="35">
        <v>49</v>
      </c>
      <c r="J758" s="35">
        <v>2</v>
      </c>
      <c r="K758" s="35">
        <v>5</v>
      </c>
      <c r="L758" s="35">
        <v>2</v>
      </c>
      <c r="M758" s="35">
        <v>13</v>
      </c>
      <c r="N758" s="35"/>
      <c r="O758" s="35">
        <v>1</v>
      </c>
      <c r="P758" s="35">
        <v>9</v>
      </c>
      <c r="Q758" s="35"/>
      <c r="R758" s="36"/>
      <c r="S758" s="35">
        <v>2</v>
      </c>
      <c r="T758" s="35">
        <v>1</v>
      </c>
      <c r="U758" s="35"/>
      <c r="V758" s="35">
        <v>9</v>
      </c>
      <c r="W758" s="35"/>
      <c r="X758" s="35">
        <v>6</v>
      </c>
      <c r="Y758" s="35"/>
      <c r="Z758" s="35">
        <v>1</v>
      </c>
      <c r="AA758" s="35">
        <v>0</v>
      </c>
      <c r="AB758" s="37">
        <f>100/(SUM(I758:Z758))</f>
        <v>1</v>
      </c>
      <c r="AC758" s="259">
        <f>SUM(I758:AA758)</f>
        <v>100</v>
      </c>
      <c r="AD758" s="35"/>
      <c r="AE758" s="35"/>
      <c r="AF758" s="35"/>
      <c r="AG758" s="33" t="s">
        <v>144</v>
      </c>
      <c r="AH758" s="33" t="s">
        <v>165</v>
      </c>
      <c r="AI758" s="38" t="s">
        <v>537</v>
      </c>
      <c r="AJ758" s="38"/>
      <c r="AK758" s="33"/>
      <c r="AL758" s="39">
        <f>(B758-DATE(1970,1,1))*86400</f>
        <v>1676937600</v>
      </c>
      <c r="AM758" s="39">
        <f>(C758-DATE(1970,1,1))*86400</f>
        <v>1677456000</v>
      </c>
      <c r="AN758" s="39">
        <f>AVERAGE(AL758:AM758)</f>
        <v>1677196800</v>
      </c>
    </row>
    <row r="759" spans="1:40" ht="15.75" customHeight="1" x14ac:dyDescent="0.2">
      <c r="A759" s="285" t="s">
        <v>123</v>
      </c>
      <c r="B759" s="34">
        <v>44978</v>
      </c>
      <c r="C759" s="34">
        <v>44984</v>
      </c>
      <c r="D759" s="33" t="s">
        <v>143</v>
      </c>
      <c r="E759" s="319" t="s">
        <v>125</v>
      </c>
      <c r="F759" s="33"/>
      <c r="G759" s="33" t="s">
        <v>126</v>
      </c>
      <c r="H759" s="353">
        <v>1000</v>
      </c>
      <c r="I759" s="35">
        <v>51</v>
      </c>
      <c r="J759" s="35">
        <v>1</v>
      </c>
      <c r="K759" s="35">
        <v>5</v>
      </c>
      <c r="L759" s="35">
        <v>2</v>
      </c>
      <c r="M759" s="35">
        <v>14</v>
      </c>
      <c r="N759" s="35"/>
      <c r="O759" s="35">
        <v>2</v>
      </c>
      <c r="P759" s="35">
        <v>9</v>
      </c>
      <c r="Q759" s="35"/>
      <c r="R759" s="36"/>
      <c r="S759" s="35">
        <v>2</v>
      </c>
      <c r="T759" s="35">
        <v>1</v>
      </c>
      <c r="U759" s="35"/>
      <c r="V759" s="35">
        <v>6</v>
      </c>
      <c r="W759" s="35"/>
      <c r="X759" s="35">
        <v>6</v>
      </c>
      <c r="Y759" s="35"/>
      <c r="Z759" s="35">
        <v>1</v>
      </c>
      <c r="AA759" s="35">
        <v>0</v>
      </c>
      <c r="AB759" s="37">
        <f>100/(SUM(I759:Z759))</f>
        <v>1</v>
      </c>
      <c r="AC759" s="259">
        <f>SUM(I759:AA759)</f>
        <v>100</v>
      </c>
      <c r="AD759" s="35"/>
      <c r="AE759" s="35"/>
      <c r="AF759" s="35"/>
      <c r="AG759" s="33" t="s">
        <v>144</v>
      </c>
      <c r="AH759" s="33" t="s">
        <v>165</v>
      </c>
      <c r="AI759" s="38" t="s">
        <v>537</v>
      </c>
      <c r="AJ759" s="38"/>
      <c r="AK759" s="33"/>
      <c r="AL759" s="39">
        <f>(B759-DATE(1970,1,1))*86400</f>
        <v>1676937600</v>
      </c>
      <c r="AM759" s="39">
        <f>(C759-DATE(1970,1,1))*86400</f>
        <v>1677456000</v>
      </c>
      <c r="AN759" s="39">
        <f>AVERAGE(AL759:AM759)</f>
        <v>1677196800</v>
      </c>
    </row>
    <row r="760" spans="1:40" ht="15.75" customHeight="1" x14ac:dyDescent="0.2">
      <c r="A760" s="279" t="s">
        <v>123</v>
      </c>
      <c r="B760" s="14">
        <v>44977</v>
      </c>
      <c r="C760" s="14">
        <v>44979</v>
      </c>
      <c r="D760" s="13" t="s">
        <v>124</v>
      </c>
      <c r="E760" s="324" t="s">
        <v>125</v>
      </c>
      <c r="F760" s="13"/>
      <c r="G760" s="13" t="s">
        <v>126</v>
      </c>
      <c r="H760" s="349">
        <v>1000</v>
      </c>
      <c r="I760" s="15">
        <v>52</v>
      </c>
      <c r="J760" s="15">
        <v>2</v>
      </c>
      <c r="K760" s="15">
        <v>4</v>
      </c>
      <c r="L760" s="15">
        <v>2</v>
      </c>
      <c r="M760" s="15">
        <v>12</v>
      </c>
      <c r="N760" s="15"/>
      <c r="O760" s="15">
        <v>1</v>
      </c>
      <c r="P760" s="15">
        <v>5</v>
      </c>
      <c r="Q760" s="15"/>
      <c r="R760" s="98"/>
      <c r="S760" s="15">
        <v>2</v>
      </c>
      <c r="T760" s="15">
        <v>2</v>
      </c>
      <c r="U760" s="15"/>
      <c r="V760" s="15">
        <v>9</v>
      </c>
      <c r="W760" s="15"/>
      <c r="X760" s="15">
        <v>9</v>
      </c>
      <c r="Y760" s="15"/>
      <c r="Z760" s="15">
        <v>0</v>
      </c>
      <c r="AA760" s="15">
        <v>0</v>
      </c>
      <c r="AB760" s="16">
        <f>100/(SUM(I760:Z760))</f>
        <v>1</v>
      </c>
      <c r="AC760" s="259">
        <f>SUM(I760:AA760)</f>
        <v>100</v>
      </c>
      <c r="AD760" s="15"/>
      <c r="AE760" s="15"/>
      <c r="AF760" s="15"/>
      <c r="AG760" s="17" t="s">
        <v>127</v>
      </c>
      <c r="AH760" s="18" t="s">
        <v>543</v>
      </c>
      <c r="AI760" s="18" t="s">
        <v>544</v>
      </c>
      <c r="AJ760" s="18" t="s">
        <v>527</v>
      </c>
      <c r="AK760" s="13" t="s">
        <v>2214</v>
      </c>
      <c r="AL760" s="17">
        <f>(B760-DATE(1970,1,1))*86400</f>
        <v>1676851200</v>
      </c>
      <c r="AM760" s="17">
        <f>(C760-DATE(1970,1,1))*86400</f>
        <v>1677024000</v>
      </c>
      <c r="AN760" s="17">
        <f>AVERAGE(AL760:AM760)</f>
        <v>1676937600</v>
      </c>
    </row>
    <row r="761" spans="1:40" ht="15.75" customHeight="1" x14ac:dyDescent="0.2">
      <c r="A761" s="287" t="s">
        <v>133</v>
      </c>
      <c r="B761" s="70">
        <v>44968</v>
      </c>
      <c r="C761" s="70">
        <v>44982</v>
      </c>
      <c r="D761" s="69" t="s">
        <v>183</v>
      </c>
      <c r="E761" s="333" t="s">
        <v>184</v>
      </c>
      <c r="F761" s="69" t="s">
        <v>140</v>
      </c>
      <c r="G761" s="69" t="s">
        <v>540</v>
      </c>
      <c r="H761" s="360">
        <v>1000</v>
      </c>
      <c r="I761" s="71"/>
      <c r="J761" s="71"/>
      <c r="K761" s="71"/>
      <c r="L761" s="71"/>
      <c r="M761" s="71"/>
      <c r="N761" s="71"/>
      <c r="O761" s="71"/>
      <c r="P761" s="71"/>
      <c r="Q761" s="71"/>
      <c r="R761" s="72"/>
      <c r="S761" s="71"/>
      <c r="T761" s="71"/>
      <c r="U761" s="71"/>
      <c r="V761" s="71"/>
      <c r="W761" s="71"/>
      <c r="X761" s="71"/>
      <c r="Y761" s="71"/>
      <c r="Z761" s="71"/>
      <c r="AA761" s="71"/>
      <c r="AB761" s="73" t="e">
        <f>100/(SUM(I761:Z761))</f>
        <v>#DIV/0!</v>
      </c>
      <c r="AC761" s="259">
        <f>SUM(I761:AA761)</f>
        <v>0</v>
      </c>
      <c r="AD761" s="71"/>
      <c r="AE761" s="71"/>
      <c r="AF761" s="71"/>
      <c r="AG761" s="75" t="s">
        <v>541</v>
      </c>
      <c r="AH761" s="75"/>
      <c r="AI761" s="75"/>
      <c r="AJ761" s="75" t="s">
        <v>542</v>
      </c>
      <c r="AK761" s="69"/>
      <c r="AL761" s="74">
        <f>(B761-DATE(1970,1,1))*86400</f>
        <v>1676073600</v>
      </c>
      <c r="AM761" s="74">
        <f>(C761-DATE(1970,1,1))*86400</f>
        <v>1677283200</v>
      </c>
      <c r="AN761" s="74">
        <f>AVERAGE(AL761:AM761)</f>
        <v>1676678400</v>
      </c>
    </row>
    <row r="762" spans="1:40" ht="15.75" customHeight="1" x14ac:dyDescent="0.2">
      <c r="A762" s="296" t="s">
        <v>133</v>
      </c>
      <c r="B762" s="111">
        <v>44927</v>
      </c>
      <c r="C762" s="111">
        <v>45016</v>
      </c>
      <c r="D762" s="99" t="s">
        <v>276</v>
      </c>
      <c r="E762" s="326" t="s">
        <v>125</v>
      </c>
      <c r="F762" s="99" t="s">
        <v>2495</v>
      </c>
      <c r="G762" s="99" t="s">
        <v>126</v>
      </c>
      <c r="H762" s="365">
        <v>1200</v>
      </c>
      <c r="I762" s="101">
        <v>29</v>
      </c>
      <c r="J762" s="101">
        <v>1</v>
      </c>
      <c r="K762" s="101">
        <v>2</v>
      </c>
      <c r="L762" s="101">
        <v>2</v>
      </c>
      <c r="M762" s="101">
        <v>10</v>
      </c>
      <c r="N762" s="101"/>
      <c r="O762" s="101">
        <v>3</v>
      </c>
      <c r="P762" s="101">
        <v>10</v>
      </c>
      <c r="Q762" s="101"/>
      <c r="R762" s="101"/>
      <c r="S762" s="101"/>
      <c r="T762" s="101"/>
      <c r="U762" s="101"/>
      <c r="V762" s="101">
        <v>9</v>
      </c>
      <c r="W762" s="101"/>
      <c r="X762" s="101">
        <v>3</v>
      </c>
      <c r="Y762" s="101"/>
      <c r="Z762" s="101">
        <v>2</v>
      </c>
      <c r="AA762" s="101">
        <v>29</v>
      </c>
      <c r="AB762" s="102">
        <f>100/(SUM(I762:Z762))</f>
        <v>1.408450704225352</v>
      </c>
      <c r="AC762" s="259">
        <f>SUM(I762:AA762)</f>
        <v>100</v>
      </c>
      <c r="AD762" s="101"/>
      <c r="AE762" s="101"/>
      <c r="AF762" s="101"/>
      <c r="AG762" s="103" t="s">
        <v>127</v>
      </c>
      <c r="AH762" s="104" t="s">
        <v>477</v>
      </c>
      <c r="AI762" s="104" t="s">
        <v>478</v>
      </c>
      <c r="AJ762" s="104"/>
      <c r="AK762" s="99" t="s">
        <v>546</v>
      </c>
      <c r="AL762" s="103">
        <f>(B762-DATE(1970,1,1))*86400</f>
        <v>1672531200</v>
      </c>
      <c r="AM762" s="103">
        <f>(C762-DATE(1970,1,1))*86400</f>
        <v>1680220800</v>
      </c>
      <c r="AN762" s="103">
        <f>AVERAGE(AL762:AM762)</f>
        <v>1676376000</v>
      </c>
    </row>
    <row r="763" spans="1:40" ht="15.75" customHeight="1" x14ac:dyDescent="0.2">
      <c r="A763" s="296" t="s">
        <v>133</v>
      </c>
      <c r="B763" s="111">
        <v>44927</v>
      </c>
      <c r="C763" s="111">
        <v>45016</v>
      </c>
      <c r="D763" s="99" t="s">
        <v>276</v>
      </c>
      <c r="E763" s="326" t="s">
        <v>125</v>
      </c>
      <c r="F763" s="99"/>
      <c r="G763" s="99" t="s">
        <v>126</v>
      </c>
      <c r="H763" s="326">
        <v>7200</v>
      </c>
      <c r="I763" s="101">
        <v>35.04</v>
      </c>
      <c r="J763" s="101">
        <v>1</v>
      </c>
      <c r="K763" s="101">
        <v>3.48</v>
      </c>
      <c r="L763" s="101">
        <v>2</v>
      </c>
      <c r="M763" s="101">
        <v>8.52</v>
      </c>
      <c r="N763" s="101"/>
      <c r="O763" s="101">
        <v>1</v>
      </c>
      <c r="P763" s="101">
        <v>5.48</v>
      </c>
      <c r="Q763" s="101"/>
      <c r="R763" s="101"/>
      <c r="S763" s="101"/>
      <c r="T763" s="101"/>
      <c r="U763" s="101"/>
      <c r="V763" s="101">
        <v>6.48</v>
      </c>
      <c r="W763" s="101"/>
      <c r="X763" s="101">
        <v>6.4</v>
      </c>
      <c r="Y763" s="101"/>
      <c r="Z763" s="101">
        <v>2.48</v>
      </c>
      <c r="AA763" s="101">
        <v>28.08</v>
      </c>
      <c r="AB763" s="102">
        <f>100/(SUM(I763:Z763))</f>
        <v>1.3912075681691707</v>
      </c>
      <c r="AC763" s="259">
        <f>SUM(I763:AA763)</f>
        <v>99.960000000000008</v>
      </c>
      <c r="AD763" s="101"/>
      <c r="AE763" s="101">
        <v>7.1</v>
      </c>
      <c r="AF763" s="101"/>
      <c r="AG763" s="103" t="s">
        <v>127</v>
      </c>
      <c r="AH763" s="104" t="s">
        <v>547</v>
      </c>
      <c r="AI763" s="104" t="s">
        <v>548</v>
      </c>
      <c r="AJ763" s="104" t="s">
        <v>549</v>
      </c>
      <c r="AK763" s="99" t="s">
        <v>1856</v>
      </c>
      <c r="AL763" s="103">
        <f>(B763-DATE(1970,1,1))*86400</f>
        <v>1672531200</v>
      </c>
      <c r="AM763" s="103">
        <f>(C763-DATE(1970,1,1))*86400</f>
        <v>1680220800</v>
      </c>
      <c r="AN763" s="103">
        <f>AVERAGE(AL763:AM763)</f>
        <v>1676376000</v>
      </c>
    </row>
    <row r="764" spans="1:40" ht="15.75" customHeight="1" x14ac:dyDescent="0.2">
      <c r="A764" s="288" t="s">
        <v>133</v>
      </c>
      <c r="B764" s="60">
        <v>44967</v>
      </c>
      <c r="C764" s="60">
        <v>44972</v>
      </c>
      <c r="D764" s="61" t="s">
        <v>168</v>
      </c>
      <c r="E764" s="334" t="s">
        <v>125</v>
      </c>
      <c r="F764" s="61"/>
      <c r="G764" s="61" t="s">
        <v>126</v>
      </c>
      <c r="H764" s="334">
        <v>1000</v>
      </c>
      <c r="I764" s="63">
        <v>33</v>
      </c>
      <c r="J764" s="63">
        <v>4</v>
      </c>
      <c r="K764" s="63">
        <v>2</v>
      </c>
      <c r="L764" s="63">
        <v>3</v>
      </c>
      <c r="M764" s="63">
        <v>14</v>
      </c>
      <c r="N764" s="63"/>
      <c r="O764" s="63">
        <v>2</v>
      </c>
      <c r="P764" s="63">
        <v>4</v>
      </c>
      <c r="Q764" s="63"/>
      <c r="R764" s="64"/>
      <c r="S764" s="63"/>
      <c r="T764" s="63"/>
      <c r="U764" s="63"/>
      <c r="V764" s="63">
        <v>2</v>
      </c>
      <c r="W764" s="63"/>
      <c r="X764" s="63">
        <v>5</v>
      </c>
      <c r="Y764" s="63"/>
      <c r="Z764" s="63">
        <v>0</v>
      </c>
      <c r="AA764" s="63">
        <v>31</v>
      </c>
      <c r="AB764" s="65">
        <f>100/(SUM(I764:Z764))</f>
        <v>1.4492753623188406</v>
      </c>
      <c r="AC764" s="259">
        <f>SUM(I764:AA764)</f>
        <v>100</v>
      </c>
      <c r="AD764" s="63">
        <v>65</v>
      </c>
      <c r="AE764" s="64"/>
      <c r="AF764" s="64"/>
      <c r="AG764" s="66" t="s">
        <v>127</v>
      </c>
      <c r="AH764" s="67" t="s">
        <v>550</v>
      </c>
      <c r="AI764" s="67" t="s">
        <v>551</v>
      </c>
      <c r="AJ764" s="67"/>
      <c r="AK764" s="61" t="s">
        <v>552</v>
      </c>
      <c r="AL764" s="66">
        <f>(B764-DATE(1970,1,1))*86400</f>
        <v>1675987200</v>
      </c>
      <c r="AM764" s="66">
        <f>(C764-DATE(1970,1,1))*86400</f>
        <v>1676419200</v>
      </c>
      <c r="AN764" s="66">
        <f>AVERAGE(AL764:AM764)</f>
        <v>1676203200</v>
      </c>
    </row>
    <row r="765" spans="1:40" ht="15.75" customHeight="1" x14ac:dyDescent="0.2">
      <c r="A765" s="288" t="s">
        <v>133</v>
      </c>
      <c r="B765" s="60">
        <v>44967</v>
      </c>
      <c r="C765" s="60">
        <v>44972</v>
      </c>
      <c r="D765" s="61" t="s">
        <v>168</v>
      </c>
      <c r="E765" s="334" t="s">
        <v>125</v>
      </c>
      <c r="F765" s="61"/>
      <c r="G765" s="61" t="s">
        <v>126</v>
      </c>
      <c r="H765" s="334">
        <v>1000</v>
      </c>
      <c r="I765" s="63">
        <v>47</v>
      </c>
      <c r="J765" s="63">
        <v>6</v>
      </c>
      <c r="K765" s="63">
        <v>3</v>
      </c>
      <c r="L765" s="63">
        <v>5</v>
      </c>
      <c r="M765" s="63">
        <v>20</v>
      </c>
      <c r="N765" s="63"/>
      <c r="O765" s="63">
        <v>3</v>
      </c>
      <c r="P765" s="63">
        <v>6</v>
      </c>
      <c r="Q765" s="63"/>
      <c r="R765" s="64"/>
      <c r="S765" s="63"/>
      <c r="T765" s="63"/>
      <c r="U765" s="63"/>
      <c r="V765" s="63">
        <v>3</v>
      </c>
      <c r="W765" s="63"/>
      <c r="X765" s="63">
        <v>7</v>
      </c>
      <c r="Y765" s="63"/>
      <c r="Z765" s="63">
        <v>0</v>
      </c>
      <c r="AA765" s="63">
        <v>0</v>
      </c>
      <c r="AB765" s="65">
        <f>100/(SUM(I765:Z765))</f>
        <v>1</v>
      </c>
      <c r="AC765" s="259">
        <f>SUM(I765:AA765)</f>
        <v>100</v>
      </c>
      <c r="AD765" s="63"/>
      <c r="AE765" s="64"/>
      <c r="AF765" s="64"/>
      <c r="AG765" s="66" t="s">
        <v>127</v>
      </c>
      <c r="AH765" s="67" t="s">
        <v>550</v>
      </c>
      <c r="AI765" s="67" t="s">
        <v>551</v>
      </c>
      <c r="AJ765" s="67"/>
      <c r="AK765" s="61" t="s">
        <v>545</v>
      </c>
      <c r="AL765" s="66">
        <f>(B765-DATE(1970,1,1))*86400</f>
        <v>1675987200</v>
      </c>
      <c r="AM765" s="66">
        <f>(C765-DATE(1970,1,1))*86400</f>
        <v>1676419200</v>
      </c>
      <c r="AN765" s="66">
        <f>AVERAGE(AL765:AM765)</f>
        <v>1676203200</v>
      </c>
    </row>
    <row r="766" spans="1:40" ht="15.75" customHeight="1" x14ac:dyDescent="0.2">
      <c r="A766" s="285" t="s">
        <v>133</v>
      </c>
      <c r="B766" s="107">
        <v>44962</v>
      </c>
      <c r="C766" s="107">
        <v>44975</v>
      </c>
      <c r="D766" s="33" t="s">
        <v>143</v>
      </c>
      <c r="E766" s="319" t="s">
        <v>125</v>
      </c>
      <c r="F766" s="33" t="s">
        <v>140</v>
      </c>
      <c r="G766" s="33" t="s">
        <v>126</v>
      </c>
      <c r="H766" s="371">
        <v>2000</v>
      </c>
      <c r="I766" s="35"/>
      <c r="J766" s="35"/>
      <c r="K766" s="35"/>
      <c r="L766" s="35"/>
      <c r="M766" s="35"/>
      <c r="N766" s="35"/>
      <c r="O766" s="35"/>
      <c r="P766" s="35"/>
      <c r="Q766" s="35"/>
      <c r="R766" s="35"/>
      <c r="S766" s="35"/>
      <c r="T766" s="35"/>
      <c r="U766" s="35"/>
      <c r="V766" s="35"/>
      <c r="W766" s="35"/>
      <c r="X766" s="35"/>
      <c r="Y766" s="35"/>
      <c r="Z766" s="35"/>
      <c r="AA766" s="35"/>
      <c r="AB766" s="37" t="e">
        <f>100/(SUM(I766:Z766))</f>
        <v>#DIV/0!</v>
      </c>
      <c r="AC766" s="259">
        <f>SUM(I766:AA766)</f>
        <v>0</v>
      </c>
      <c r="AD766" s="35"/>
      <c r="AE766" s="35"/>
      <c r="AF766" s="35"/>
      <c r="AG766" s="33" t="s">
        <v>489</v>
      </c>
      <c r="AH766" s="39"/>
      <c r="AI766" s="38"/>
      <c r="AJ766" s="38" t="s">
        <v>553</v>
      </c>
      <c r="AK766" s="33"/>
      <c r="AL766" s="39">
        <f>(B766-DATE(1970,1,1))*86400</f>
        <v>1675555200</v>
      </c>
      <c r="AM766" s="39">
        <f>(C766-DATE(1970,1,1))*86400</f>
        <v>1676678400</v>
      </c>
      <c r="AN766" s="39">
        <f>AVERAGE(AL766:AM766)</f>
        <v>1676116800</v>
      </c>
    </row>
    <row r="767" spans="1:40" ht="15.75" customHeight="1" x14ac:dyDescent="0.2">
      <c r="A767" s="284" t="s">
        <v>133</v>
      </c>
      <c r="B767" s="20">
        <v>44956</v>
      </c>
      <c r="C767" s="20">
        <v>44972</v>
      </c>
      <c r="D767" s="19" t="s">
        <v>134</v>
      </c>
      <c r="E767" s="332" t="s">
        <v>125</v>
      </c>
      <c r="F767" s="19"/>
      <c r="G767" s="19" t="s">
        <v>135</v>
      </c>
      <c r="H767" s="332">
        <v>1800</v>
      </c>
      <c r="I767" s="21">
        <v>29</v>
      </c>
      <c r="J767" s="21">
        <v>2</v>
      </c>
      <c r="K767" s="21">
        <v>2</v>
      </c>
      <c r="L767" s="21">
        <v>1</v>
      </c>
      <c r="M767" s="21">
        <v>12</v>
      </c>
      <c r="N767" s="21"/>
      <c r="O767" s="21">
        <v>1</v>
      </c>
      <c r="P767" s="21">
        <v>4</v>
      </c>
      <c r="Q767" s="21"/>
      <c r="R767" s="22"/>
      <c r="S767" s="21"/>
      <c r="T767" s="21"/>
      <c r="U767" s="21"/>
      <c r="V767" s="21">
        <v>3</v>
      </c>
      <c r="W767" s="21"/>
      <c r="X767" s="21">
        <v>7</v>
      </c>
      <c r="Y767" s="21"/>
      <c r="Z767" s="21">
        <v>3</v>
      </c>
      <c r="AA767" s="21">
        <v>36</v>
      </c>
      <c r="AB767" s="23">
        <f>100/(SUM(I767:Z767))</f>
        <v>1.5625</v>
      </c>
      <c r="AC767" s="259">
        <f>SUM(I767:AA767)</f>
        <v>100</v>
      </c>
      <c r="AD767" s="24"/>
      <c r="AE767" s="24"/>
      <c r="AF767" s="24"/>
      <c r="AG767" s="25" t="s">
        <v>127</v>
      </c>
      <c r="AH767" s="26" t="s">
        <v>554</v>
      </c>
      <c r="AI767" s="83"/>
      <c r="AJ767" s="83"/>
      <c r="AK767" s="19" t="s">
        <v>555</v>
      </c>
      <c r="AL767" s="25">
        <f>(B767-DATE(1970,1,1))*86400</f>
        <v>1675036800</v>
      </c>
      <c r="AM767" s="25">
        <f>(C767-DATE(1970,1,1))*86400</f>
        <v>1676419200</v>
      </c>
      <c r="AN767" s="25">
        <f>AVERAGE(AL767:AM767)</f>
        <v>1675728000</v>
      </c>
    </row>
    <row r="768" spans="1:40" ht="15.75" customHeight="1" x14ac:dyDescent="0.2">
      <c r="A768" s="284" t="s">
        <v>123</v>
      </c>
      <c r="B768" s="20">
        <v>44956</v>
      </c>
      <c r="C768" s="20">
        <v>44972</v>
      </c>
      <c r="D768" s="19" t="s">
        <v>134</v>
      </c>
      <c r="E768" s="332" t="s">
        <v>125</v>
      </c>
      <c r="F768" s="19"/>
      <c r="G768" s="19" t="s">
        <v>135</v>
      </c>
      <c r="H768" s="332">
        <v>1800</v>
      </c>
      <c r="I768" s="21">
        <v>48</v>
      </c>
      <c r="J768" s="21">
        <v>3</v>
      </c>
      <c r="K768" s="21">
        <v>2</v>
      </c>
      <c r="L768" s="21">
        <v>1</v>
      </c>
      <c r="M768" s="21">
        <v>20</v>
      </c>
      <c r="N768" s="21"/>
      <c r="O768" s="21">
        <v>2</v>
      </c>
      <c r="P768" s="21">
        <v>6</v>
      </c>
      <c r="Q768" s="21"/>
      <c r="R768" s="22"/>
      <c r="S768" s="21"/>
      <c r="T768" s="21"/>
      <c r="U768" s="21"/>
      <c r="V768" s="21">
        <v>5</v>
      </c>
      <c r="W768" s="21"/>
      <c r="X768" s="21">
        <v>9</v>
      </c>
      <c r="Y768" s="21"/>
      <c r="Z768" s="21">
        <v>4</v>
      </c>
      <c r="AA768" s="21">
        <v>0</v>
      </c>
      <c r="AB768" s="23">
        <f>100/(SUM(I768:Z768))</f>
        <v>1</v>
      </c>
      <c r="AC768" s="259">
        <f>SUM(I768:AA768)</f>
        <v>100</v>
      </c>
      <c r="AD768" s="24"/>
      <c r="AE768" s="24"/>
      <c r="AF768" s="24"/>
      <c r="AG768" s="25" t="s">
        <v>127</v>
      </c>
      <c r="AH768" s="26" t="s">
        <v>554</v>
      </c>
      <c r="AI768" s="83"/>
      <c r="AJ768" s="83"/>
      <c r="AK768" s="19" t="s">
        <v>555</v>
      </c>
      <c r="AL768" s="25">
        <f>(B768-DATE(1970,1,1))*86400</f>
        <v>1675036800</v>
      </c>
      <c r="AM768" s="25">
        <f>(C768-DATE(1970,1,1))*86400</f>
        <v>1676419200</v>
      </c>
      <c r="AN768" s="25">
        <f>AVERAGE(AL768:AM768)</f>
        <v>1675728000</v>
      </c>
    </row>
    <row r="769" spans="1:40" ht="15.75" customHeight="1" x14ac:dyDescent="0.2">
      <c r="A769" s="279" t="s">
        <v>123</v>
      </c>
      <c r="B769" s="14">
        <v>44956</v>
      </c>
      <c r="C769" s="14">
        <v>44958</v>
      </c>
      <c r="D769" s="13" t="s">
        <v>124</v>
      </c>
      <c r="E769" s="324" t="s">
        <v>125</v>
      </c>
      <c r="F769" s="13" t="s">
        <v>140</v>
      </c>
      <c r="G769" s="13" t="s">
        <v>126</v>
      </c>
      <c r="H769" s="349">
        <v>1000</v>
      </c>
      <c r="I769" s="15"/>
      <c r="J769" s="15"/>
      <c r="K769" s="15"/>
      <c r="L769" s="15"/>
      <c r="M769" s="15"/>
      <c r="N769" s="15"/>
      <c r="O769" s="15"/>
      <c r="P769" s="15"/>
      <c r="Q769" s="15"/>
      <c r="R769" s="98"/>
      <c r="S769" s="15"/>
      <c r="T769" s="15"/>
      <c r="U769" s="15"/>
      <c r="V769" s="15"/>
      <c r="W769" s="15"/>
      <c r="X769" s="15"/>
      <c r="Y769" s="15"/>
      <c r="Z769" s="15"/>
      <c r="AA769" s="15"/>
      <c r="AB769" s="16" t="e">
        <f>100/(SUM(I769:Z769))</f>
        <v>#DIV/0!</v>
      </c>
      <c r="AC769" s="259">
        <f>SUM(I769:AA769)</f>
        <v>0</v>
      </c>
      <c r="AD769" s="15"/>
      <c r="AE769" s="15"/>
      <c r="AF769" s="15"/>
      <c r="AG769" s="17" t="s">
        <v>127</v>
      </c>
      <c r="AH769" s="18"/>
      <c r="AI769" s="18"/>
      <c r="AJ769" s="18" t="s">
        <v>556</v>
      </c>
      <c r="AK769" s="13"/>
      <c r="AL769" s="17">
        <f>(B769-DATE(1970,1,1))*86400</f>
        <v>1675036800</v>
      </c>
      <c r="AM769" s="17">
        <f>(C769-DATE(1970,1,1))*86400</f>
        <v>1675209600</v>
      </c>
      <c r="AN769" s="17">
        <f>AVERAGE(AL769:AM769)</f>
        <v>1675123200</v>
      </c>
    </row>
    <row r="770" spans="1:40" ht="15.75" customHeight="1" x14ac:dyDescent="0.2">
      <c r="A770" s="287" t="s">
        <v>133</v>
      </c>
      <c r="B770" s="70">
        <v>44954</v>
      </c>
      <c r="C770" s="70">
        <v>44958</v>
      </c>
      <c r="D770" s="69" t="s">
        <v>183</v>
      </c>
      <c r="E770" s="333" t="s">
        <v>184</v>
      </c>
      <c r="F770" s="69" t="s">
        <v>2521</v>
      </c>
      <c r="G770" s="69" t="s">
        <v>540</v>
      </c>
      <c r="H770" s="360">
        <v>1000</v>
      </c>
      <c r="I770" s="71">
        <v>26</v>
      </c>
      <c r="J770" s="71">
        <v>1</v>
      </c>
      <c r="K770" s="71">
        <v>4</v>
      </c>
      <c r="L770" s="71">
        <v>2</v>
      </c>
      <c r="M770" s="71">
        <v>8</v>
      </c>
      <c r="N770" s="71"/>
      <c r="O770" s="71">
        <v>0</v>
      </c>
      <c r="P770" s="71">
        <v>7</v>
      </c>
      <c r="Q770" s="71"/>
      <c r="R770" s="72"/>
      <c r="S770" s="71"/>
      <c r="T770" s="71"/>
      <c r="U770" s="71"/>
      <c r="V770" s="71">
        <v>4</v>
      </c>
      <c r="W770" s="71"/>
      <c r="X770" s="71">
        <v>7</v>
      </c>
      <c r="Y770" s="71"/>
      <c r="Z770" s="71">
        <v>2</v>
      </c>
      <c r="AA770" s="71">
        <v>39</v>
      </c>
      <c r="AB770" s="73">
        <f>100/(SUM(I770:Z770))</f>
        <v>1.639344262295082</v>
      </c>
      <c r="AC770" s="259">
        <f>SUM(I770:AA770)</f>
        <v>100</v>
      </c>
      <c r="AD770" s="71"/>
      <c r="AE770" s="71"/>
      <c r="AF770" s="71"/>
      <c r="AG770" s="74" t="s">
        <v>557</v>
      </c>
      <c r="AH770" s="75" t="s">
        <v>558</v>
      </c>
      <c r="AI770" s="75"/>
      <c r="AJ770" s="75" t="s">
        <v>559</v>
      </c>
      <c r="AK770" s="69" t="s">
        <v>560</v>
      </c>
      <c r="AL770" s="74">
        <f>(B770-DATE(1970,1,1))*86400</f>
        <v>1674864000</v>
      </c>
      <c r="AM770" s="74">
        <f>(C770-DATE(1970,1,1))*86400</f>
        <v>1675209600</v>
      </c>
      <c r="AN770" s="74">
        <f>AVERAGE(AL770:AM770)</f>
        <v>1675036800</v>
      </c>
    </row>
    <row r="771" spans="1:40" ht="15.75" customHeight="1" x14ac:dyDescent="0.2">
      <c r="A771" s="287" t="s">
        <v>133</v>
      </c>
      <c r="B771" s="70">
        <v>44944</v>
      </c>
      <c r="C771" s="70">
        <v>44949</v>
      </c>
      <c r="D771" s="69" t="s">
        <v>183</v>
      </c>
      <c r="E771" s="333" t="s">
        <v>184</v>
      </c>
      <c r="F771" s="69" t="s">
        <v>140</v>
      </c>
      <c r="G771" s="69" t="s">
        <v>126</v>
      </c>
      <c r="H771" s="360">
        <v>1000</v>
      </c>
      <c r="I771" s="71"/>
      <c r="J771" s="71"/>
      <c r="K771" s="71"/>
      <c r="L771" s="71"/>
      <c r="M771" s="71"/>
      <c r="N771" s="71"/>
      <c r="O771" s="71"/>
      <c r="P771" s="71"/>
      <c r="Q771" s="71"/>
      <c r="R771" s="72"/>
      <c r="S771" s="71"/>
      <c r="T771" s="71"/>
      <c r="U771" s="71"/>
      <c r="V771" s="71"/>
      <c r="W771" s="71"/>
      <c r="X771" s="71"/>
      <c r="Y771" s="71"/>
      <c r="Z771" s="71"/>
      <c r="AA771" s="71"/>
      <c r="AB771" s="73" t="e">
        <f>100/(SUM(I771:Z771))</f>
        <v>#DIV/0!</v>
      </c>
      <c r="AC771" s="259">
        <f>SUM(I771:AA771)</f>
        <v>0</v>
      </c>
      <c r="AD771" s="71"/>
      <c r="AE771" s="71"/>
      <c r="AF771" s="71"/>
      <c r="AG771" s="74"/>
      <c r="AH771" s="75"/>
      <c r="AI771" s="75" t="s">
        <v>561</v>
      </c>
      <c r="AJ771" s="75" t="s">
        <v>559</v>
      </c>
      <c r="AK771" s="69"/>
      <c r="AL771" s="74">
        <f>(B771-DATE(1970,1,1))*86400</f>
        <v>1674000000</v>
      </c>
      <c r="AM771" s="74">
        <f>(C771-DATE(1970,1,1))*86400</f>
        <v>1674432000</v>
      </c>
      <c r="AN771" s="74">
        <f>AVERAGE(AL771:AM771)</f>
        <v>1674216000</v>
      </c>
    </row>
    <row r="772" spans="1:40" ht="15.75" customHeight="1" x14ac:dyDescent="0.2">
      <c r="A772" s="284" t="s">
        <v>133</v>
      </c>
      <c r="B772" s="20">
        <v>44926</v>
      </c>
      <c r="C772" s="20">
        <v>44937</v>
      </c>
      <c r="D772" s="19" t="s">
        <v>134</v>
      </c>
      <c r="E772" s="332" t="s">
        <v>125</v>
      </c>
      <c r="F772" s="19"/>
      <c r="G772" s="19" t="s">
        <v>135</v>
      </c>
      <c r="H772" s="332">
        <v>1800</v>
      </c>
      <c r="I772" s="21">
        <v>31</v>
      </c>
      <c r="J772" s="21">
        <v>2</v>
      </c>
      <c r="K772" s="21">
        <v>2</v>
      </c>
      <c r="L772" s="21">
        <v>1</v>
      </c>
      <c r="M772" s="21">
        <v>12</v>
      </c>
      <c r="N772" s="21"/>
      <c r="O772" s="21">
        <v>2</v>
      </c>
      <c r="P772" s="21">
        <v>4</v>
      </c>
      <c r="Q772" s="21"/>
      <c r="R772" s="22"/>
      <c r="S772" s="21"/>
      <c r="T772" s="21"/>
      <c r="U772" s="21"/>
      <c r="V772" s="21">
        <v>4</v>
      </c>
      <c r="W772" s="21"/>
      <c r="X772" s="21">
        <v>6</v>
      </c>
      <c r="Y772" s="21"/>
      <c r="Z772" s="21">
        <v>2</v>
      </c>
      <c r="AA772" s="21">
        <v>34</v>
      </c>
      <c r="AB772" s="23">
        <f>100/(SUM(I772:Z772))</f>
        <v>1.5151515151515151</v>
      </c>
      <c r="AC772" s="259">
        <f>SUM(I772:AA772)</f>
        <v>100</v>
      </c>
      <c r="AD772" s="24"/>
      <c r="AE772" s="24"/>
      <c r="AF772" s="24"/>
      <c r="AG772" s="25" t="s">
        <v>127</v>
      </c>
      <c r="AH772" s="26" t="s">
        <v>562</v>
      </c>
      <c r="AI772" s="83"/>
      <c r="AJ772" s="83" t="s">
        <v>563</v>
      </c>
      <c r="AK772" s="19"/>
      <c r="AL772" s="25">
        <f>(B772-DATE(1970,1,1))*86400</f>
        <v>1672444800</v>
      </c>
      <c r="AM772" s="25">
        <f>(C772-DATE(1970,1,1))*86400</f>
        <v>1673395200</v>
      </c>
      <c r="AN772" s="25">
        <f>AVERAGE(AL772:AM772)</f>
        <v>1672920000</v>
      </c>
    </row>
    <row r="773" spans="1:40" ht="15.75" customHeight="1" x14ac:dyDescent="0.2">
      <c r="A773" s="284" t="s">
        <v>123</v>
      </c>
      <c r="B773" s="20">
        <v>44926</v>
      </c>
      <c r="C773" s="20">
        <v>44937</v>
      </c>
      <c r="D773" s="19" t="s">
        <v>134</v>
      </c>
      <c r="E773" s="332" t="s">
        <v>125</v>
      </c>
      <c r="F773" s="19"/>
      <c r="G773" s="19" t="s">
        <v>135</v>
      </c>
      <c r="H773" s="332">
        <v>1800</v>
      </c>
      <c r="I773" s="21">
        <v>48</v>
      </c>
      <c r="J773" s="21">
        <v>2</v>
      </c>
      <c r="K773" s="21">
        <v>3</v>
      </c>
      <c r="L773" s="21">
        <v>1</v>
      </c>
      <c r="M773" s="21">
        <v>20</v>
      </c>
      <c r="N773" s="21"/>
      <c r="O773" s="21">
        <v>3</v>
      </c>
      <c r="P773" s="21">
        <v>6</v>
      </c>
      <c r="Q773" s="21"/>
      <c r="R773" s="22"/>
      <c r="S773" s="21"/>
      <c r="T773" s="21"/>
      <c r="U773" s="21"/>
      <c r="V773" s="21">
        <v>5</v>
      </c>
      <c r="W773" s="21"/>
      <c r="X773" s="21">
        <v>9</v>
      </c>
      <c r="Y773" s="21"/>
      <c r="Z773" s="21">
        <v>3</v>
      </c>
      <c r="AA773" s="21">
        <v>0</v>
      </c>
      <c r="AB773" s="23">
        <f>100/(SUM(I773:Z773))</f>
        <v>1</v>
      </c>
      <c r="AC773" s="259">
        <f>SUM(I773:AA773)</f>
        <v>100</v>
      </c>
      <c r="AD773" s="24"/>
      <c r="AE773" s="24"/>
      <c r="AF773" s="24"/>
      <c r="AG773" s="25" t="s">
        <v>127</v>
      </c>
      <c r="AH773" s="26" t="s">
        <v>562</v>
      </c>
      <c r="AI773" s="83"/>
      <c r="AJ773" s="83" t="s">
        <v>563</v>
      </c>
      <c r="AK773" s="19"/>
      <c r="AL773" s="25">
        <f>(B773-DATE(1970,1,1))*86400</f>
        <v>1672444800</v>
      </c>
      <c r="AM773" s="25">
        <f>(C773-DATE(1970,1,1))*86400</f>
        <v>1673395200</v>
      </c>
      <c r="AN773" s="25">
        <f>AVERAGE(AL773:AM773)</f>
        <v>1672920000</v>
      </c>
    </row>
    <row r="774" spans="1:40" ht="15.75" customHeight="1" x14ac:dyDescent="0.2">
      <c r="A774" s="288" t="s">
        <v>133</v>
      </c>
      <c r="B774" s="60">
        <v>44928</v>
      </c>
      <c r="C774" s="60">
        <v>44932</v>
      </c>
      <c r="D774" s="61" t="s">
        <v>168</v>
      </c>
      <c r="E774" s="334" t="s">
        <v>125</v>
      </c>
      <c r="F774" s="61"/>
      <c r="G774" s="61" t="s">
        <v>126</v>
      </c>
      <c r="H774" s="334">
        <v>1000</v>
      </c>
      <c r="I774" s="63">
        <v>32</v>
      </c>
      <c r="J774" s="63">
        <v>4</v>
      </c>
      <c r="K774" s="63">
        <v>3</v>
      </c>
      <c r="L774" s="63">
        <v>3</v>
      </c>
      <c r="M774" s="63">
        <v>14</v>
      </c>
      <c r="N774" s="63"/>
      <c r="O774" s="63">
        <v>2</v>
      </c>
      <c r="P774" s="63">
        <v>4</v>
      </c>
      <c r="Q774" s="63"/>
      <c r="R774" s="64"/>
      <c r="S774" s="63"/>
      <c r="T774" s="63"/>
      <c r="U774" s="63"/>
      <c r="V774" s="63">
        <v>2</v>
      </c>
      <c r="W774" s="63"/>
      <c r="X774" s="63">
        <v>6</v>
      </c>
      <c r="Y774" s="63"/>
      <c r="Z774" s="63">
        <v>0</v>
      </c>
      <c r="AA774" s="63">
        <v>30</v>
      </c>
      <c r="AB774" s="65">
        <f>100/(SUM(I774:Z774))</f>
        <v>1.4285714285714286</v>
      </c>
      <c r="AC774" s="259">
        <f>SUM(I774:AA774)</f>
        <v>100</v>
      </c>
      <c r="AD774" s="63">
        <v>59</v>
      </c>
      <c r="AE774" s="64"/>
      <c r="AF774" s="64"/>
      <c r="AG774" s="66" t="s">
        <v>127</v>
      </c>
      <c r="AH774" s="67" t="s">
        <v>564</v>
      </c>
      <c r="AI774" s="67" t="s">
        <v>565</v>
      </c>
      <c r="AJ774" s="67" t="s">
        <v>566</v>
      </c>
      <c r="AK774" s="61" t="s">
        <v>568</v>
      </c>
      <c r="AL774" s="66">
        <f>(B774-DATE(1970,1,1))*86400</f>
        <v>1672617600</v>
      </c>
      <c r="AM774" s="66">
        <f>(C774-DATE(1970,1,1))*86400</f>
        <v>1672963200</v>
      </c>
      <c r="AN774" s="66">
        <f>AVERAGE(AL774:AM774)</f>
        <v>1672790400</v>
      </c>
    </row>
    <row r="775" spans="1:40" ht="15.75" customHeight="1" x14ac:dyDescent="0.2">
      <c r="A775" s="288" t="s">
        <v>133</v>
      </c>
      <c r="B775" s="60">
        <v>44928</v>
      </c>
      <c r="C775" s="60">
        <v>44932</v>
      </c>
      <c r="D775" s="61" t="s">
        <v>168</v>
      </c>
      <c r="E775" s="334" t="s">
        <v>125</v>
      </c>
      <c r="F775" s="61"/>
      <c r="G775" s="61" t="s">
        <v>126</v>
      </c>
      <c r="H775" s="334">
        <v>1000</v>
      </c>
      <c r="I775" s="63">
        <v>45</v>
      </c>
      <c r="J775" s="63">
        <v>6</v>
      </c>
      <c r="K775" s="63">
        <v>5</v>
      </c>
      <c r="L775" s="63">
        <v>4</v>
      </c>
      <c r="M775" s="63">
        <v>20</v>
      </c>
      <c r="N775" s="63"/>
      <c r="O775" s="63">
        <v>2</v>
      </c>
      <c r="P775" s="63">
        <v>6</v>
      </c>
      <c r="Q775" s="63"/>
      <c r="R775" s="64"/>
      <c r="S775" s="63"/>
      <c r="T775" s="63"/>
      <c r="U775" s="63"/>
      <c r="V775" s="63">
        <v>3</v>
      </c>
      <c r="W775" s="63"/>
      <c r="X775" s="63">
        <v>9</v>
      </c>
      <c r="Y775" s="63"/>
      <c r="Z775" s="63">
        <v>0</v>
      </c>
      <c r="AA775" s="63">
        <v>0</v>
      </c>
      <c r="AB775" s="65">
        <f>100/(SUM(I775:Z775))</f>
        <v>1</v>
      </c>
      <c r="AC775" s="259">
        <f>SUM(I775:AA775)</f>
        <v>100</v>
      </c>
      <c r="AD775" s="63"/>
      <c r="AE775" s="64"/>
      <c r="AF775" s="64"/>
      <c r="AG775" s="66" t="s">
        <v>127</v>
      </c>
      <c r="AH775" s="67" t="s">
        <v>564</v>
      </c>
      <c r="AI775" s="67" t="s">
        <v>565</v>
      </c>
      <c r="AJ775" s="67" t="s">
        <v>566</v>
      </c>
      <c r="AK775" s="61" t="s">
        <v>567</v>
      </c>
      <c r="AL775" s="66">
        <f>(B775-DATE(1970,1,1))*86400</f>
        <v>1672617600</v>
      </c>
      <c r="AM775" s="66">
        <f>(C775-DATE(1970,1,1))*86400</f>
        <v>1672963200</v>
      </c>
      <c r="AN775" s="66">
        <f>AVERAGE(AL775:AM775)</f>
        <v>1672790400</v>
      </c>
    </row>
    <row r="776" spans="1:40" ht="15.75" customHeight="1" x14ac:dyDescent="0.2">
      <c r="A776" s="279" t="s">
        <v>123</v>
      </c>
      <c r="B776" s="14">
        <v>44928</v>
      </c>
      <c r="C776" s="14">
        <v>44930</v>
      </c>
      <c r="D776" s="13" t="s">
        <v>124</v>
      </c>
      <c r="E776" s="324" t="s">
        <v>125</v>
      </c>
      <c r="F776" s="13" t="s">
        <v>140</v>
      </c>
      <c r="G776" s="13" t="s">
        <v>126</v>
      </c>
      <c r="H776" s="349">
        <v>1000</v>
      </c>
      <c r="I776" s="15">
        <v>48</v>
      </c>
      <c r="J776" s="15">
        <v>1</v>
      </c>
      <c r="K776" s="15">
        <v>3</v>
      </c>
      <c r="L776" s="15">
        <v>1</v>
      </c>
      <c r="M776" s="15">
        <v>7</v>
      </c>
      <c r="N776" s="15"/>
      <c r="O776" s="15">
        <v>0</v>
      </c>
      <c r="P776" s="15">
        <v>3</v>
      </c>
      <c r="Q776" s="15"/>
      <c r="R776" s="98"/>
      <c r="S776" s="15"/>
      <c r="T776" s="15">
        <v>1</v>
      </c>
      <c r="U776" s="98">
        <v>20</v>
      </c>
      <c r="V776" s="15">
        <v>4</v>
      </c>
      <c r="W776" s="15"/>
      <c r="X776" s="15">
        <v>5</v>
      </c>
      <c r="Y776" s="15"/>
      <c r="Z776" s="15"/>
      <c r="AA776" s="98">
        <v>7</v>
      </c>
      <c r="AB776" s="16">
        <f>100/(SUM(I776:Z776))</f>
        <v>1.075268817204301</v>
      </c>
      <c r="AC776" s="259">
        <f>SUM(I776:AA776)</f>
        <v>100</v>
      </c>
      <c r="AD776" s="15" t="s">
        <v>569</v>
      </c>
      <c r="AE776" s="15"/>
      <c r="AF776" s="15"/>
      <c r="AG776" s="17" t="s">
        <v>127</v>
      </c>
      <c r="AH776" s="201" t="s">
        <v>570</v>
      </c>
      <c r="AI776" s="18" t="s">
        <v>571</v>
      </c>
      <c r="AJ776" s="18" t="s">
        <v>572</v>
      </c>
      <c r="AK776" s="13" t="s">
        <v>573</v>
      </c>
      <c r="AL776" s="17">
        <f>(B776-DATE(1970,1,1))*86400</f>
        <v>1672617600</v>
      </c>
      <c r="AM776" s="17">
        <f>(C776-DATE(1970,1,1))*86400</f>
        <v>1672790400</v>
      </c>
      <c r="AN776" s="17">
        <f>AVERAGE(AL776:AM776)</f>
        <v>1672704000</v>
      </c>
    </row>
    <row r="777" spans="1:40" ht="15.75" customHeight="1" x14ac:dyDescent="0.2">
      <c r="A777" s="279" t="s">
        <v>123</v>
      </c>
      <c r="B777" s="14">
        <v>44928</v>
      </c>
      <c r="C777" s="14">
        <v>44930</v>
      </c>
      <c r="D777" s="13" t="s">
        <v>124</v>
      </c>
      <c r="E777" s="324" t="s">
        <v>125</v>
      </c>
      <c r="F777" s="13" t="s">
        <v>195</v>
      </c>
      <c r="G777" s="13" t="s">
        <v>126</v>
      </c>
      <c r="H777" s="349">
        <v>1000</v>
      </c>
      <c r="I777" s="15">
        <v>56</v>
      </c>
      <c r="J777" s="15">
        <v>2</v>
      </c>
      <c r="K777" s="15">
        <v>2</v>
      </c>
      <c r="L777" s="15">
        <v>3</v>
      </c>
      <c r="M777" s="15">
        <v>14</v>
      </c>
      <c r="N777" s="15"/>
      <c r="O777" s="15">
        <v>1</v>
      </c>
      <c r="P777" s="15">
        <v>6</v>
      </c>
      <c r="Q777" s="15"/>
      <c r="R777" s="98"/>
      <c r="S777" s="15"/>
      <c r="T777" s="15"/>
      <c r="U777" s="15"/>
      <c r="V777" s="15">
        <v>4</v>
      </c>
      <c r="W777" s="15"/>
      <c r="X777" s="15">
        <v>6</v>
      </c>
      <c r="Y777" s="15"/>
      <c r="Z777" s="15">
        <v>6</v>
      </c>
      <c r="AA777" s="15">
        <v>0</v>
      </c>
      <c r="AB777" s="16">
        <f>100/(SUM(I777:Z777))</f>
        <v>1</v>
      </c>
      <c r="AC777" s="259">
        <f>SUM(I777:AA777)</f>
        <v>100</v>
      </c>
      <c r="AD777" s="15" t="s">
        <v>574</v>
      </c>
      <c r="AE777" s="15"/>
      <c r="AF777" s="15"/>
      <c r="AG777" s="17" t="s">
        <v>127</v>
      </c>
      <c r="AH777" s="18" t="s">
        <v>570</v>
      </c>
      <c r="AI777" s="18" t="s">
        <v>571</v>
      </c>
      <c r="AJ777" s="18" t="s">
        <v>572</v>
      </c>
      <c r="AK777" s="13" t="s">
        <v>575</v>
      </c>
      <c r="AL777" s="17">
        <f>(B777-DATE(1970,1,1))*86400</f>
        <v>1672617600</v>
      </c>
      <c r="AM777" s="17">
        <f>(C777-DATE(1970,1,1))*86400</f>
        <v>1672790400</v>
      </c>
      <c r="AN777" s="17">
        <f>AVERAGE(AL777:AM777)</f>
        <v>1672704000</v>
      </c>
    </row>
    <row r="778" spans="1:40" ht="15.75" customHeight="1" x14ac:dyDescent="0.2">
      <c r="A778" s="281" t="s">
        <v>133</v>
      </c>
      <c r="B778" s="54">
        <v>44907</v>
      </c>
      <c r="C778" s="54">
        <v>44911</v>
      </c>
      <c r="D778" s="53" t="s">
        <v>154</v>
      </c>
      <c r="E778" s="323" t="s">
        <v>125</v>
      </c>
      <c r="F778" s="53"/>
      <c r="G778" s="53" t="s">
        <v>126</v>
      </c>
      <c r="H778" s="357">
        <v>1002</v>
      </c>
      <c r="I778" s="55">
        <v>28</v>
      </c>
      <c r="J778" s="55">
        <v>4</v>
      </c>
      <c r="K778" s="55">
        <v>3</v>
      </c>
      <c r="L778" s="55">
        <v>1</v>
      </c>
      <c r="M778" s="55">
        <v>9</v>
      </c>
      <c r="N778" s="55"/>
      <c r="O778" s="55">
        <v>0</v>
      </c>
      <c r="P778" s="55">
        <v>4</v>
      </c>
      <c r="Q778" s="55"/>
      <c r="R778" s="56"/>
      <c r="S778" s="55"/>
      <c r="T778" s="55"/>
      <c r="U778" s="55">
        <v>4</v>
      </c>
      <c r="V778" s="55">
        <v>3</v>
      </c>
      <c r="W778" s="55"/>
      <c r="X778" s="55">
        <v>2</v>
      </c>
      <c r="Y778" s="55"/>
      <c r="Z778" s="55">
        <v>2</v>
      </c>
      <c r="AA778" s="55">
        <v>39</v>
      </c>
      <c r="AB778" s="57">
        <f>100/(SUM(I778:Z778))</f>
        <v>1.6666666666666667</v>
      </c>
      <c r="AC778" s="259">
        <f>SUM(I778:AA778)</f>
        <v>99</v>
      </c>
      <c r="AD778" s="55"/>
      <c r="AE778" s="55"/>
      <c r="AF778" s="55"/>
      <c r="AG778" s="58" t="s">
        <v>155</v>
      </c>
      <c r="AH778" s="59" t="s">
        <v>577</v>
      </c>
      <c r="AI778" s="59"/>
      <c r="AJ778" s="59" t="s">
        <v>580</v>
      </c>
      <c r="AK778" s="53"/>
      <c r="AL778" s="58">
        <f>(B778-DATE(1970,1,1))*86400</f>
        <v>1670803200</v>
      </c>
      <c r="AM778" s="58">
        <f>(C778-DATE(1970,1,1))*86400</f>
        <v>1671148800</v>
      </c>
      <c r="AN778" s="58">
        <f>AVERAGE(AL778:AM778)</f>
        <v>1670976000</v>
      </c>
    </row>
    <row r="779" spans="1:40" ht="15.75" customHeight="1" x14ac:dyDescent="0.2">
      <c r="A779" s="281" t="s">
        <v>133</v>
      </c>
      <c r="B779" s="54">
        <v>44907</v>
      </c>
      <c r="C779" s="54">
        <v>44911</v>
      </c>
      <c r="D779" s="53" t="s">
        <v>154</v>
      </c>
      <c r="E779" s="323" t="s">
        <v>125</v>
      </c>
      <c r="F779" s="53" t="s">
        <v>576</v>
      </c>
      <c r="G779" s="53" t="s">
        <v>126</v>
      </c>
      <c r="H779" s="357">
        <v>1002</v>
      </c>
      <c r="I779" s="55">
        <v>28</v>
      </c>
      <c r="J779" s="55"/>
      <c r="K779" s="55"/>
      <c r="L779" s="55"/>
      <c r="M779" s="55"/>
      <c r="N779" s="55"/>
      <c r="O779" s="55"/>
      <c r="P779" s="55"/>
      <c r="Q779" s="55"/>
      <c r="R779" s="56"/>
      <c r="S779" s="55"/>
      <c r="T779" s="55"/>
      <c r="U779" s="55">
        <v>26</v>
      </c>
      <c r="V779" s="55">
        <v>3</v>
      </c>
      <c r="W779" s="55"/>
      <c r="X779" s="55">
        <v>2</v>
      </c>
      <c r="Y779" s="55"/>
      <c r="Z779" s="55">
        <v>2</v>
      </c>
      <c r="AA779" s="55"/>
      <c r="AB779" s="57">
        <f>100/(SUM(I779:Z779))</f>
        <v>1.639344262295082</v>
      </c>
      <c r="AC779" s="259">
        <f>SUM(I779:AA779)</f>
        <v>61</v>
      </c>
      <c r="AD779" s="55"/>
      <c r="AE779" s="55"/>
      <c r="AF779" s="55"/>
      <c r="AG779" s="58" t="s">
        <v>155</v>
      </c>
      <c r="AH779" s="59" t="s">
        <v>577</v>
      </c>
      <c r="AI779" s="59" t="s">
        <v>578</v>
      </c>
      <c r="AJ779" s="59"/>
      <c r="AK779" s="53" t="s">
        <v>579</v>
      </c>
      <c r="AL779" s="58">
        <f>(B779-DATE(1970,1,1))*86400</f>
        <v>1670803200</v>
      </c>
      <c r="AM779" s="58">
        <f>(C779-DATE(1970,1,1))*86400</f>
        <v>1671148800</v>
      </c>
      <c r="AN779" s="58">
        <f>AVERAGE(AL779:AM779)</f>
        <v>1670976000</v>
      </c>
    </row>
    <row r="780" spans="1:40" ht="15.75" customHeight="1" x14ac:dyDescent="0.2">
      <c r="A780" s="281" t="s">
        <v>123</v>
      </c>
      <c r="B780" s="54">
        <v>44907</v>
      </c>
      <c r="C780" s="54">
        <v>44911</v>
      </c>
      <c r="D780" s="53" t="s">
        <v>154</v>
      </c>
      <c r="E780" s="323" t="s">
        <v>125</v>
      </c>
      <c r="F780" s="53"/>
      <c r="G780" s="53" t="s">
        <v>126</v>
      </c>
      <c r="H780" s="357">
        <v>1002</v>
      </c>
      <c r="I780" s="55">
        <v>36</v>
      </c>
      <c r="J780" s="55">
        <v>5</v>
      </c>
      <c r="K780" s="55">
        <v>4</v>
      </c>
      <c r="L780" s="55">
        <v>1</v>
      </c>
      <c r="M780" s="55">
        <v>11</v>
      </c>
      <c r="N780" s="55"/>
      <c r="O780" s="55">
        <v>0</v>
      </c>
      <c r="P780" s="55">
        <v>5</v>
      </c>
      <c r="Q780" s="55"/>
      <c r="R780" s="56"/>
      <c r="S780" s="55"/>
      <c r="T780" s="55"/>
      <c r="U780" s="55">
        <v>6</v>
      </c>
      <c r="V780" s="55">
        <v>3</v>
      </c>
      <c r="W780" s="55"/>
      <c r="X780" s="55">
        <v>3</v>
      </c>
      <c r="Y780" s="55"/>
      <c r="Z780" s="55">
        <v>2</v>
      </c>
      <c r="AA780" s="55">
        <v>23</v>
      </c>
      <c r="AB780" s="57">
        <f>100/(SUM(I780:Z780))</f>
        <v>1.3157894736842106</v>
      </c>
      <c r="AC780" s="259">
        <f>SUM(I780:AA780)</f>
        <v>99</v>
      </c>
      <c r="AD780" s="55"/>
      <c r="AE780" s="55"/>
      <c r="AF780" s="55"/>
      <c r="AG780" s="58" t="s">
        <v>155</v>
      </c>
      <c r="AH780" s="59" t="s">
        <v>577</v>
      </c>
      <c r="AI780" s="59"/>
      <c r="AJ780" s="59" t="s">
        <v>580</v>
      </c>
      <c r="AK780" s="53"/>
      <c r="AL780" s="58">
        <f>(B780-DATE(1970,1,1))*86400</f>
        <v>1670803200</v>
      </c>
      <c r="AM780" s="58">
        <f>(C780-DATE(1970,1,1))*86400</f>
        <v>1671148800</v>
      </c>
      <c r="AN780" s="58">
        <f>AVERAGE(AL780:AM780)</f>
        <v>1670976000</v>
      </c>
    </row>
    <row r="781" spans="1:40" ht="15.75" customHeight="1" x14ac:dyDescent="0.2">
      <c r="A781" s="281" t="s">
        <v>123</v>
      </c>
      <c r="B781" s="54">
        <v>44907</v>
      </c>
      <c r="C781" s="54">
        <v>44911</v>
      </c>
      <c r="D781" s="53" t="s">
        <v>154</v>
      </c>
      <c r="E781" s="323" t="s">
        <v>125</v>
      </c>
      <c r="F781" s="53"/>
      <c r="G781" s="53" t="s">
        <v>126</v>
      </c>
      <c r="H781" s="357">
        <v>1002</v>
      </c>
      <c r="I781" s="55">
        <v>48</v>
      </c>
      <c r="J781" s="55">
        <v>6</v>
      </c>
      <c r="K781" s="55">
        <v>5</v>
      </c>
      <c r="L781" s="55">
        <v>2</v>
      </c>
      <c r="M781" s="55">
        <v>13</v>
      </c>
      <c r="N781" s="55"/>
      <c r="O781" s="55">
        <v>1</v>
      </c>
      <c r="P781" s="55">
        <v>6</v>
      </c>
      <c r="Q781" s="55"/>
      <c r="R781" s="56"/>
      <c r="S781" s="55"/>
      <c r="T781" s="55"/>
      <c r="U781" s="55">
        <v>7</v>
      </c>
      <c r="V781" s="55">
        <v>4</v>
      </c>
      <c r="W781" s="55"/>
      <c r="X781" s="55">
        <v>4</v>
      </c>
      <c r="Y781" s="55"/>
      <c r="Z781" s="55">
        <v>2</v>
      </c>
      <c r="AA781" s="55">
        <v>0</v>
      </c>
      <c r="AB781" s="57">
        <f>100/(SUM(I781:Z781))</f>
        <v>1.0204081632653061</v>
      </c>
      <c r="AC781" s="259">
        <f>SUM(I781:AA781)</f>
        <v>98</v>
      </c>
      <c r="AD781" s="55"/>
      <c r="AE781" s="55"/>
      <c r="AF781" s="55"/>
      <c r="AG781" s="58" t="s">
        <v>155</v>
      </c>
      <c r="AH781" s="59" t="s">
        <v>577</v>
      </c>
      <c r="AI781" s="59"/>
      <c r="AJ781" s="59" t="s">
        <v>580</v>
      </c>
      <c r="AK781" s="53"/>
      <c r="AL781" s="58">
        <f>(B781-DATE(1970,1,1))*86400</f>
        <v>1670803200</v>
      </c>
      <c r="AM781" s="58">
        <f>(C781-DATE(1970,1,1))*86400</f>
        <v>1671148800</v>
      </c>
      <c r="AN781" s="58">
        <f>AVERAGE(AL781:AM781)</f>
        <v>1670976000</v>
      </c>
    </row>
    <row r="782" spans="1:40" ht="15.75" customHeight="1" x14ac:dyDescent="0.2">
      <c r="A782" s="281" t="s">
        <v>123</v>
      </c>
      <c r="B782" s="54">
        <v>44907</v>
      </c>
      <c r="C782" s="54">
        <v>44911</v>
      </c>
      <c r="D782" s="53" t="s">
        <v>154</v>
      </c>
      <c r="E782" s="323" t="s">
        <v>125</v>
      </c>
      <c r="F782" s="53" t="s">
        <v>576</v>
      </c>
      <c r="G782" s="53" t="s">
        <v>126</v>
      </c>
      <c r="H782" s="357">
        <v>1002</v>
      </c>
      <c r="I782" s="55">
        <v>36</v>
      </c>
      <c r="J782" s="55"/>
      <c r="K782" s="55"/>
      <c r="L782" s="55"/>
      <c r="M782" s="55"/>
      <c r="N782" s="55"/>
      <c r="O782" s="55"/>
      <c r="P782" s="55"/>
      <c r="Q782" s="55"/>
      <c r="R782" s="56"/>
      <c r="S782" s="55"/>
      <c r="T782" s="55"/>
      <c r="U782" s="55">
        <v>33</v>
      </c>
      <c r="V782" s="55">
        <v>3</v>
      </c>
      <c r="W782" s="55"/>
      <c r="X782" s="55">
        <v>3</v>
      </c>
      <c r="Y782" s="55"/>
      <c r="Z782" s="55">
        <v>2</v>
      </c>
      <c r="AA782" s="55"/>
      <c r="AB782" s="57">
        <f>100/(SUM(I782:Z782))</f>
        <v>1.2987012987012987</v>
      </c>
      <c r="AC782" s="259">
        <f>SUM(I782:AA782)</f>
        <v>77</v>
      </c>
      <c r="AD782" s="55"/>
      <c r="AE782" s="55"/>
      <c r="AF782" s="55"/>
      <c r="AG782" s="58" t="s">
        <v>155</v>
      </c>
      <c r="AH782" s="59" t="s">
        <v>577</v>
      </c>
      <c r="AI782" s="59"/>
      <c r="AJ782" s="59"/>
      <c r="AK782" s="53" t="s">
        <v>579</v>
      </c>
      <c r="AL782" s="58">
        <f>(B782-DATE(1970,1,1))*86400</f>
        <v>1670803200</v>
      </c>
      <c r="AM782" s="58">
        <f>(C782-DATE(1970,1,1))*86400</f>
        <v>1671148800</v>
      </c>
      <c r="AN782" s="58">
        <f>AVERAGE(AL782:AM782)</f>
        <v>1670976000</v>
      </c>
    </row>
    <row r="783" spans="1:40" ht="15.75" customHeight="1" x14ac:dyDescent="0.2">
      <c r="A783" s="281" t="s">
        <v>123</v>
      </c>
      <c r="B783" s="54">
        <v>44907</v>
      </c>
      <c r="C783" s="54">
        <v>44911</v>
      </c>
      <c r="D783" s="53" t="s">
        <v>154</v>
      </c>
      <c r="E783" s="323" t="s">
        <v>125</v>
      </c>
      <c r="F783" s="53" t="s">
        <v>576</v>
      </c>
      <c r="G783" s="53" t="s">
        <v>126</v>
      </c>
      <c r="H783" s="357">
        <v>1002</v>
      </c>
      <c r="I783" s="55">
        <v>48</v>
      </c>
      <c r="J783" s="55"/>
      <c r="K783" s="55"/>
      <c r="L783" s="55"/>
      <c r="M783" s="55"/>
      <c r="N783" s="55"/>
      <c r="O783" s="55"/>
      <c r="P783" s="55"/>
      <c r="Q783" s="55"/>
      <c r="R783" s="56"/>
      <c r="S783" s="55"/>
      <c r="T783" s="55"/>
      <c r="U783" s="55">
        <v>41</v>
      </c>
      <c r="V783" s="55">
        <v>4</v>
      </c>
      <c r="W783" s="55"/>
      <c r="X783" s="55">
        <v>4</v>
      </c>
      <c r="Y783" s="55"/>
      <c r="Z783" s="55">
        <v>2</v>
      </c>
      <c r="AA783" s="55"/>
      <c r="AB783" s="57">
        <f>100/(SUM(I783:Z783))</f>
        <v>1.0101010101010102</v>
      </c>
      <c r="AC783" s="259">
        <f>SUM(I783:AA783)</f>
        <v>99</v>
      </c>
      <c r="AD783" s="55"/>
      <c r="AE783" s="55"/>
      <c r="AF783" s="55"/>
      <c r="AG783" s="58" t="s">
        <v>155</v>
      </c>
      <c r="AH783" s="59" t="s">
        <v>577</v>
      </c>
      <c r="AI783" s="59"/>
      <c r="AJ783" s="59"/>
      <c r="AK783" s="53" t="s">
        <v>579</v>
      </c>
      <c r="AL783" s="58">
        <f>(B783-DATE(1970,1,1))*86400</f>
        <v>1670803200</v>
      </c>
      <c r="AM783" s="58">
        <f>(C783-DATE(1970,1,1))*86400</f>
        <v>1671148800</v>
      </c>
      <c r="AN783" s="58">
        <f>AVERAGE(AL783:AM783)</f>
        <v>1670976000</v>
      </c>
    </row>
    <row r="784" spans="1:40" ht="15.75" customHeight="1" x14ac:dyDescent="0.2">
      <c r="A784" s="285" t="s">
        <v>133</v>
      </c>
      <c r="B784" s="34">
        <v>44904</v>
      </c>
      <c r="C784" s="34">
        <v>44910</v>
      </c>
      <c r="D784" s="33" t="s">
        <v>143</v>
      </c>
      <c r="E784" s="319" t="s">
        <v>125</v>
      </c>
      <c r="F784" s="33"/>
      <c r="G784" s="33" t="s">
        <v>126</v>
      </c>
      <c r="H784" s="353">
        <v>1000</v>
      </c>
      <c r="I784" s="35">
        <v>32</v>
      </c>
      <c r="J784" s="35">
        <v>1</v>
      </c>
      <c r="K784" s="35">
        <v>4</v>
      </c>
      <c r="L784" s="35">
        <v>1</v>
      </c>
      <c r="M784" s="35">
        <v>8</v>
      </c>
      <c r="N784" s="35"/>
      <c r="O784" s="35">
        <v>1</v>
      </c>
      <c r="P784" s="35">
        <v>6</v>
      </c>
      <c r="Q784" s="35"/>
      <c r="R784" s="36"/>
      <c r="S784" s="35">
        <v>2</v>
      </c>
      <c r="T784" s="35">
        <v>1</v>
      </c>
      <c r="U784" s="35"/>
      <c r="V784" s="35">
        <v>6</v>
      </c>
      <c r="W784" s="35"/>
      <c r="X784" s="35">
        <v>7</v>
      </c>
      <c r="Y784" s="35"/>
      <c r="Z784" s="35">
        <v>1</v>
      </c>
      <c r="AA784" s="35">
        <v>30</v>
      </c>
      <c r="AB784" s="37">
        <f>100/(SUM(I784:Z784))</f>
        <v>1.4285714285714286</v>
      </c>
      <c r="AC784" s="259">
        <f>SUM(I784:AA784)</f>
        <v>100</v>
      </c>
      <c r="AD784" s="35"/>
      <c r="AE784" s="35"/>
      <c r="AF784" s="35"/>
      <c r="AG784" s="33" t="s">
        <v>144</v>
      </c>
      <c r="AH784" s="33" t="s">
        <v>165</v>
      </c>
      <c r="AI784" s="38" t="s">
        <v>581</v>
      </c>
      <c r="AJ784" s="38" t="s">
        <v>582</v>
      </c>
      <c r="AK784" s="33" t="s">
        <v>583</v>
      </c>
      <c r="AL784" s="39">
        <f>(B784-DATE(1970,1,1))*86400</f>
        <v>1670544000</v>
      </c>
      <c r="AM784" s="39">
        <f>(C784-DATE(1970,1,1))*86400</f>
        <v>1671062400</v>
      </c>
      <c r="AN784" s="39">
        <f>AVERAGE(AL784:AM784)</f>
        <v>1670803200</v>
      </c>
    </row>
    <row r="785" spans="1:65" ht="15.75" customHeight="1" x14ac:dyDescent="0.2">
      <c r="A785" s="285" t="s">
        <v>133</v>
      </c>
      <c r="B785" s="34">
        <v>44904</v>
      </c>
      <c r="C785" s="34">
        <v>44910</v>
      </c>
      <c r="D785" s="33" t="s">
        <v>143</v>
      </c>
      <c r="E785" s="319" t="s">
        <v>125</v>
      </c>
      <c r="F785" s="33"/>
      <c r="G785" s="33" t="s">
        <v>126</v>
      </c>
      <c r="H785" s="353">
        <v>1000</v>
      </c>
      <c r="I785" s="35">
        <v>47</v>
      </c>
      <c r="J785" s="35">
        <v>2</v>
      </c>
      <c r="K785" s="35">
        <v>6</v>
      </c>
      <c r="L785" s="35">
        <v>1</v>
      </c>
      <c r="M785" s="35">
        <v>11</v>
      </c>
      <c r="N785" s="35"/>
      <c r="O785" s="35">
        <v>1</v>
      </c>
      <c r="P785" s="35">
        <v>9</v>
      </c>
      <c r="Q785" s="35"/>
      <c r="R785" s="36"/>
      <c r="S785" s="35">
        <v>3</v>
      </c>
      <c r="T785" s="35">
        <v>2</v>
      </c>
      <c r="U785" s="35"/>
      <c r="V785" s="35">
        <v>9</v>
      </c>
      <c r="W785" s="35"/>
      <c r="X785" s="35">
        <v>9</v>
      </c>
      <c r="Y785" s="35"/>
      <c r="Z785" s="35">
        <v>0</v>
      </c>
      <c r="AA785" s="35">
        <v>0</v>
      </c>
      <c r="AB785" s="37">
        <f>100/(SUM(I785:Z785))</f>
        <v>1</v>
      </c>
      <c r="AC785" s="259">
        <f>SUM(I785:AA785)</f>
        <v>100</v>
      </c>
      <c r="AD785" s="35"/>
      <c r="AE785" s="35"/>
      <c r="AF785" s="35"/>
      <c r="AG785" s="33" t="s">
        <v>144</v>
      </c>
      <c r="AH785" s="33" t="s">
        <v>165</v>
      </c>
      <c r="AI785" s="38" t="s">
        <v>581</v>
      </c>
      <c r="AJ785" s="38"/>
      <c r="AK785" s="33" t="s">
        <v>583</v>
      </c>
      <c r="AL785" s="39">
        <f>(B785-DATE(1970,1,1))*86400</f>
        <v>1670544000</v>
      </c>
      <c r="AM785" s="39">
        <f>(C785-DATE(1970,1,1))*86400</f>
        <v>1671062400</v>
      </c>
      <c r="AN785" s="39">
        <f>AVERAGE(AL785:AM785)</f>
        <v>1670803200</v>
      </c>
    </row>
    <row r="786" spans="1:65" ht="15.75" customHeight="1" x14ac:dyDescent="0.2">
      <c r="A786" s="285" t="s">
        <v>123</v>
      </c>
      <c r="B786" s="34">
        <v>44904</v>
      </c>
      <c r="C786" s="34">
        <v>44910</v>
      </c>
      <c r="D786" s="33" t="s">
        <v>143</v>
      </c>
      <c r="E786" s="319" t="s">
        <v>125</v>
      </c>
      <c r="F786" s="33"/>
      <c r="G786" s="33" t="s">
        <v>126</v>
      </c>
      <c r="H786" s="353">
        <v>1000</v>
      </c>
      <c r="I786" s="35">
        <v>50</v>
      </c>
      <c r="J786" s="35">
        <v>2</v>
      </c>
      <c r="K786" s="35">
        <v>5</v>
      </c>
      <c r="L786" s="35">
        <v>2</v>
      </c>
      <c r="M786" s="35">
        <v>12</v>
      </c>
      <c r="N786" s="35"/>
      <c r="O786" s="35">
        <v>1</v>
      </c>
      <c r="P786" s="35">
        <v>8</v>
      </c>
      <c r="Q786" s="35"/>
      <c r="R786" s="36"/>
      <c r="S786" s="35">
        <v>3</v>
      </c>
      <c r="T786" s="35">
        <v>2</v>
      </c>
      <c r="U786" s="35"/>
      <c r="V786" s="35">
        <v>7</v>
      </c>
      <c r="W786" s="35"/>
      <c r="X786" s="35">
        <v>8</v>
      </c>
      <c r="Y786" s="35"/>
      <c r="Z786" s="35">
        <v>0</v>
      </c>
      <c r="AA786" s="35">
        <v>0</v>
      </c>
      <c r="AB786" s="37">
        <f>100/(SUM(I786:Z786))</f>
        <v>1</v>
      </c>
      <c r="AC786" s="259">
        <f>SUM(I786:AA786)</f>
        <v>100</v>
      </c>
      <c r="AD786" s="35"/>
      <c r="AE786" s="35"/>
      <c r="AF786" s="35"/>
      <c r="AG786" s="33" t="s">
        <v>144</v>
      </c>
      <c r="AH786" s="33" t="s">
        <v>165</v>
      </c>
      <c r="AI786" s="38" t="s">
        <v>581</v>
      </c>
      <c r="AJ786" s="33"/>
      <c r="AK786" s="33" t="s">
        <v>583</v>
      </c>
      <c r="AL786" s="39">
        <f>(B786-DATE(1970,1,1))*86400</f>
        <v>1670544000</v>
      </c>
      <c r="AM786" s="39">
        <f>(C786-DATE(1970,1,1))*86400</f>
        <v>1671062400</v>
      </c>
      <c r="AN786" s="39">
        <f>AVERAGE(AL786:AM786)</f>
        <v>1670803200</v>
      </c>
    </row>
    <row r="787" spans="1:65" ht="15.75" customHeight="1" x14ac:dyDescent="0.2">
      <c r="A787" s="283" t="s">
        <v>123</v>
      </c>
      <c r="B787" s="28">
        <v>44904</v>
      </c>
      <c r="C787" s="28">
        <v>44909</v>
      </c>
      <c r="D787" s="27" t="s">
        <v>139</v>
      </c>
      <c r="E787" s="331" t="s">
        <v>125</v>
      </c>
      <c r="F787" s="27"/>
      <c r="G787" s="27" t="s">
        <v>126</v>
      </c>
      <c r="H787" s="352">
        <v>1000</v>
      </c>
      <c r="I787" s="29">
        <v>51</v>
      </c>
      <c r="J787" s="29">
        <v>2</v>
      </c>
      <c r="K787" s="29">
        <v>6</v>
      </c>
      <c r="L787" s="29">
        <v>1</v>
      </c>
      <c r="M787" s="29">
        <v>13</v>
      </c>
      <c r="N787" s="29"/>
      <c r="O787" s="29">
        <v>1</v>
      </c>
      <c r="P787" s="29">
        <v>6</v>
      </c>
      <c r="Q787" s="29"/>
      <c r="R787" s="29"/>
      <c r="S787" s="29"/>
      <c r="T787" s="29">
        <v>2</v>
      </c>
      <c r="U787" s="29"/>
      <c r="V787" s="29">
        <v>7</v>
      </c>
      <c r="W787" s="29"/>
      <c r="X787" s="29">
        <v>10</v>
      </c>
      <c r="Y787" s="29"/>
      <c r="Z787" s="29">
        <v>1</v>
      </c>
      <c r="AA787" s="29">
        <v>0</v>
      </c>
      <c r="AB787" s="30">
        <f>100/(SUM(I787:Z787))</f>
        <v>1</v>
      </c>
      <c r="AC787" s="259">
        <f>SUM(I787:AA787)</f>
        <v>100</v>
      </c>
      <c r="AD787" s="29"/>
      <c r="AE787" s="29"/>
      <c r="AF787" s="29"/>
      <c r="AG787" s="31" t="s">
        <v>127</v>
      </c>
      <c r="AH787" s="32" t="s">
        <v>366</v>
      </c>
      <c r="AI787" s="32" t="s">
        <v>584</v>
      </c>
      <c r="AJ787" s="32" t="s">
        <v>583</v>
      </c>
      <c r="AK787" s="27" t="s">
        <v>585</v>
      </c>
      <c r="AL787" s="31">
        <f>(B787-DATE(1970,1,1))*86400</f>
        <v>1670544000</v>
      </c>
      <c r="AM787" s="31">
        <f>(C787-DATE(1970,1,1))*86400</f>
        <v>1670976000</v>
      </c>
      <c r="AN787" s="31">
        <f>AVERAGE(AL787:AM787)</f>
        <v>1670760000</v>
      </c>
    </row>
    <row r="788" spans="1:65" ht="15.75" customHeight="1" x14ac:dyDescent="0.2">
      <c r="A788" s="281" t="s">
        <v>133</v>
      </c>
      <c r="B788" s="54">
        <v>44900</v>
      </c>
      <c r="C788" s="54">
        <v>44903</v>
      </c>
      <c r="D788" s="53" t="s">
        <v>154</v>
      </c>
      <c r="E788" s="323" t="s">
        <v>125</v>
      </c>
      <c r="F788" s="53" t="s">
        <v>140</v>
      </c>
      <c r="G788" s="53" t="s">
        <v>126</v>
      </c>
      <c r="H788" s="357">
        <v>1009</v>
      </c>
      <c r="I788" s="55"/>
      <c r="J788" s="55"/>
      <c r="K788" s="55"/>
      <c r="L788" s="55"/>
      <c r="M788" s="55"/>
      <c r="N788" s="55"/>
      <c r="O788" s="55"/>
      <c r="P788" s="55"/>
      <c r="Q788" s="55"/>
      <c r="R788" s="56"/>
      <c r="S788" s="55"/>
      <c r="T788" s="55"/>
      <c r="U788" s="55"/>
      <c r="V788" s="55"/>
      <c r="W788" s="55"/>
      <c r="X788" s="55"/>
      <c r="Y788" s="55"/>
      <c r="Z788" s="55"/>
      <c r="AA788" s="55"/>
      <c r="AB788" s="57" t="e">
        <f>100/(SUM(I788:Z788))</f>
        <v>#DIV/0!</v>
      </c>
      <c r="AC788" s="259">
        <f>SUM(I788:AA788)</f>
        <v>0</v>
      </c>
      <c r="AD788" s="55"/>
      <c r="AE788" s="55"/>
      <c r="AF788" s="55"/>
      <c r="AG788" s="58" t="s">
        <v>155</v>
      </c>
      <c r="AH788" s="59"/>
      <c r="AI788" s="59" t="s">
        <v>586</v>
      </c>
      <c r="AJ788" s="59" t="s">
        <v>587</v>
      </c>
      <c r="AK788" s="53"/>
      <c r="AL788" s="58">
        <f>(B788-DATE(1970,1,1))*86400</f>
        <v>1670198400</v>
      </c>
      <c r="AM788" s="58">
        <f>(C788-DATE(1970,1,1))*86400</f>
        <v>1670457600</v>
      </c>
      <c r="AN788" s="58">
        <f>AVERAGE(AL788:AM788)</f>
        <v>1670328000</v>
      </c>
    </row>
    <row r="789" spans="1:65" ht="15.75" customHeight="1" x14ac:dyDescent="0.2">
      <c r="A789" s="279" t="s">
        <v>123</v>
      </c>
      <c r="B789" s="14">
        <v>44900</v>
      </c>
      <c r="C789" s="14">
        <v>44902</v>
      </c>
      <c r="D789" s="13" t="s">
        <v>124</v>
      </c>
      <c r="E789" s="324" t="s">
        <v>125</v>
      </c>
      <c r="F789" s="13" t="s">
        <v>140</v>
      </c>
      <c r="G789" s="13" t="s">
        <v>126</v>
      </c>
      <c r="H789" s="349">
        <v>1000</v>
      </c>
      <c r="I789" s="15"/>
      <c r="J789" s="15"/>
      <c r="K789" s="15"/>
      <c r="L789" s="15"/>
      <c r="M789" s="15"/>
      <c r="N789" s="15"/>
      <c r="O789" s="15"/>
      <c r="P789" s="15"/>
      <c r="Q789" s="15"/>
      <c r="R789" s="98"/>
      <c r="S789" s="15"/>
      <c r="T789" s="15"/>
      <c r="U789" s="15"/>
      <c r="V789" s="15"/>
      <c r="W789" s="15"/>
      <c r="X789" s="15"/>
      <c r="Y789" s="15"/>
      <c r="Z789" s="15"/>
      <c r="AA789" s="15"/>
      <c r="AB789" s="16" t="e">
        <f>100/(SUM(I789:Z789))</f>
        <v>#DIV/0!</v>
      </c>
      <c r="AC789" s="259">
        <f>SUM(I789:AA789)</f>
        <v>0</v>
      </c>
      <c r="AD789" s="15"/>
      <c r="AE789" s="15"/>
      <c r="AF789" s="15"/>
      <c r="AG789" s="17" t="s">
        <v>127</v>
      </c>
      <c r="AH789" s="18"/>
      <c r="AI789" s="18"/>
      <c r="AJ789" s="18" t="s">
        <v>588</v>
      </c>
      <c r="AK789" s="13"/>
      <c r="AL789" s="17">
        <f>(B789-DATE(1970,1,1))*86400</f>
        <v>1670198400</v>
      </c>
      <c r="AM789" s="17">
        <f>(C789-DATE(1970,1,1))*86400</f>
        <v>1670371200</v>
      </c>
      <c r="AN789" s="17">
        <f>AVERAGE(AL789:AM789)</f>
        <v>1670284800</v>
      </c>
    </row>
    <row r="790" spans="1:65" ht="15.75" customHeight="1" x14ac:dyDescent="0.2">
      <c r="A790" s="284" t="s">
        <v>133</v>
      </c>
      <c r="B790" s="20">
        <v>44894</v>
      </c>
      <c r="C790" s="20">
        <v>44907</v>
      </c>
      <c r="D790" s="19" t="s">
        <v>134</v>
      </c>
      <c r="E790" s="332" t="s">
        <v>125</v>
      </c>
      <c r="F790" s="19"/>
      <c r="G790" s="19" t="s">
        <v>135</v>
      </c>
      <c r="H790" s="332">
        <v>1800</v>
      </c>
      <c r="I790" s="21">
        <v>31</v>
      </c>
      <c r="J790" s="21">
        <v>2</v>
      </c>
      <c r="K790" s="21">
        <v>3</v>
      </c>
      <c r="L790" s="21">
        <v>1</v>
      </c>
      <c r="M790" s="21">
        <v>12</v>
      </c>
      <c r="N790" s="21"/>
      <c r="O790" s="21">
        <v>2</v>
      </c>
      <c r="P790" s="21">
        <v>4</v>
      </c>
      <c r="Q790" s="21"/>
      <c r="R790" s="22"/>
      <c r="S790" s="21"/>
      <c r="T790" s="21"/>
      <c r="U790" s="21"/>
      <c r="V790" s="21">
        <v>4</v>
      </c>
      <c r="W790" s="21"/>
      <c r="X790" s="21">
        <v>7</v>
      </c>
      <c r="Y790" s="21"/>
      <c r="Z790" s="21">
        <v>2</v>
      </c>
      <c r="AA790" s="21">
        <v>32</v>
      </c>
      <c r="AB790" s="23">
        <f>100/(SUM(I790:Z790))</f>
        <v>1.4705882352941178</v>
      </c>
      <c r="AC790" s="259">
        <f>SUM(I790:AA790)</f>
        <v>100</v>
      </c>
      <c r="AD790" s="24"/>
      <c r="AE790" s="24"/>
      <c r="AF790" s="24"/>
      <c r="AG790" s="25" t="s">
        <v>127</v>
      </c>
      <c r="AH790" s="26" t="s">
        <v>589</v>
      </c>
      <c r="AI790" s="83"/>
      <c r="AJ790" s="83"/>
      <c r="AK790" s="19"/>
      <c r="AL790" s="25">
        <f>(B790-DATE(1970,1,1))*86400</f>
        <v>1669680000</v>
      </c>
      <c r="AM790" s="25">
        <f>(C790-DATE(1970,1,1))*86400</f>
        <v>1670803200</v>
      </c>
      <c r="AN790" s="25">
        <f>AVERAGE(AL790:AM790)</f>
        <v>1670241600</v>
      </c>
    </row>
    <row r="791" spans="1:65" ht="15.75" customHeight="1" x14ac:dyDescent="0.2">
      <c r="A791" s="284" t="s">
        <v>123</v>
      </c>
      <c r="B791" s="20">
        <v>44894</v>
      </c>
      <c r="C791" s="20">
        <v>44907</v>
      </c>
      <c r="D791" s="19" t="s">
        <v>134</v>
      </c>
      <c r="E791" s="332" t="s">
        <v>125</v>
      </c>
      <c r="F791" s="19"/>
      <c r="G791" s="19" t="s">
        <v>135</v>
      </c>
      <c r="H791" s="332">
        <v>1800</v>
      </c>
      <c r="I791" s="21">
        <v>47</v>
      </c>
      <c r="J791" s="21">
        <v>3</v>
      </c>
      <c r="K791" s="21">
        <v>4</v>
      </c>
      <c r="L791" s="21">
        <v>1</v>
      </c>
      <c r="M791" s="21">
        <v>19</v>
      </c>
      <c r="N791" s="21"/>
      <c r="O791" s="21">
        <v>3</v>
      </c>
      <c r="P791" s="21">
        <v>6</v>
      </c>
      <c r="Q791" s="21"/>
      <c r="R791" s="22"/>
      <c r="S791" s="21"/>
      <c r="T791" s="21"/>
      <c r="U791" s="21"/>
      <c r="V791" s="21">
        <v>4</v>
      </c>
      <c r="W791" s="21"/>
      <c r="X791" s="21">
        <v>10</v>
      </c>
      <c r="Y791" s="21"/>
      <c r="Z791" s="21">
        <v>3</v>
      </c>
      <c r="AA791" s="21">
        <v>0</v>
      </c>
      <c r="AB791" s="23">
        <f>100/(SUM(I791:Z791))</f>
        <v>1</v>
      </c>
      <c r="AC791" s="259">
        <f>SUM(I791:AA791)</f>
        <v>100</v>
      </c>
      <c r="AD791" s="24"/>
      <c r="AE791" s="24"/>
      <c r="AF791" s="24"/>
      <c r="AG791" s="25" t="s">
        <v>127</v>
      </c>
      <c r="AH791" s="26" t="s">
        <v>589</v>
      </c>
      <c r="AI791" s="83"/>
      <c r="AJ791" s="83"/>
      <c r="AK791" s="19"/>
      <c r="AL791" s="25">
        <f>(B791-DATE(1970,1,1))*86400</f>
        <v>1669680000</v>
      </c>
      <c r="AM791" s="25">
        <f>(C791-DATE(1970,1,1))*86400</f>
        <v>1670803200</v>
      </c>
      <c r="AN791" s="25">
        <f>AVERAGE(AL791:AM791)</f>
        <v>1670241600</v>
      </c>
    </row>
    <row r="792" spans="1:65" ht="15.75" customHeight="1" x14ac:dyDescent="0.2">
      <c r="A792" s="288" t="s">
        <v>133</v>
      </c>
      <c r="B792" s="60">
        <v>44888</v>
      </c>
      <c r="C792" s="60">
        <v>44893</v>
      </c>
      <c r="D792" s="61" t="s">
        <v>168</v>
      </c>
      <c r="E792" s="334" t="s">
        <v>125</v>
      </c>
      <c r="F792" s="61"/>
      <c r="G792" s="61" t="s">
        <v>126</v>
      </c>
      <c r="H792" s="334">
        <v>1000</v>
      </c>
      <c r="I792" s="63">
        <v>34</v>
      </c>
      <c r="J792" s="63">
        <v>4</v>
      </c>
      <c r="K792" s="63">
        <v>3</v>
      </c>
      <c r="L792" s="63">
        <v>3</v>
      </c>
      <c r="M792" s="63">
        <v>13</v>
      </c>
      <c r="N792" s="63"/>
      <c r="O792" s="63">
        <v>2</v>
      </c>
      <c r="P792" s="63">
        <v>4</v>
      </c>
      <c r="Q792" s="63"/>
      <c r="R792" s="64"/>
      <c r="S792" s="63"/>
      <c r="T792" s="63"/>
      <c r="U792" s="63"/>
      <c r="V792" s="63">
        <v>3</v>
      </c>
      <c r="W792" s="63"/>
      <c r="X792" s="63">
        <v>7</v>
      </c>
      <c r="Y792" s="63"/>
      <c r="Z792" s="63">
        <v>0</v>
      </c>
      <c r="AA792" s="63">
        <v>27</v>
      </c>
      <c r="AB792" s="65">
        <f>100/(SUM(I792:Z792))</f>
        <v>1.3698630136986301</v>
      </c>
      <c r="AC792" s="259">
        <f>SUM(I792:AA792)</f>
        <v>100</v>
      </c>
      <c r="AD792" s="63">
        <v>55</v>
      </c>
      <c r="AE792" s="64"/>
      <c r="AF792" s="64"/>
      <c r="AG792" s="66" t="s">
        <v>127</v>
      </c>
      <c r="AH792" s="67" t="s">
        <v>590</v>
      </c>
      <c r="AI792" s="67" t="s">
        <v>591</v>
      </c>
      <c r="AJ792" s="67" t="s">
        <v>592</v>
      </c>
      <c r="AK792" s="61" t="s">
        <v>568</v>
      </c>
      <c r="AL792" s="66">
        <f>(B792-DATE(1970,1,1))*86400</f>
        <v>1669161600</v>
      </c>
      <c r="AM792" s="66">
        <f>(C792-DATE(1970,1,1))*86400</f>
        <v>1669593600</v>
      </c>
      <c r="AN792" s="66">
        <f>AVERAGE(AL792:AM792)</f>
        <v>1669377600</v>
      </c>
    </row>
    <row r="793" spans="1:65" ht="15.75" customHeight="1" x14ac:dyDescent="0.2">
      <c r="A793" s="288" t="s">
        <v>133</v>
      </c>
      <c r="B793" s="60">
        <v>44888</v>
      </c>
      <c r="C793" s="60">
        <v>44893</v>
      </c>
      <c r="D793" s="61" t="s">
        <v>168</v>
      </c>
      <c r="E793" s="334" t="s">
        <v>125</v>
      </c>
      <c r="F793" s="61"/>
      <c r="G793" s="61" t="s">
        <v>126</v>
      </c>
      <c r="H793" s="334">
        <v>1000</v>
      </c>
      <c r="I793" s="63">
        <v>46</v>
      </c>
      <c r="J793" s="63">
        <v>6</v>
      </c>
      <c r="K793" s="63">
        <v>4</v>
      </c>
      <c r="L793" s="63">
        <v>4</v>
      </c>
      <c r="M793" s="63">
        <v>18</v>
      </c>
      <c r="N793" s="63"/>
      <c r="O793" s="63">
        <v>2</v>
      </c>
      <c r="P793" s="63">
        <v>6</v>
      </c>
      <c r="Q793" s="63"/>
      <c r="R793" s="64"/>
      <c r="S793" s="63"/>
      <c r="T793" s="63"/>
      <c r="U793" s="63"/>
      <c r="V793" s="63">
        <v>4</v>
      </c>
      <c r="W793" s="63"/>
      <c r="X793" s="63">
        <v>10</v>
      </c>
      <c r="Y793" s="63"/>
      <c r="Z793" s="63">
        <v>0</v>
      </c>
      <c r="AA793" s="63">
        <v>0</v>
      </c>
      <c r="AB793" s="65">
        <f>100/(SUM(I793:Z793))</f>
        <v>1</v>
      </c>
      <c r="AC793" s="259">
        <f>SUM(I793:AA793)</f>
        <v>100</v>
      </c>
      <c r="AD793" s="63"/>
      <c r="AE793" s="64"/>
      <c r="AF793" s="64"/>
      <c r="AG793" s="66" t="s">
        <v>127</v>
      </c>
      <c r="AH793" s="67" t="s">
        <v>590</v>
      </c>
      <c r="AI793" s="67" t="s">
        <v>591</v>
      </c>
      <c r="AJ793" s="67" t="s">
        <v>592</v>
      </c>
      <c r="AK793" s="61"/>
      <c r="AL793" s="66">
        <f>(B793-DATE(1970,1,1))*86400</f>
        <v>1669161600</v>
      </c>
      <c r="AM793" s="66">
        <f>(C793-DATE(1970,1,1))*86400</f>
        <v>1669593600</v>
      </c>
      <c r="AN793" s="66">
        <f>AVERAGE(AL793:AM793)</f>
        <v>1669377600</v>
      </c>
    </row>
    <row r="794" spans="1:65" ht="15.75" customHeight="1" x14ac:dyDescent="0.2">
      <c r="A794" s="286" t="s">
        <v>133</v>
      </c>
      <c r="B794" s="41">
        <v>44879</v>
      </c>
      <c r="C794" s="41">
        <v>44887</v>
      </c>
      <c r="D794" s="40" t="s">
        <v>148</v>
      </c>
      <c r="E794" s="325" t="s">
        <v>125</v>
      </c>
      <c r="F794" s="40"/>
      <c r="G794" s="40" t="s">
        <v>149</v>
      </c>
      <c r="H794" s="325">
        <v>1000</v>
      </c>
      <c r="I794" s="42">
        <v>33</v>
      </c>
      <c r="J794" s="42">
        <v>4</v>
      </c>
      <c r="K794" s="42">
        <v>4</v>
      </c>
      <c r="L794" s="42">
        <v>3</v>
      </c>
      <c r="M794" s="42">
        <v>11</v>
      </c>
      <c r="N794" s="42"/>
      <c r="O794" s="42">
        <v>1</v>
      </c>
      <c r="P794" s="42">
        <v>4</v>
      </c>
      <c r="Q794" s="42"/>
      <c r="R794" s="43"/>
      <c r="S794" s="42"/>
      <c r="T794" s="42"/>
      <c r="U794" s="42"/>
      <c r="V794" s="42">
        <v>3</v>
      </c>
      <c r="W794" s="42"/>
      <c r="X794" s="42">
        <v>6</v>
      </c>
      <c r="Y794" s="42"/>
      <c r="Z794" s="42">
        <v>1</v>
      </c>
      <c r="AA794" s="42">
        <v>30</v>
      </c>
      <c r="AB794" s="44">
        <f>100/(SUM(I794:Z794))</f>
        <v>1.4285714285714286</v>
      </c>
      <c r="AC794" s="259">
        <f>SUM(I794:AA794)</f>
        <v>100</v>
      </c>
      <c r="AD794" s="42"/>
      <c r="AE794" s="43"/>
      <c r="AF794" s="43"/>
      <c r="AG794" s="45" t="s">
        <v>593</v>
      </c>
      <c r="AH794" s="42" t="s">
        <v>594</v>
      </c>
      <c r="AI794" s="46" t="s">
        <v>595</v>
      </c>
      <c r="AJ794" s="46"/>
      <c r="AK794" s="40"/>
      <c r="AL794" s="45">
        <f>(B794-DATE(1970,1,1))*86400</f>
        <v>1668384000</v>
      </c>
      <c r="AM794" s="45">
        <f>(C794-DATE(1970,1,1))*86400</f>
        <v>1669075200</v>
      </c>
      <c r="AN794" s="45">
        <f>AVERAGE(AL794:AM794)</f>
        <v>1668729600</v>
      </c>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row>
    <row r="795" spans="1:65" ht="15.75" customHeight="1" x14ac:dyDescent="0.2">
      <c r="A795" s="286" t="s">
        <v>123</v>
      </c>
      <c r="B795" s="41">
        <v>44879</v>
      </c>
      <c r="C795" s="41">
        <v>44887</v>
      </c>
      <c r="D795" s="40" t="s">
        <v>148</v>
      </c>
      <c r="E795" s="325" t="s">
        <v>125</v>
      </c>
      <c r="F795" s="40"/>
      <c r="G795" s="40" t="s">
        <v>149</v>
      </c>
      <c r="H795" s="325">
        <v>1000</v>
      </c>
      <c r="I795" s="42">
        <v>50</v>
      </c>
      <c r="J795" s="42">
        <v>5</v>
      </c>
      <c r="K795" s="42">
        <v>5</v>
      </c>
      <c r="L795" s="42">
        <v>3</v>
      </c>
      <c r="M795" s="42">
        <v>17</v>
      </c>
      <c r="N795" s="42"/>
      <c r="O795" s="42">
        <v>1</v>
      </c>
      <c r="P795" s="42">
        <v>6</v>
      </c>
      <c r="Q795" s="42"/>
      <c r="R795" s="43"/>
      <c r="S795" s="42"/>
      <c r="T795" s="42"/>
      <c r="U795" s="42"/>
      <c r="V795" s="42">
        <v>3</v>
      </c>
      <c r="W795" s="42"/>
      <c r="X795" s="42">
        <v>8</v>
      </c>
      <c r="Y795" s="42"/>
      <c r="Z795" s="42">
        <v>2</v>
      </c>
      <c r="AA795" s="42">
        <v>0</v>
      </c>
      <c r="AB795" s="44">
        <f>100/(SUM(I795:Z795))</f>
        <v>1</v>
      </c>
      <c r="AC795" s="259">
        <f>SUM(I795:AA795)</f>
        <v>100</v>
      </c>
      <c r="AD795" s="42"/>
      <c r="AE795" s="43"/>
      <c r="AF795" s="43"/>
      <c r="AG795" s="45" t="s">
        <v>593</v>
      </c>
      <c r="AH795" s="42" t="s">
        <v>594</v>
      </c>
      <c r="AI795" s="46" t="s">
        <v>595</v>
      </c>
      <c r="AJ795" s="46"/>
      <c r="AK795" s="40"/>
      <c r="AL795" s="45">
        <f>(B795-DATE(1970,1,1))*86400</f>
        <v>1668384000</v>
      </c>
      <c r="AM795" s="45">
        <f>(C795-DATE(1970,1,1))*86400</f>
        <v>1669075200</v>
      </c>
      <c r="AN795" s="45">
        <f>AVERAGE(AL795:AM795)</f>
        <v>1668729600</v>
      </c>
    </row>
    <row r="796" spans="1:65" ht="15.75" customHeight="1" x14ac:dyDescent="0.2">
      <c r="A796" s="281" t="s">
        <v>133</v>
      </c>
      <c r="B796" s="68">
        <v>44866</v>
      </c>
      <c r="C796" s="68">
        <v>44895</v>
      </c>
      <c r="D796" s="53" t="s">
        <v>154</v>
      </c>
      <c r="E796" s="323" t="s">
        <v>125</v>
      </c>
      <c r="F796" s="53" t="s">
        <v>390</v>
      </c>
      <c r="G796" s="53" t="s">
        <v>126</v>
      </c>
      <c r="H796" s="362">
        <v>1000</v>
      </c>
      <c r="I796" s="55">
        <v>40</v>
      </c>
      <c r="J796" s="55"/>
      <c r="K796" s="55"/>
      <c r="L796" s="55"/>
      <c r="M796" s="55"/>
      <c r="N796" s="55"/>
      <c r="O796" s="55"/>
      <c r="P796" s="55"/>
      <c r="Q796" s="55"/>
      <c r="R796" s="56"/>
      <c r="S796" s="55"/>
      <c r="T796" s="55"/>
      <c r="U796" s="56">
        <v>27</v>
      </c>
      <c r="V796" s="55"/>
      <c r="W796" s="55"/>
      <c r="X796" s="55"/>
      <c r="Y796" s="55"/>
      <c r="Z796" s="56">
        <v>8</v>
      </c>
      <c r="AA796" s="56">
        <v>25</v>
      </c>
      <c r="AB796" s="57">
        <f>100/(SUM(I796:Z796))</f>
        <v>1.3333333333333333</v>
      </c>
      <c r="AC796" s="259">
        <f>SUM(I796:AA796)</f>
        <v>100</v>
      </c>
      <c r="AD796" s="55"/>
      <c r="AE796" s="55"/>
      <c r="AF796" s="55"/>
      <c r="AG796" s="58" t="s">
        <v>155</v>
      </c>
      <c r="AH796" s="59" t="s">
        <v>577</v>
      </c>
      <c r="AI796" s="59"/>
      <c r="AJ796" s="59"/>
      <c r="AK796" s="53" t="s">
        <v>579</v>
      </c>
      <c r="AL796" s="58">
        <f>(B796-DATE(1970,1,1))*86400</f>
        <v>1667260800</v>
      </c>
      <c r="AM796" s="58">
        <f>(C796-DATE(1970,1,1))*86400</f>
        <v>1669766400</v>
      </c>
      <c r="AN796" s="58">
        <f>AVERAGE(AL796:AM796)</f>
        <v>1668513600</v>
      </c>
    </row>
    <row r="797" spans="1:65" ht="15.75" customHeight="1" x14ac:dyDescent="0.2">
      <c r="A797" s="280" t="s">
        <v>123</v>
      </c>
      <c r="B797" s="108">
        <v>44857</v>
      </c>
      <c r="C797" s="108">
        <v>44902</v>
      </c>
      <c r="D797" s="76" t="s">
        <v>200</v>
      </c>
      <c r="E797" s="320" t="s">
        <v>125</v>
      </c>
      <c r="F797" s="76" t="s">
        <v>140</v>
      </c>
      <c r="G797" s="76" t="s">
        <v>126</v>
      </c>
      <c r="H797" s="320">
        <v>1000</v>
      </c>
      <c r="I797" s="78"/>
      <c r="J797" s="78"/>
      <c r="K797" s="78"/>
      <c r="L797" s="78"/>
      <c r="M797" s="78"/>
      <c r="N797" s="78"/>
      <c r="O797" s="78"/>
      <c r="P797" s="78"/>
      <c r="Q797" s="78"/>
      <c r="R797" s="78"/>
      <c r="S797" s="78"/>
      <c r="T797" s="78"/>
      <c r="U797" s="78"/>
      <c r="V797" s="78"/>
      <c r="W797" s="78"/>
      <c r="X797" s="78"/>
      <c r="Y797" s="78"/>
      <c r="Z797" s="78"/>
      <c r="AA797" s="78"/>
      <c r="AB797" s="79" t="e">
        <f>100/(SUM(I797:Z797))</f>
        <v>#DIV/0!</v>
      </c>
      <c r="AC797" s="259">
        <f>SUM(I797:AA797)</f>
        <v>0</v>
      </c>
      <c r="AD797" s="78"/>
      <c r="AE797" s="78"/>
      <c r="AF797" s="78"/>
      <c r="AG797" s="80" t="s">
        <v>127</v>
      </c>
      <c r="AH797" s="81"/>
      <c r="AI797" s="81"/>
      <c r="AJ797" s="81" t="s">
        <v>596</v>
      </c>
      <c r="AK797" s="76"/>
      <c r="AL797" s="80">
        <f>(B797-DATE(1970,1,1))*86400</f>
        <v>1666483200</v>
      </c>
      <c r="AM797" s="80">
        <f>(C797-DATE(1970,1,1))*86400</f>
        <v>1670371200</v>
      </c>
      <c r="AN797" s="80">
        <f>AVERAGE(AL797:AM797)</f>
        <v>1668427200</v>
      </c>
    </row>
    <row r="798" spans="1:65" ht="15.75" customHeight="1" x14ac:dyDescent="0.2">
      <c r="A798" s="287" t="s">
        <v>133</v>
      </c>
      <c r="B798" s="70">
        <v>44872</v>
      </c>
      <c r="C798" s="70">
        <v>44878</v>
      </c>
      <c r="D798" s="69" t="s">
        <v>183</v>
      </c>
      <c r="E798" s="333" t="s">
        <v>184</v>
      </c>
      <c r="F798" s="69"/>
      <c r="G798" s="69" t="s">
        <v>597</v>
      </c>
      <c r="H798" s="360">
        <v>1200</v>
      </c>
      <c r="I798" s="71">
        <v>33</v>
      </c>
      <c r="J798" s="71">
        <v>1</v>
      </c>
      <c r="K798" s="71">
        <v>5</v>
      </c>
      <c r="L798" s="71">
        <v>1</v>
      </c>
      <c r="M798" s="71">
        <v>9</v>
      </c>
      <c r="N798" s="71"/>
      <c r="O798" s="71">
        <v>1</v>
      </c>
      <c r="P798" s="71">
        <v>5</v>
      </c>
      <c r="Q798" s="71"/>
      <c r="R798" s="72"/>
      <c r="S798" s="71"/>
      <c r="T798" s="71"/>
      <c r="U798" s="71"/>
      <c r="V798" s="71">
        <v>4</v>
      </c>
      <c r="W798" s="71"/>
      <c r="X798" s="71">
        <v>6</v>
      </c>
      <c r="Y798" s="71"/>
      <c r="Z798" s="71">
        <v>2</v>
      </c>
      <c r="AA798" s="71">
        <v>32</v>
      </c>
      <c r="AB798" s="73">
        <f>100/(SUM(I798:Z798))</f>
        <v>1.4925373134328359</v>
      </c>
      <c r="AC798" s="259">
        <f>SUM(I798:AA798)</f>
        <v>99</v>
      </c>
      <c r="AD798" s="71"/>
      <c r="AE798" s="71"/>
      <c r="AF798" s="71"/>
      <c r="AG798" s="74"/>
      <c r="AH798" s="75" t="s">
        <v>598</v>
      </c>
      <c r="AI798" s="75"/>
      <c r="AJ798" s="75" t="s">
        <v>599</v>
      </c>
      <c r="AK798" s="69"/>
      <c r="AL798" s="74">
        <f>(B798-DATE(1970,1,1))*86400</f>
        <v>1667779200</v>
      </c>
      <c r="AM798" s="74">
        <f>(C798-DATE(1970,1,1))*86400</f>
        <v>1668297600</v>
      </c>
      <c r="AN798" s="74">
        <f>AVERAGE(AL798:AM798)</f>
        <v>1668038400</v>
      </c>
    </row>
    <row r="799" spans="1:65" ht="15.75" customHeight="1" x14ac:dyDescent="0.2">
      <c r="A799" s="287" t="s">
        <v>133</v>
      </c>
      <c r="B799" s="70">
        <v>44872</v>
      </c>
      <c r="C799" s="70">
        <v>44878</v>
      </c>
      <c r="D799" s="69" t="s">
        <v>183</v>
      </c>
      <c r="E799" s="333" t="s">
        <v>184</v>
      </c>
      <c r="F799" s="69"/>
      <c r="G799" s="69" t="s">
        <v>597</v>
      </c>
      <c r="H799" s="360">
        <v>1200</v>
      </c>
      <c r="I799" s="71">
        <v>49</v>
      </c>
      <c r="J799" s="71">
        <v>1</v>
      </c>
      <c r="K799" s="71">
        <v>8</v>
      </c>
      <c r="L799" s="71">
        <v>2</v>
      </c>
      <c r="M799" s="71">
        <v>13</v>
      </c>
      <c r="N799" s="71"/>
      <c r="O799" s="71">
        <v>1</v>
      </c>
      <c r="P799" s="71">
        <v>8</v>
      </c>
      <c r="Q799" s="71"/>
      <c r="R799" s="72"/>
      <c r="S799" s="71"/>
      <c r="T799" s="71"/>
      <c r="U799" s="71"/>
      <c r="V799" s="71">
        <v>6</v>
      </c>
      <c r="W799" s="71"/>
      <c r="X799" s="71">
        <v>9</v>
      </c>
      <c r="Y799" s="71"/>
      <c r="Z799" s="71">
        <v>3</v>
      </c>
      <c r="AA799" s="71">
        <v>0</v>
      </c>
      <c r="AB799" s="73">
        <f>100/(SUM(I799:Z799))</f>
        <v>1</v>
      </c>
      <c r="AC799" s="259">
        <f>SUM(I799:AA799)</f>
        <v>100</v>
      </c>
      <c r="AD799" s="71"/>
      <c r="AE799" s="71"/>
      <c r="AF799" s="71"/>
      <c r="AG799" s="74"/>
      <c r="AH799" s="75" t="s">
        <v>598</v>
      </c>
      <c r="AI799" s="75"/>
      <c r="AJ799" s="75" t="s">
        <v>599</v>
      </c>
      <c r="AK799" s="69"/>
      <c r="AL799" s="74">
        <f>(B799-DATE(1970,1,1))*86400</f>
        <v>1667779200</v>
      </c>
      <c r="AM799" s="74">
        <f>(C799-DATE(1970,1,1))*86400</f>
        <v>1668297600</v>
      </c>
      <c r="AN799" s="74">
        <f>AVERAGE(AL799:AM799)</f>
        <v>1668038400</v>
      </c>
    </row>
    <row r="800" spans="1:65" ht="15.75" customHeight="1" x14ac:dyDescent="0.2">
      <c r="A800" s="284" t="s">
        <v>133</v>
      </c>
      <c r="B800" s="20">
        <v>44862</v>
      </c>
      <c r="C800" s="20">
        <v>44873</v>
      </c>
      <c r="D800" s="19" t="s">
        <v>134</v>
      </c>
      <c r="E800" s="332" t="s">
        <v>125</v>
      </c>
      <c r="F800" s="19"/>
      <c r="G800" s="19" t="s">
        <v>135</v>
      </c>
      <c r="H800" s="332">
        <v>1800</v>
      </c>
      <c r="I800" s="21">
        <v>32</v>
      </c>
      <c r="J800" s="21">
        <v>2</v>
      </c>
      <c r="K800" s="21">
        <v>2</v>
      </c>
      <c r="L800" s="21">
        <v>1</v>
      </c>
      <c r="M800" s="21">
        <v>12</v>
      </c>
      <c r="N800" s="21"/>
      <c r="O800" s="21">
        <v>1</v>
      </c>
      <c r="P800" s="21">
        <v>4</v>
      </c>
      <c r="Q800" s="21"/>
      <c r="R800" s="22"/>
      <c r="S800" s="21"/>
      <c r="T800" s="21"/>
      <c r="U800" s="21"/>
      <c r="V800" s="21">
        <v>3</v>
      </c>
      <c r="W800" s="21"/>
      <c r="X800" s="21">
        <v>7</v>
      </c>
      <c r="Y800" s="21"/>
      <c r="Z800" s="21">
        <v>3</v>
      </c>
      <c r="AA800" s="21">
        <v>33</v>
      </c>
      <c r="AB800" s="23">
        <f>100/(SUM(I800:Z800))</f>
        <v>1.4925373134328359</v>
      </c>
      <c r="AC800" s="259">
        <f>SUM(I800:AA800)</f>
        <v>100</v>
      </c>
      <c r="AD800" s="24"/>
      <c r="AE800" s="24"/>
      <c r="AF800" s="24"/>
      <c r="AG800" s="25" t="s">
        <v>127</v>
      </c>
      <c r="AH800" s="26" t="s">
        <v>600</v>
      </c>
      <c r="AI800" s="83" t="s">
        <v>601</v>
      </c>
      <c r="AJ800" s="83" t="s">
        <v>602</v>
      </c>
      <c r="AK800" s="19" t="s">
        <v>603</v>
      </c>
      <c r="AL800" s="25">
        <f>(B800-DATE(1970,1,1))*86400</f>
        <v>1666915200</v>
      </c>
      <c r="AM800" s="25">
        <f>(C800-DATE(1970,1,1))*86400</f>
        <v>1667865600</v>
      </c>
      <c r="AN800" s="25">
        <f>AVERAGE(AL800:AM800)</f>
        <v>1667390400</v>
      </c>
    </row>
    <row r="801" spans="1:65" ht="15.75" customHeight="1" x14ac:dyDescent="0.2">
      <c r="A801" s="284" t="s">
        <v>123</v>
      </c>
      <c r="B801" s="20">
        <v>44862</v>
      </c>
      <c r="C801" s="20">
        <v>44873</v>
      </c>
      <c r="D801" s="19" t="s">
        <v>134</v>
      </c>
      <c r="E801" s="332" t="s">
        <v>125</v>
      </c>
      <c r="F801" s="19"/>
      <c r="G801" s="19" t="s">
        <v>135</v>
      </c>
      <c r="H801" s="332">
        <v>1800</v>
      </c>
      <c r="I801" s="21">
        <v>52</v>
      </c>
      <c r="J801" s="21">
        <v>3</v>
      </c>
      <c r="K801" s="21">
        <v>3</v>
      </c>
      <c r="L801" s="21">
        <v>1</v>
      </c>
      <c r="M801" s="21">
        <v>19</v>
      </c>
      <c r="N801" s="21"/>
      <c r="O801" s="21">
        <v>2</v>
      </c>
      <c r="P801" s="21">
        <v>5</v>
      </c>
      <c r="Q801" s="21"/>
      <c r="R801" s="22"/>
      <c r="S801" s="21"/>
      <c r="T801" s="21"/>
      <c r="U801" s="21"/>
      <c r="V801" s="21">
        <v>4</v>
      </c>
      <c r="W801" s="21"/>
      <c r="X801" s="21">
        <v>8</v>
      </c>
      <c r="Y801" s="21"/>
      <c r="Z801" s="21">
        <v>3</v>
      </c>
      <c r="AA801" s="21">
        <v>0</v>
      </c>
      <c r="AB801" s="23">
        <f>100/(SUM(I801:Z801))</f>
        <v>1</v>
      </c>
      <c r="AC801" s="259">
        <f>SUM(I801:AA801)</f>
        <v>100</v>
      </c>
      <c r="AD801" s="24"/>
      <c r="AE801" s="24"/>
      <c r="AF801" s="24"/>
      <c r="AG801" s="25" t="s">
        <v>127</v>
      </c>
      <c r="AH801" s="26" t="s">
        <v>600</v>
      </c>
      <c r="AI801" s="83" t="s">
        <v>601</v>
      </c>
      <c r="AJ801" s="83" t="s">
        <v>602</v>
      </c>
      <c r="AK801" s="19"/>
      <c r="AL801" s="25">
        <f>(B801-DATE(1970,1,1))*86400</f>
        <v>1666915200</v>
      </c>
      <c r="AM801" s="25">
        <f>(C801-DATE(1970,1,1))*86400</f>
        <v>1667865600</v>
      </c>
      <c r="AN801" s="25">
        <f>AVERAGE(AL801:AM801)</f>
        <v>1667390400</v>
      </c>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row>
    <row r="802" spans="1:65" ht="15.75" customHeight="1" x14ac:dyDescent="0.2">
      <c r="A802" s="281" t="s">
        <v>133</v>
      </c>
      <c r="B802" s="54">
        <v>44860</v>
      </c>
      <c r="C802" s="54">
        <v>44865</v>
      </c>
      <c r="D802" s="53" t="s">
        <v>154</v>
      </c>
      <c r="E802" s="323" t="s">
        <v>125</v>
      </c>
      <c r="F802" s="53" t="s">
        <v>140</v>
      </c>
      <c r="G802" s="53" t="s">
        <v>126</v>
      </c>
      <c r="H802" s="357">
        <v>1007</v>
      </c>
      <c r="I802" s="55"/>
      <c r="J802" s="55"/>
      <c r="K802" s="55"/>
      <c r="L802" s="55"/>
      <c r="M802" s="55"/>
      <c r="N802" s="55"/>
      <c r="O802" s="55"/>
      <c r="P802" s="55"/>
      <c r="Q802" s="55"/>
      <c r="R802" s="56"/>
      <c r="S802" s="55"/>
      <c r="T802" s="55"/>
      <c r="U802" s="55"/>
      <c r="V802" s="55"/>
      <c r="W802" s="55"/>
      <c r="X802" s="55"/>
      <c r="Y802" s="55"/>
      <c r="Z802" s="55"/>
      <c r="AA802" s="55"/>
      <c r="AB802" s="57" t="e">
        <f>100/(SUM(I802:Z802))</f>
        <v>#DIV/0!</v>
      </c>
      <c r="AC802" s="259">
        <f>SUM(I802:AA802)</f>
        <v>0</v>
      </c>
      <c r="AD802" s="55"/>
      <c r="AE802" s="55"/>
      <c r="AF802" s="55"/>
      <c r="AG802" s="58" t="s">
        <v>155</v>
      </c>
      <c r="AH802" s="59"/>
      <c r="AI802" s="59"/>
      <c r="AJ802" s="59" t="s">
        <v>604</v>
      </c>
      <c r="AK802" s="53"/>
      <c r="AL802" s="58">
        <f>(B802-DATE(1970,1,1))*86400</f>
        <v>1666742400</v>
      </c>
      <c r="AM802" s="58">
        <f>(C802-DATE(1970,1,1))*86400</f>
        <v>1667174400</v>
      </c>
      <c r="AN802" s="58">
        <f>AVERAGE(AL802:AM802)</f>
        <v>1666958400</v>
      </c>
    </row>
    <row r="803" spans="1:65" ht="15.75" customHeight="1" x14ac:dyDescent="0.2">
      <c r="A803" s="288" t="s">
        <v>133</v>
      </c>
      <c r="B803" s="60">
        <v>44853</v>
      </c>
      <c r="C803" s="60">
        <v>44858</v>
      </c>
      <c r="D803" s="61" t="s">
        <v>168</v>
      </c>
      <c r="E803" s="334" t="s">
        <v>125</v>
      </c>
      <c r="F803" s="61"/>
      <c r="G803" s="61" t="s">
        <v>126</v>
      </c>
      <c r="H803" s="334">
        <v>1000</v>
      </c>
      <c r="I803" s="63">
        <v>35</v>
      </c>
      <c r="J803" s="63">
        <v>4</v>
      </c>
      <c r="K803" s="63">
        <v>3</v>
      </c>
      <c r="L803" s="63">
        <v>2</v>
      </c>
      <c r="M803" s="63">
        <v>12</v>
      </c>
      <c r="N803" s="63"/>
      <c r="O803" s="63">
        <v>1</v>
      </c>
      <c r="P803" s="63">
        <v>6</v>
      </c>
      <c r="Q803" s="63"/>
      <c r="R803" s="64"/>
      <c r="S803" s="63"/>
      <c r="T803" s="63"/>
      <c r="U803" s="63"/>
      <c r="V803" s="63">
        <v>2</v>
      </c>
      <c r="W803" s="63"/>
      <c r="X803" s="63">
        <v>7</v>
      </c>
      <c r="Y803" s="63"/>
      <c r="Z803" s="63">
        <v>0</v>
      </c>
      <c r="AA803" s="63">
        <v>28</v>
      </c>
      <c r="AB803" s="65">
        <f>100/(SUM(I803:Z803))</f>
        <v>1.3888888888888888</v>
      </c>
      <c r="AC803" s="259">
        <f>SUM(I803:AA803)</f>
        <v>100</v>
      </c>
      <c r="AD803" s="63">
        <v>59</v>
      </c>
      <c r="AE803" s="64"/>
      <c r="AF803" s="64"/>
      <c r="AG803" s="66" t="s">
        <v>127</v>
      </c>
      <c r="AH803" s="67" t="s">
        <v>605</v>
      </c>
      <c r="AI803" s="67" t="s">
        <v>606</v>
      </c>
      <c r="AJ803" s="67" t="s">
        <v>607</v>
      </c>
      <c r="AK803" s="61" t="s">
        <v>568</v>
      </c>
      <c r="AL803" s="66">
        <f>(B803-DATE(1970,1,1))*86400</f>
        <v>1666137600</v>
      </c>
      <c r="AM803" s="66">
        <f>(C803-DATE(1970,1,1))*86400</f>
        <v>1666569600</v>
      </c>
      <c r="AN803" s="66">
        <f>AVERAGE(AL803:AM803)</f>
        <v>1666353600</v>
      </c>
    </row>
    <row r="804" spans="1:65" ht="15.75" customHeight="1" x14ac:dyDescent="0.2">
      <c r="A804" s="288" t="s">
        <v>133</v>
      </c>
      <c r="B804" s="60">
        <v>44853</v>
      </c>
      <c r="C804" s="60">
        <v>44858</v>
      </c>
      <c r="D804" s="61" t="s">
        <v>168</v>
      </c>
      <c r="E804" s="334" t="s">
        <v>125</v>
      </c>
      <c r="F804" s="61"/>
      <c r="G804" s="61" t="s">
        <v>126</v>
      </c>
      <c r="H804" s="334">
        <v>1000</v>
      </c>
      <c r="I804" s="63">
        <v>48</v>
      </c>
      <c r="J804" s="63">
        <v>6</v>
      </c>
      <c r="K804" s="63">
        <v>4</v>
      </c>
      <c r="L804" s="63">
        <v>3</v>
      </c>
      <c r="M804" s="63">
        <v>17</v>
      </c>
      <c r="N804" s="63"/>
      <c r="O804" s="63">
        <v>2</v>
      </c>
      <c r="P804" s="63">
        <v>8</v>
      </c>
      <c r="Q804" s="63"/>
      <c r="R804" s="64"/>
      <c r="S804" s="63"/>
      <c r="T804" s="63"/>
      <c r="U804" s="63"/>
      <c r="V804" s="63">
        <v>2</v>
      </c>
      <c r="W804" s="63"/>
      <c r="X804" s="63">
        <v>10</v>
      </c>
      <c r="Y804" s="63"/>
      <c r="Z804" s="63">
        <v>0</v>
      </c>
      <c r="AA804" s="63">
        <v>0</v>
      </c>
      <c r="AB804" s="65">
        <f>100/(SUM(I804:Z804))</f>
        <v>1</v>
      </c>
      <c r="AC804" s="259">
        <f>SUM(I804:AA804)</f>
        <v>100</v>
      </c>
      <c r="AD804" s="63"/>
      <c r="AE804" s="64"/>
      <c r="AF804" s="64"/>
      <c r="AG804" s="66" t="s">
        <v>127</v>
      </c>
      <c r="AH804" s="67" t="s">
        <v>605</v>
      </c>
      <c r="AI804" s="67" t="s">
        <v>606</v>
      </c>
      <c r="AJ804" s="67" t="s">
        <v>607</v>
      </c>
      <c r="AK804" s="61"/>
      <c r="AL804" s="66">
        <f>(B804-DATE(1970,1,1))*86400</f>
        <v>1666137600</v>
      </c>
      <c r="AM804" s="66">
        <f>(C804-DATE(1970,1,1))*86400</f>
        <v>1666569600</v>
      </c>
      <c r="AN804" s="66">
        <f>AVERAGE(AL804:AM804)</f>
        <v>1666353600</v>
      </c>
    </row>
    <row r="805" spans="1:65" ht="15.75" customHeight="1" x14ac:dyDescent="0.2">
      <c r="A805" s="288" t="s">
        <v>123</v>
      </c>
      <c r="B805" s="60">
        <v>44853</v>
      </c>
      <c r="C805" s="60">
        <v>44858</v>
      </c>
      <c r="D805" s="61" t="s">
        <v>168</v>
      </c>
      <c r="E805" s="334" t="s">
        <v>125</v>
      </c>
      <c r="F805" s="61"/>
      <c r="G805" s="61" t="s">
        <v>126</v>
      </c>
      <c r="H805" s="334">
        <v>1000</v>
      </c>
      <c r="I805" s="63">
        <v>51</v>
      </c>
      <c r="J805" s="63">
        <v>6</v>
      </c>
      <c r="K805" s="63">
        <v>4</v>
      </c>
      <c r="L805" s="63">
        <v>3</v>
      </c>
      <c r="M805" s="63">
        <v>16</v>
      </c>
      <c r="N805" s="63"/>
      <c r="O805" s="63">
        <v>2</v>
      </c>
      <c r="P805" s="63">
        <v>8</v>
      </c>
      <c r="Q805" s="63"/>
      <c r="R805" s="64"/>
      <c r="S805" s="63"/>
      <c r="T805" s="63"/>
      <c r="U805" s="63"/>
      <c r="V805" s="63">
        <v>1</v>
      </c>
      <c r="W805" s="63"/>
      <c r="X805" s="63">
        <v>9</v>
      </c>
      <c r="Y805" s="63"/>
      <c r="Z805" s="63">
        <v>0</v>
      </c>
      <c r="AA805" s="63">
        <v>0</v>
      </c>
      <c r="AB805" s="65">
        <f>100/(SUM(I805:Z805))</f>
        <v>1</v>
      </c>
      <c r="AC805" s="259">
        <f>SUM(I805:AA805)</f>
        <v>100</v>
      </c>
      <c r="AD805" s="63"/>
      <c r="AE805" s="64"/>
      <c r="AF805" s="64"/>
      <c r="AG805" s="66" t="s">
        <v>127</v>
      </c>
      <c r="AH805" s="67" t="s">
        <v>605</v>
      </c>
      <c r="AI805" s="67" t="s">
        <v>606</v>
      </c>
      <c r="AJ805" s="67" t="s">
        <v>607</v>
      </c>
      <c r="AK805" s="61"/>
      <c r="AL805" s="66">
        <f>(B805-DATE(1970,1,1))*86400</f>
        <v>1666137600</v>
      </c>
      <c r="AM805" s="66">
        <f>(C805-DATE(1970,1,1))*86400</f>
        <v>1666569600</v>
      </c>
      <c r="AN805" s="66">
        <f>AVERAGE(AL805:AM805)</f>
        <v>1666353600</v>
      </c>
    </row>
    <row r="806" spans="1:65" ht="15.75" customHeight="1" x14ac:dyDescent="0.2">
      <c r="A806" s="285" t="s">
        <v>133</v>
      </c>
      <c r="B806" s="34">
        <v>44849</v>
      </c>
      <c r="C806" s="34">
        <v>44855</v>
      </c>
      <c r="D806" s="33" t="s">
        <v>143</v>
      </c>
      <c r="E806" s="319" t="s">
        <v>125</v>
      </c>
      <c r="F806" s="33"/>
      <c r="G806" s="33" t="s">
        <v>126</v>
      </c>
      <c r="H806" s="353">
        <v>1000</v>
      </c>
      <c r="I806" s="35">
        <v>39</v>
      </c>
      <c r="J806" s="35">
        <v>1</v>
      </c>
      <c r="K806" s="35">
        <v>2</v>
      </c>
      <c r="L806" s="35">
        <v>2</v>
      </c>
      <c r="M806" s="35">
        <v>9</v>
      </c>
      <c r="N806" s="35"/>
      <c r="O806" s="35">
        <v>1</v>
      </c>
      <c r="P806" s="35">
        <v>5</v>
      </c>
      <c r="Q806" s="35"/>
      <c r="R806" s="36"/>
      <c r="S806" s="35">
        <v>2</v>
      </c>
      <c r="T806" s="35">
        <v>2</v>
      </c>
      <c r="U806" s="35"/>
      <c r="V806" s="35">
        <v>7</v>
      </c>
      <c r="W806" s="35"/>
      <c r="X806" s="35">
        <v>7</v>
      </c>
      <c r="Y806" s="35"/>
      <c r="Z806" s="35">
        <v>0</v>
      </c>
      <c r="AA806" s="35">
        <v>23</v>
      </c>
      <c r="AB806" s="37">
        <f>100/(SUM(I806:Z806))</f>
        <v>1.2987012987012987</v>
      </c>
      <c r="AC806" s="259">
        <f>SUM(I806:AA806)</f>
        <v>100</v>
      </c>
      <c r="AD806" s="35"/>
      <c r="AE806" s="35"/>
      <c r="AF806" s="35"/>
      <c r="AG806" s="33" t="s">
        <v>144</v>
      </c>
      <c r="AH806" s="33" t="s">
        <v>165</v>
      </c>
      <c r="AI806" s="38" t="s">
        <v>611</v>
      </c>
      <c r="AJ806" s="38"/>
      <c r="AK806" s="33"/>
      <c r="AL806" s="39">
        <f>(B806-DATE(1970,1,1))*86400</f>
        <v>1665792000</v>
      </c>
      <c r="AM806" s="39">
        <f>(C806-DATE(1970,1,1))*86400</f>
        <v>1666310400</v>
      </c>
      <c r="AN806" s="39">
        <f>AVERAGE(AL806:AM806)</f>
        <v>1666051200</v>
      </c>
    </row>
    <row r="807" spans="1:65" ht="15.75" customHeight="1" x14ac:dyDescent="0.2">
      <c r="A807" s="285" t="s">
        <v>133</v>
      </c>
      <c r="B807" s="34">
        <v>44849</v>
      </c>
      <c r="C807" s="34">
        <v>44855</v>
      </c>
      <c r="D807" s="33" t="s">
        <v>143</v>
      </c>
      <c r="E807" s="319" t="s">
        <v>125</v>
      </c>
      <c r="F807" s="33"/>
      <c r="G807" s="33" t="s">
        <v>126</v>
      </c>
      <c r="H807" s="353">
        <v>1000</v>
      </c>
      <c r="I807" s="35">
        <v>51</v>
      </c>
      <c r="J807" s="35">
        <v>1</v>
      </c>
      <c r="K807" s="35">
        <v>3</v>
      </c>
      <c r="L807" s="35">
        <v>2</v>
      </c>
      <c r="M807" s="35">
        <v>12</v>
      </c>
      <c r="N807" s="35"/>
      <c r="O807" s="35">
        <v>1</v>
      </c>
      <c r="P807" s="35">
        <v>7</v>
      </c>
      <c r="Q807" s="35"/>
      <c r="R807" s="36"/>
      <c r="S807" s="35">
        <v>3</v>
      </c>
      <c r="T807" s="35">
        <v>2</v>
      </c>
      <c r="U807" s="35"/>
      <c r="V807" s="35">
        <v>9</v>
      </c>
      <c r="W807" s="35"/>
      <c r="X807" s="35">
        <v>9</v>
      </c>
      <c r="Y807" s="35"/>
      <c r="Z807" s="35">
        <v>0</v>
      </c>
      <c r="AA807" s="35">
        <v>0</v>
      </c>
      <c r="AB807" s="37">
        <f>100/(SUM(I807:Z807))</f>
        <v>1</v>
      </c>
      <c r="AC807" s="259">
        <f>SUM(I807:AA807)</f>
        <v>100</v>
      </c>
      <c r="AD807" s="35"/>
      <c r="AE807" s="35"/>
      <c r="AF807" s="35"/>
      <c r="AG807" s="33" t="s">
        <v>144</v>
      </c>
      <c r="AH807" s="33" t="s">
        <v>165</v>
      </c>
      <c r="AI807" s="38" t="s">
        <v>611</v>
      </c>
      <c r="AJ807" s="38"/>
      <c r="AK807" s="33"/>
      <c r="AL807" s="39">
        <f>(B807-DATE(1970,1,1))*86400</f>
        <v>1665792000</v>
      </c>
      <c r="AM807" s="39">
        <f>(C807-DATE(1970,1,1))*86400</f>
        <v>1666310400</v>
      </c>
      <c r="AN807" s="39">
        <f>AVERAGE(AL807:AM807)</f>
        <v>1666051200</v>
      </c>
    </row>
    <row r="808" spans="1:65" ht="15.75" customHeight="1" x14ac:dyDescent="0.2">
      <c r="A808" s="285" t="s">
        <v>123</v>
      </c>
      <c r="B808" s="34">
        <v>44849</v>
      </c>
      <c r="C808" s="34">
        <v>44855</v>
      </c>
      <c r="D808" s="33" t="s">
        <v>143</v>
      </c>
      <c r="E808" s="319" t="s">
        <v>125</v>
      </c>
      <c r="F808" s="33"/>
      <c r="G808" s="33" t="s">
        <v>126</v>
      </c>
      <c r="H808" s="353">
        <v>1000</v>
      </c>
      <c r="I808" s="35">
        <v>54</v>
      </c>
      <c r="J808" s="35">
        <v>1</v>
      </c>
      <c r="K808" s="35">
        <v>3</v>
      </c>
      <c r="L808" s="35">
        <v>2</v>
      </c>
      <c r="M808" s="35">
        <v>13</v>
      </c>
      <c r="N808" s="35"/>
      <c r="O808" s="35">
        <v>1</v>
      </c>
      <c r="P808" s="35">
        <v>7</v>
      </c>
      <c r="Q808" s="35"/>
      <c r="R808" s="36"/>
      <c r="S808" s="35">
        <v>3</v>
      </c>
      <c r="T808" s="35">
        <v>2</v>
      </c>
      <c r="U808" s="35"/>
      <c r="V808" s="35">
        <v>8</v>
      </c>
      <c r="W808" s="35"/>
      <c r="X808" s="35">
        <v>8</v>
      </c>
      <c r="Y808" s="35"/>
      <c r="Z808" s="35">
        <v>0</v>
      </c>
      <c r="AA808" s="35">
        <v>0</v>
      </c>
      <c r="AB808" s="37">
        <f>100/(SUM(I808:Z808))</f>
        <v>0.98039215686274506</v>
      </c>
      <c r="AC808" s="259">
        <f>SUM(I808:AA808)</f>
        <v>102</v>
      </c>
      <c r="AD808" s="35"/>
      <c r="AE808" s="35"/>
      <c r="AF808" s="35"/>
      <c r="AG808" s="33" t="s">
        <v>144</v>
      </c>
      <c r="AH808" s="33" t="s">
        <v>165</v>
      </c>
      <c r="AI808" s="38" t="s">
        <v>611</v>
      </c>
      <c r="AJ808" s="33"/>
      <c r="AK808" s="33"/>
      <c r="AL808" s="39">
        <f>(B808-DATE(1970,1,1))*86400</f>
        <v>1665792000</v>
      </c>
      <c r="AM808" s="39">
        <f>(C808-DATE(1970,1,1))*86400</f>
        <v>1666310400</v>
      </c>
      <c r="AN808" s="39">
        <f>AVERAGE(AL808:AM808)</f>
        <v>1666051200</v>
      </c>
    </row>
    <row r="809" spans="1:65" ht="15.75" customHeight="1" x14ac:dyDescent="0.2">
      <c r="A809" s="279" t="s">
        <v>123</v>
      </c>
      <c r="B809" s="14">
        <v>44851</v>
      </c>
      <c r="C809" s="14">
        <v>44853</v>
      </c>
      <c r="D809" s="13" t="s">
        <v>124</v>
      </c>
      <c r="E809" s="324" t="s">
        <v>125</v>
      </c>
      <c r="F809" s="13"/>
      <c r="G809" s="13" t="s">
        <v>126</v>
      </c>
      <c r="H809" s="349">
        <v>1000</v>
      </c>
      <c r="I809" s="15">
        <v>52</v>
      </c>
      <c r="J809" s="15">
        <v>2</v>
      </c>
      <c r="K809" s="15">
        <v>2</v>
      </c>
      <c r="L809" s="15">
        <v>1</v>
      </c>
      <c r="M809" s="15">
        <v>9</v>
      </c>
      <c r="N809" s="15"/>
      <c r="O809" s="15">
        <v>0</v>
      </c>
      <c r="P809" s="15">
        <v>3</v>
      </c>
      <c r="Q809" s="15"/>
      <c r="R809" s="98"/>
      <c r="S809" s="15"/>
      <c r="T809" s="15"/>
      <c r="U809" s="15">
        <v>20</v>
      </c>
      <c r="V809" s="15">
        <v>3</v>
      </c>
      <c r="W809" s="15"/>
      <c r="X809" s="15">
        <v>4</v>
      </c>
      <c r="Y809" s="15"/>
      <c r="Z809" s="15">
        <v>1</v>
      </c>
      <c r="AA809" s="15">
        <v>4</v>
      </c>
      <c r="AB809" s="16">
        <f>100/(SUM(I809:Z809))</f>
        <v>1.0309278350515463</v>
      </c>
      <c r="AC809" s="259">
        <f>SUM(I809:AA809)</f>
        <v>101</v>
      </c>
      <c r="AD809" s="15"/>
      <c r="AE809" s="15"/>
      <c r="AF809" s="15"/>
      <c r="AG809" s="17" t="s">
        <v>127</v>
      </c>
      <c r="AH809" s="18" t="s">
        <v>608</v>
      </c>
      <c r="AI809" s="18" t="s">
        <v>609</v>
      </c>
      <c r="AJ809" s="201" t="s">
        <v>2213</v>
      </c>
      <c r="AK809" s="13" t="s">
        <v>610</v>
      </c>
      <c r="AL809" s="17">
        <f>(B809-DATE(1970,1,1))*86400</f>
        <v>1665964800</v>
      </c>
      <c r="AM809" s="17">
        <f>(C809-DATE(1970,1,1))*86400</f>
        <v>1666137600</v>
      </c>
      <c r="AN809" s="17">
        <f>AVERAGE(AL809:AM809)</f>
        <v>1666051200</v>
      </c>
    </row>
    <row r="810" spans="1:65" ht="15.75" customHeight="1" x14ac:dyDescent="0.2">
      <c r="A810" s="281" t="s">
        <v>133</v>
      </c>
      <c r="B810" s="68">
        <v>44835</v>
      </c>
      <c r="C810" s="68">
        <v>44864</v>
      </c>
      <c r="D810" s="53" t="s">
        <v>154</v>
      </c>
      <c r="E810" s="323" t="s">
        <v>125</v>
      </c>
      <c r="F810" s="53" t="s">
        <v>390</v>
      </c>
      <c r="G810" s="53" t="s">
        <v>126</v>
      </c>
      <c r="H810" s="362">
        <v>1000</v>
      </c>
      <c r="I810" s="55">
        <v>40</v>
      </c>
      <c r="J810" s="55"/>
      <c r="K810" s="55"/>
      <c r="L810" s="55"/>
      <c r="M810" s="55"/>
      <c r="N810" s="55"/>
      <c r="O810" s="55"/>
      <c r="P810" s="55"/>
      <c r="Q810" s="55"/>
      <c r="R810" s="56"/>
      <c r="S810" s="55"/>
      <c r="T810" s="55"/>
      <c r="U810" s="56">
        <v>28</v>
      </c>
      <c r="V810" s="55"/>
      <c r="W810" s="55"/>
      <c r="X810" s="55"/>
      <c r="Y810" s="55"/>
      <c r="Z810" s="56">
        <v>7</v>
      </c>
      <c r="AA810" s="56">
        <v>25</v>
      </c>
      <c r="AB810" s="57">
        <f>100/(SUM(I810:Z810))</f>
        <v>1.3333333333333333</v>
      </c>
      <c r="AC810" s="259">
        <f>SUM(I810:AA810)</f>
        <v>100</v>
      </c>
      <c r="AD810" s="55"/>
      <c r="AE810" s="55"/>
      <c r="AF810" s="55"/>
      <c r="AG810" s="58" t="s">
        <v>155</v>
      </c>
      <c r="AH810" s="59" t="s">
        <v>577</v>
      </c>
      <c r="AI810" s="59"/>
      <c r="AJ810" s="59"/>
      <c r="AK810" s="53" t="s">
        <v>579</v>
      </c>
      <c r="AL810" s="58">
        <f>(B810-DATE(1970,1,1))*86400</f>
        <v>1664582400</v>
      </c>
      <c r="AM810" s="58">
        <f>(C810-DATE(1970,1,1))*86400</f>
        <v>1667088000</v>
      </c>
      <c r="AN810" s="58">
        <f>AVERAGE(AL810:AM810)</f>
        <v>1665835200</v>
      </c>
    </row>
    <row r="811" spans="1:65" ht="15.75" customHeight="1" x14ac:dyDescent="0.2">
      <c r="A811" s="281" t="s">
        <v>133</v>
      </c>
      <c r="B811" s="54">
        <v>44837</v>
      </c>
      <c r="C811" s="54">
        <v>44840</v>
      </c>
      <c r="D811" s="53" t="s">
        <v>154</v>
      </c>
      <c r="E811" s="323" t="s">
        <v>125</v>
      </c>
      <c r="F811" s="53" t="s">
        <v>140</v>
      </c>
      <c r="G811" s="53" t="s">
        <v>126</v>
      </c>
      <c r="H811" s="357">
        <v>1007</v>
      </c>
      <c r="I811" s="55"/>
      <c r="J811" s="55"/>
      <c r="K811" s="55"/>
      <c r="L811" s="55"/>
      <c r="M811" s="55"/>
      <c r="N811" s="55"/>
      <c r="O811" s="55"/>
      <c r="P811" s="55"/>
      <c r="Q811" s="55"/>
      <c r="R811" s="56"/>
      <c r="S811" s="55"/>
      <c r="T811" s="55"/>
      <c r="U811" s="55"/>
      <c r="V811" s="55"/>
      <c r="W811" s="55"/>
      <c r="X811" s="55"/>
      <c r="Y811" s="55"/>
      <c r="Z811" s="55"/>
      <c r="AA811" s="55"/>
      <c r="AB811" s="57" t="e">
        <f>100/(SUM(I811:Z811))</f>
        <v>#DIV/0!</v>
      </c>
      <c r="AC811" s="259">
        <f>SUM(I811:AA811)</f>
        <v>0</v>
      </c>
      <c r="AD811" s="55"/>
      <c r="AE811" s="55"/>
      <c r="AF811" s="55"/>
      <c r="AG811" s="58" t="s">
        <v>155</v>
      </c>
      <c r="AH811" s="59"/>
      <c r="AI811" s="59"/>
      <c r="AJ811" s="59" t="s">
        <v>612</v>
      </c>
      <c r="AK811" s="53"/>
      <c r="AL811" s="58">
        <f>(B811-DATE(1970,1,1))*86400</f>
        <v>1664755200</v>
      </c>
      <c r="AM811" s="58">
        <f>(C811-DATE(1970,1,1))*86400</f>
        <v>1665014400</v>
      </c>
      <c r="AN811" s="58">
        <f>AVERAGE(AL811:AM811)</f>
        <v>1664884800</v>
      </c>
    </row>
    <row r="812" spans="1:65" ht="15.75" customHeight="1" x14ac:dyDescent="0.2">
      <c r="A812" s="284" t="s">
        <v>133</v>
      </c>
      <c r="B812" s="20">
        <v>44833</v>
      </c>
      <c r="C812" s="20">
        <v>44843</v>
      </c>
      <c r="D812" s="19" t="s">
        <v>134</v>
      </c>
      <c r="E812" s="332" t="s">
        <v>125</v>
      </c>
      <c r="F812" s="19"/>
      <c r="G812" s="19" t="s">
        <v>135</v>
      </c>
      <c r="H812" s="332">
        <v>1800</v>
      </c>
      <c r="I812" s="21">
        <v>30</v>
      </c>
      <c r="J812" s="21">
        <v>1</v>
      </c>
      <c r="K812" s="21">
        <v>3</v>
      </c>
      <c r="L812" s="21">
        <v>1</v>
      </c>
      <c r="M812" s="21">
        <v>12</v>
      </c>
      <c r="N812" s="21"/>
      <c r="O812" s="21">
        <v>1</v>
      </c>
      <c r="P812" s="21">
        <v>4</v>
      </c>
      <c r="Q812" s="21"/>
      <c r="R812" s="22"/>
      <c r="S812" s="21"/>
      <c r="T812" s="21"/>
      <c r="U812" s="21"/>
      <c r="V812" s="21">
        <v>3</v>
      </c>
      <c r="W812" s="21"/>
      <c r="X812" s="21">
        <v>7</v>
      </c>
      <c r="Y812" s="21"/>
      <c r="Z812" s="21">
        <v>1</v>
      </c>
      <c r="AA812" s="21">
        <v>37</v>
      </c>
      <c r="AB812" s="23">
        <f>100/(SUM(I812:Z812))</f>
        <v>1.5873015873015872</v>
      </c>
      <c r="AC812" s="259">
        <f>SUM(I812:AA812)</f>
        <v>100</v>
      </c>
      <c r="AD812" s="24"/>
      <c r="AE812" s="24"/>
      <c r="AF812" s="24"/>
      <c r="AG812" s="25" t="s">
        <v>127</v>
      </c>
      <c r="AH812" s="26" t="s">
        <v>613</v>
      </c>
      <c r="AI812" s="83"/>
      <c r="AJ812" s="83"/>
      <c r="AK812" s="19"/>
      <c r="AL812" s="25">
        <f>(B812-DATE(1970,1,1))*86400</f>
        <v>1664409600</v>
      </c>
      <c r="AM812" s="25">
        <f>(C812-DATE(1970,1,1))*86400</f>
        <v>1665273600</v>
      </c>
      <c r="AN812" s="25">
        <f>AVERAGE(AL812:AM812)</f>
        <v>1664841600</v>
      </c>
    </row>
    <row r="813" spans="1:65" ht="15.75" customHeight="1" x14ac:dyDescent="0.2">
      <c r="A813" s="284" t="s">
        <v>123</v>
      </c>
      <c r="B813" s="20">
        <v>44833</v>
      </c>
      <c r="C813" s="20">
        <v>44843</v>
      </c>
      <c r="D813" s="19" t="s">
        <v>134</v>
      </c>
      <c r="E813" s="332" t="s">
        <v>125</v>
      </c>
      <c r="F813" s="19"/>
      <c r="G813" s="19" t="s">
        <v>135</v>
      </c>
      <c r="H813" s="332">
        <v>1800</v>
      </c>
      <c r="I813" s="21">
        <v>51</v>
      </c>
      <c r="J813" s="21">
        <v>2</v>
      </c>
      <c r="K813" s="21">
        <v>4</v>
      </c>
      <c r="L813" s="21">
        <v>1</v>
      </c>
      <c r="M813" s="21">
        <v>20</v>
      </c>
      <c r="N813" s="21"/>
      <c r="O813" s="21">
        <v>2</v>
      </c>
      <c r="P813" s="21">
        <v>6</v>
      </c>
      <c r="Q813" s="21"/>
      <c r="R813" s="22"/>
      <c r="S813" s="21"/>
      <c r="T813" s="21"/>
      <c r="U813" s="21"/>
      <c r="V813" s="21">
        <v>3</v>
      </c>
      <c r="W813" s="21"/>
      <c r="X813" s="21">
        <v>9</v>
      </c>
      <c r="Y813" s="21"/>
      <c r="Z813" s="21">
        <v>2</v>
      </c>
      <c r="AA813" s="21">
        <v>0</v>
      </c>
      <c r="AB813" s="23">
        <f>100/(SUM(I813:Z813))</f>
        <v>1</v>
      </c>
      <c r="AC813" s="259">
        <f>SUM(I813:AA813)</f>
        <v>100</v>
      </c>
      <c r="AD813" s="24"/>
      <c r="AE813" s="24"/>
      <c r="AF813" s="24"/>
      <c r="AG813" s="25" t="s">
        <v>127</v>
      </c>
      <c r="AH813" s="26" t="s">
        <v>613</v>
      </c>
      <c r="AI813" s="83"/>
      <c r="AJ813" s="83"/>
      <c r="AK813" s="19"/>
      <c r="AL813" s="25">
        <f>(B813-DATE(1970,1,1))*86400</f>
        <v>1664409600</v>
      </c>
      <c r="AM813" s="25">
        <f>(C813-DATE(1970,1,1))*86400</f>
        <v>1665273600</v>
      </c>
      <c r="AN813" s="25">
        <f>AVERAGE(AL813:AM813)</f>
        <v>1664841600</v>
      </c>
    </row>
    <row r="814" spans="1:65" ht="15.75" customHeight="1" x14ac:dyDescent="0.2">
      <c r="A814" s="286" t="s">
        <v>133</v>
      </c>
      <c r="B814" s="41">
        <v>44818</v>
      </c>
      <c r="C814" s="41">
        <v>44826</v>
      </c>
      <c r="D814" s="40" t="s">
        <v>148</v>
      </c>
      <c r="E814" s="325" t="s">
        <v>125</v>
      </c>
      <c r="F814" s="40"/>
      <c r="G814" s="40" t="s">
        <v>149</v>
      </c>
      <c r="H814" s="325">
        <v>1000</v>
      </c>
      <c r="I814" s="42">
        <v>37</v>
      </c>
      <c r="J814" s="42">
        <v>4</v>
      </c>
      <c r="K814" s="42">
        <v>4</v>
      </c>
      <c r="L814" s="42">
        <v>2</v>
      </c>
      <c r="M814" s="42">
        <v>10</v>
      </c>
      <c r="N814" s="42"/>
      <c r="O814" s="42">
        <v>2</v>
      </c>
      <c r="P814" s="42">
        <v>5</v>
      </c>
      <c r="Q814" s="42"/>
      <c r="R814" s="43"/>
      <c r="S814" s="42"/>
      <c r="T814" s="42"/>
      <c r="U814" s="42"/>
      <c r="V814" s="42">
        <v>2</v>
      </c>
      <c r="W814" s="42"/>
      <c r="X814" s="42">
        <v>6</v>
      </c>
      <c r="Y814" s="42"/>
      <c r="Z814" s="42">
        <v>2</v>
      </c>
      <c r="AA814" s="42">
        <v>26</v>
      </c>
      <c r="AB814" s="44">
        <f>100/(SUM(I814:Z814))</f>
        <v>1.3513513513513513</v>
      </c>
      <c r="AC814" s="259">
        <f>SUM(I814:AA814)</f>
        <v>100</v>
      </c>
      <c r="AD814" s="42"/>
      <c r="AE814" s="43"/>
      <c r="AF814" s="43"/>
      <c r="AG814" s="45" t="s">
        <v>391</v>
      </c>
      <c r="AH814" s="46" t="s">
        <v>614</v>
      </c>
      <c r="AI814" s="46" t="s">
        <v>615</v>
      </c>
      <c r="AJ814" s="46" t="s">
        <v>616</v>
      </c>
      <c r="AK814" s="40"/>
      <c r="AL814" s="45">
        <f>(B814-DATE(1970,1,1))*86400</f>
        <v>1663113600</v>
      </c>
      <c r="AM814" s="45">
        <f>(C814-DATE(1970,1,1))*86400</f>
        <v>1663804800</v>
      </c>
      <c r="AN814" s="45">
        <f>AVERAGE(AL814:AM814)</f>
        <v>1663459200</v>
      </c>
    </row>
    <row r="815" spans="1:65" ht="15.75" customHeight="1" x14ac:dyDescent="0.2">
      <c r="A815" s="286" t="s">
        <v>123</v>
      </c>
      <c r="B815" s="41">
        <v>44818</v>
      </c>
      <c r="C815" s="41">
        <v>44826</v>
      </c>
      <c r="D815" s="40" t="s">
        <v>148</v>
      </c>
      <c r="E815" s="325" t="s">
        <v>125</v>
      </c>
      <c r="F815" s="40"/>
      <c r="G815" s="40" t="s">
        <v>149</v>
      </c>
      <c r="H815" s="325">
        <v>1000</v>
      </c>
      <c r="I815" s="42">
        <v>52</v>
      </c>
      <c r="J815" s="42">
        <v>5</v>
      </c>
      <c r="K815" s="42">
        <v>5</v>
      </c>
      <c r="L815" s="42">
        <v>3</v>
      </c>
      <c r="M815" s="42">
        <v>15</v>
      </c>
      <c r="N815" s="42"/>
      <c r="O815" s="42">
        <v>2</v>
      </c>
      <c r="P815" s="42">
        <v>6</v>
      </c>
      <c r="Q815" s="42"/>
      <c r="R815" s="43"/>
      <c r="S815" s="42"/>
      <c r="T815" s="42"/>
      <c r="U815" s="42"/>
      <c r="V815" s="42">
        <v>2</v>
      </c>
      <c r="W815" s="42"/>
      <c r="X815" s="42">
        <v>8</v>
      </c>
      <c r="Y815" s="42"/>
      <c r="Z815" s="42">
        <v>2</v>
      </c>
      <c r="AA815" s="42">
        <v>0</v>
      </c>
      <c r="AB815" s="44">
        <f>100/(SUM(I815:Z815))</f>
        <v>1</v>
      </c>
      <c r="AC815" s="259">
        <f>SUM(I815:AA815)</f>
        <v>100</v>
      </c>
      <c r="AD815" s="42"/>
      <c r="AE815" s="43"/>
      <c r="AF815" s="43"/>
      <c r="AG815" s="45" t="s">
        <v>391</v>
      </c>
      <c r="AH815" s="46" t="s">
        <v>614</v>
      </c>
      <c r="AI815" s="46" t="s">
        <v>615</v>
      </c>
      <c r="AJ815" s="46" t="s">
        <v>616</v>
      </c>
      <c r="AK815" s="40"/>
      <c r="AL815" s="45">
        <f>(B815-DATE(1970,1,1))*86400</f>
        <v>1663113600</v>
      </c>
      <c r="AM815" s="45">
        <f>(C815-DATE(1970,1,1))*86400</f>
        <v>1663804800</v>
      </c>
      <c r="AN815" s="45">
        <f>AVERAGE(AL815:AM815)</f>
        <v>1663459200</v>
      </c>
    </row>
    <row r="816" spans="1:65" ht="15.75" customHeight="1" x14ac:dyDescent="0.2">
      <c r="A816" s="281" t="s">
        <v>133</v>
      </c>
      <c r="B816" s="68">
        <v>44805</v>
      </c>
      <c r="C816" s="68">
        <v>44834</v>
      </c>
      <c r="D816" s="53" t="s">
        <v>154</v>
      </c>
      <c r="E816" s="323" t="s">
        <v>125</v>
      </c>
      <c r="F816" s="53" t="s">
        <v>390</v>
      </c>
      <c r="G816" s="53" t="s">
        <v>126</v>
      </c>
      <c r="H816" s="362">
        <v>1000</v>
      </c>
      <c r="I816" s="55">
        <v>41</v>
      </c>
      <c r="J816" s="55"/>
      <c r="K816" s="55"/>
      <c r="L816" s="55"/>
      <c r="M816" s="55"/>
      <c r="N816" s="55"/>
      <c r="O816" s="55"/>
      <c r="P816" s="55"/>
      <c r="Q816" s="55"/>
      <c r="R816" s="56"/>
      <c r="S816" s="55"/>
      <c r="T816" s="55"/>
      <c r="U816" s="56">
        <v>29</v>
      </c>
      <c r="V816" s="55"/>
      <c r="W816" s="55"/>
      <c r="X816" s="55"/>
      <c r="Y816" s="55"/>
      <c r="Z816" s="56">
        <v>6</v>
      </c>
      <c r="AA816" s="56">
        <v>24</v>
      </c>
      <c r="AB816" s="57">
        <f>100/(SUM(I816:Z816))</f>
        <v>1.3157894736842106</v>
      </c>
      <c r="AC816" s="259">
        <f>SUM(I816:AA816)</f>
        <v>100</v>
      </c>
      <c r="AD816" s="55"/>
      <c r="AE816" s="55"/>
      <c r="AF816" s="55"/>
      <c r="AG816" s="58" t="s">
        <v>155</v>
      </c>
      <c r="AH816" s="59" t="s">
        <v>577</v>
      </c>
      <c r="AI816" s="59"/>
      <c r="AJ816" s="59"/>
      <c r="AK816" s="53" t="s">
        <v>579</v>
      </c>
      <c r="AL816" s="58">
        <f>(B816-DATE(1970,1,1))*86400</f>
        <v>1661990400</v>
      </c>
      <c r="AM816" s="58">
        <f>(C816-DATE(1970,1,1))*86400</f>
        <v>1664496000</v>
      </c>
      <c r="AN816" s="58">
        <f>AVERAGE(AL816:AM816)</f>
        <v>1663243200</v>
      </c>
    </row>
    <row r="817" spans="1:40" ht="15.75" customHeight="1" x14ac:dyDescent="0.2">
      <c r="A817" s="284" t="s">
        <v>133</v>
      </c>
      <c r="B817" s="20">
        <v>44804</v>
      </c>
      <c r="C817" s="20">
        <v>44813</v>
      </c>
      <c r="D817" s="19" t="s">
        <v>134</v>
      </c>
      <c r="E817" s="332" t="s">
        <v>125</v>
      </c>
      <c r="F817" s="19"/>
      <c r="G817" s="19" t="s">
        <v>135</v>
      </c>
      <c r="H817" s="332">
        <v>1800</v>
      </c>
      <c r="I817" s="21">
        <v>32</v>
      </c>
      <c r="J817" s="21">
        <v>1</v>
      </c>
      <c r="K817" s="21">
        <v>2</v>
      </c>
      <c r="L817" s="21">
        <v>1</v>
      </c>
      <c r="M817" s="21">
        <v>11</v>
      </c>
      <c r="N817" s="21"/>
      <c r="O817" s="21">
        <v>2</v>
      </c>
      <c r="P817" s="21">
        <v>4</v>
      </c>
      <c r="Q817" s="21"/>
      <c r="R817" s="22"/>
      <c r="S817" s="21"/>
      <c r="T817" s="21"/>
      <c r="U817" s="21"/>
      <c r="V817" s="21">
        <v>4</v>
      </c>
      <c r="W817" s="21"/>
      <c r="X817" s="21">
        <v>8</v>
      </c>
      <c r="Y817" s="21"/>
      <c r="Z817" s="21">
        <v>2</v>
      </c>
      <c r="AA817" s="21">
        <v>33</v>
      </c>
      <c r="AB817" s="23">
        <f>100/(SUM(I817:Z817))</f>
        <v>1.4925373134328359</v>
      </c>
      <c r="AC817" s="259">
        <f>SUM(I817:AA817)</f>
        <v>100</v>
      </c>
      <c r="AD817" s="24"/>
      <c r="AE817" s="24"/>
      <c r="AF817" s="24"/>
      <c r="AG817" s="25" t="s">
        <v>127</v>
      </c>
      <c r="AH817" s="26" t="s">
        <v>617</v>
      </c>
      <c r="AI817" s="83"/>
      <c r="AJ817" s="83"/>
      <c r="AK817" s="19"/>
      <c r="AL817" s="25">
        <f>(B817-DATE(1970,1,1))*86400</f>
        <v>1661904000</v>
      </c>
      <c r="AM817" s="25">
        <f>(C817-DATE(1970,1,1))*86400</f>
        <v>1662681600</v>
      </c>
      <c r="AN817" s="25">
        <f>AVERAGE(AL817:AM817)</f>
        <v>1662292800</v>
      </c>
    </row>
    <row r="818" spans="1:40" ht="15.75" customHeight="1" x14ac:dyDescent="0.2">
      <c r="A818" s="284" t="s">
        <v>123</v>
      </c>
      <c r="B818" s="20">
        <v>44804</v>
      </c>
      <c r="C818" s="20">
        <v>44813</v>
      </c>
      <c r="D818" s="19" t="s">
        <v>134</v>
      </c>
      <c r="E818" s="332" t="s">
        <v>125</v>
      </c>
      <c r="F818" s="19"/>
      <c r="G818" s="19" t="s">
        <v>135</v>
      </c>
      <c r="H818" s="332">
        <v>1800</v>
      </c>
      <c r="I818" s="21">
        <v>50</v>
      </c>
      <c r="J818" s="21">
        <v>2</v>
      </c>
      <c r="K818" s="21">
        <v>3</v>
      </c>
      <c r="L818" s="21">
        <v>2</v>
      </c>
      <c r="M818" s="21">
        <v>17</v>
      </c>
      <c r="N818" s="21"/>
      <c r="O818" s="21">
        <v>3</v>
      </c>
      <c r="P818" s="21">
        <v>6</v>
      </c>
      <c r="Q818" s="21"/>
      <c r="R818" s="22"/>
      <c r="S818" s="21"/>
      <c r="T818" s="21"/>
      <c r="U818" s="21"/>
      <c r="V818" s="21">
        <v>5</v>
      </c>
      <c r="W818" s="21"/>
      <c r="X818" s="21">
        <v>9</v>
      </c>
      <c r="Y818" s="21"/>
      <c r="Z818" s="21">
        <v>3</v>
      </c>
      <c r="AA818" s="21">
        <v>0</v>
      </c>
      <c r="AB818" s="23">
        <f>100/(SUM(I818:Z818))</f>
        <v>1</v>
      </c>
      <c r="AC818" s="259">
        <f>SUM(I818:AA818)</f>
        <v>100</v>
      </c>
      <c r="AD818" s="24"/>
      <c r="AE818" s="24"/>
      <c r="AF818" s="24"/>
      <c r="AG818" s="25" t="s">
        <v>127</v>
      </c>
      <c r="AH818" s="26" t="s">
        <v>617</v>
      </c>
      <c r="AI818" s="83"/>
      <c r="AJ818" s="83"/>
      <c r="AK818" s="19"/>
      <c r="AL818" s="25">
        <f>(B818-DATE(1970,1,1))*86400</f>
        <v>1661904000</v>
      </c>
      <c r="AM818" s="25">
        <f>(C818-DATE(1970,1,1))*86400</f>
        <v>1662681600</v>
      </c>
      <c r="AN818" s="25">
        <f>AVERAGE(AL818:AM818)</f>
        <v>1662292800</v>
      </c>
    </row>
    <row r="819" spans="1:40" ht="15.75" customHeight="1" x14ac:dyDescent="0.2">
      <c r="A819" s="279" t="s">
        <v>123</v>
      </c>
      <c r="B819" s="14">
        <v>44802</v>
      </c>
      <c r="C819" s="14">
        <v>44804</v>
      </c>
      <c r="D819" s="13" t="s">
        <v>124</v>
      </c>
      <c r="E819" s="324" t="s">
        <v>125</v>
      </c>
      <c r="F819" s="13"/>
      <c r="G819" s="13" t="s">
        <v>126</v>
      </c>
      <c r="H819" s="349">
        <v>1000</v>
      </c>
      <c r="I819" s="15">
        <v>47</v>
      </c>
      <c r="J819" s="15">
        <v>1</v>
      </c>
      <c r="K819" s="15">
        <v>3</v>
      </c>
      <c r="L819" s="15">
        <v>1</v>
      </c>
      <c r="M819" s="15">
        <v>6</v>
      </c>
      <c r="N819" s="15"/>
      <c r="O819" s="15">
        <v>0</v>
      </c>
      <c r="P819" s="15">
        <v>5</v>
      </c>
      <c r="Q819" s="15"/>
      <c r="R819" s="98"/>
      <c r="S819" s="15"/>
      <c r="T819" s="15"/>
      <c r="U819" s="15">
        <v>16</v>
      </c>
      <c r="V819" s="15">
        <v>4</v>
      </c>
      <c r="W819" s="15"/>
      <c r="X819" s="15">
        <v>6</v>
      </c>
      <c r="Y819" s="15"/>
      <c r="Z819" s="15">
        <v>0</v>
      </c>
      <c r="AA819" s="15">
        <v>11</v>
      </c>
      <c r="AB819" s="16">
        <f>100/(SUM(I819:Z819))</f>
        <v>1.1235955056179776</v>
      </c>
      <c r="AC819" s="259">
        <f>SUM(I819:AA819)</f>
        <v>100</v>
      </c>
      <c r="AD819" s="15"/>
      <c r="AE819" s="15"/>
      <c r="AF819" s="15"/>
      <c r="AG819" s="17" t="s">
        <v>127</v>
      </c>
      <c r="AH819" s="18" t="s">
        <v>618</v>
      </c>
      <c r="AI819" s="18" t="s">
        <v>619</v>
      </c>
      <c r="AJ819" s="201" t="s">
        <v>2212</v>
      </c>
      <c r="AK819" s="13" t="s">
        <v>620</v>
      </c>
      <c r="AL819" s="17">
        <f>(B819-DATE(1970,1,1))*86400</f>
        <v>1661731200</v>
      </c>
      <c r="AM819" s="17">
        <f>(C819-DATE(1970,1,1))*86400</f>
        <v>1661904000</v>
      </c>
      <c r="AN819" s="17">
        <f>AVERAGE(AL819:AM819)</f>
        <v>1661817600</v>
      </c>
    </row>
    <row r="820" spans="1:40" ht="15.75" customHeight="1" x14ac:dyDescent="0.2">
      <c r="A820" s="281" t="s">
        <v>133</v>
      </c>
      <c r="B820" s="54">
        <v>44798</v>
      </c>
      <c r="C820" s="54">
        <v>44803</v>
      </c>
      <c r="D820" s="53" t="s">
        <v>154</v>
      </c>
      <c r="E820" s="323" t="s">
        <v>125</v>
      </c>
      <c r="F820" s="53" t="s">
        <v>576</v>
      </c>
      <c r="G820" s="53" t="s">
        <v>126</v>
      </c>
      <c r="H820" s="357">
        <v>1000</v>
      </c>
      <c r="I820" s="55">
        <v>28</v>
      </c>
      <c r="J820" s="55"/>
      <c r="K820" s="55"/>
      <c r="L820" s="55"/>
      <c r="M820" s="55"/>
      <c r="N820" s="55"/>
      <c r="O820" s="55"/>
      <c r="P820" s="55"/>
      <c r="Q820" s="55"/>
      <c r="R820" s="56"/>
      <c r="S820" s="55"/>
      <c r="T820" s="55"/>
      <c r="U820" s="55">
        <v>24</v>
      </c>
      <c r="V820" s="55">
        <v>3</v>
      </c>
      <c r="W820" s="55"/>
      <c r="X820" s="55">
        <v>2</v>
      </c>
      <c r="Y820" s="55"/>
      <c r="Z820" s="55">
        <v>1</v>
      </c>
      <c r="AA820" s="55">
        <v>42</v>
      </c>
      <c r="AB820" s="57">
        <f>100/(SUM(I820:Z820))</f>
        <v>1.7241379310344827</v>
      </c>
      <c r="AC820" s="259">
        <f>SUM(I820:AA820)</f>
        <v>100</v>
      </c>
      <c r="AD820" s="55"/>
      <c r="AE820" s="55"/>
      <c r="AF820" s="55"/>
      <c r="AG820" s="58" t="s">
        <v>155</v>
      </c>
      <c r="AH820" s="59" t="s">
        <v>621</v>
      </c>
      <c r="AI820" s="59" t="s">
        <v>622</v>
      </c>
      <c r="AJ820" s="59" t="s">
        <v>623</v>
      </c>
      <c r="AK820" s="53" t="s">
        <v>579</v>
      </c>
      <c r="AL820" s="58">
        <f>(B820-DATE(1970,1,1))*86400</f>
        <v>1661385600</v>
      </c>
      <c r="AM820" s="58">
        <f>(C820-DATE(1970,1,1))*86400</f>
        <v>1661817600</v>
      </c>
      <c r="AN820" s="58">
        <f>AVERAGE(AL820:AM820)</f>
        <v>1661601600</v>
      </c>
    </row>
    <row r="821" spans="1:40" ht="15.75" customHeight="1" x14ac:dyDescent="0.2">
      <c r="A821" s="281" t="s">
        <v>133</v>
      </c>
      <c r="B821" s="54">
        <v>44798</v>
      </c>
      <c r="C821" s="54">
        <v>44803</v>
      </c>
      <c r="D821" s="53" t="s">
        <v>154</v>
      </c>
      <c r="E821" s="323" t="s">
        <v>125</v>
      </c>
      <c r="F821" s="53"/>
      <c r="G821" s="53" t="s">
        <v>126</v>
      </c>
      <c r="H821" s="357">
        <v>1000</v>
      </c>
      <c r="I821" s="55">
        <v>28</v>
      </c>
      <c r="J821" s="55">
        <v>3</v>
      </c>
      <c r="K821" s="55">
        <v>2</v>
      </c>
      <c r="L821" s="55">
        <v>1</v>
      </c>
      <c r="M821" s="55">
        <v>7</v>
      </c>
      <c r="N821" s="55"/>
      <c r="O821" s="55">
        <v>0</v>
      </c>
      <c r="P821" s="55">
        <v>4</v>
      </c>
      <c r="Q821" s="55"/>
      <c r="R821" s="56"/>
      <c r="S821" s="55">
        <v>1</v>
      </c>
      <c r="T821" s="55"/>
      <c r="U821" s="55">
        <v>6</v>
      </c>
      <c r="V821" s="55">
        <v>3</v>
      </c>
      <c r="W821" s="55"/>
      <c r="X821" s="55">
        <v>2</v>
      </c>
      <c r="Y821" s="55"/>
      <c r="Z821" s="55">
        <v>1</v>
      </c>
      <c r="AA821" s="55">
        <v>42</v>
      </c>
      <c r="AB821" s="57">
        <f>100/(SUM(I821:Z821))</f>
        <v>1.7241379310344827</v>
      </c>
      <c r="AC821" s="259">
        <f>SUM(I821:AA821)</f>
        <v>100</v>
      </c>
      <c r="AD821" s="55"/>
      <c r="AE821" s="55"/>
      <c r="AF821" s="55"/>
      <c r="AG821" s="58" t="s">
        <v>155</v>
      </c>
      <c r="AH821" s="59" t="s">
        <v>621</v>
      </c>
      <c r="AI821" s="59" t="s">
        <v>622</v>
      </c>
      <c r="AJ821" s="59" t="s">
        <v>623</v>
      </c>
      <c r="AK821" s="53"/>
      <c r="AL821" s="58">
        <f>(B821-DATE(1970,1,1))*86400</f>
        <v>1661385600</v>
      </c>
      <c r="AM821" s="58">
        <f>(C821-DATE(1970,1,1))*86400</f>
        <v>1661817600</v>
      </c>
      <c r="AN821" s="58">
        <f>AVERAGE(AL821:AM821)</f>
        <v>1661601600</v>
      </c>
    </row>
    <row r="822" spans="1:40" ht="15.75" customHeight="1" x14ac:dyDescent="0.2">
      <c r="A822" s="281" t="s">
        <v>123</v>
      </c>
      <c r="B822" s="54">
        <v>44798</v>
      </c>
      <c r="C822" s="54">
        <v>44803</v>
      </c>
      <c r="D822" s="53" t="s">
        <v>154</v>
      </c>
      <c r="E822" s="323" t="s">
        <v>125</v>
      </c>
      <c r="F822" s="53" t="s">
        <v>576</v>
      </c>
      <c r="G822" s="53" t="s">
        <v>126</v>
      </c>
      <c r="H822" s="357">
        <v>1000</v>
      </c>
      <c r="I822" s="55">
        <v>36</v>
      </c>
      <c r="J822" s="55"/>
      <c r="K822" s="55"/>
      <c r="L822" s="55"/>
      <c r="M822" s="55"/>
      <c r="N822" s="55"/>
      <c r="O822" s="55"/>
      <c r="P822" s="55"/>
      <c r="Q822" s="55"/>
      <c r="R822" s="56"/>
      <c r="S822" s="55"/>
      <c r="T822" s="55"/>
      <c r="U822" s="55">
        <v>30</v>
      </c>
      <c r="V822" s="55">
        <v>3</v>
      </c>
      <c r="W822" s="55"/>
      <c r="X822" s="55">
        <v>3</v>
      </c>
      <c r="Y822" s="55"/>
      <c r="Z822" s="55">
        <v>2</v>
      </c>
      <c r="AA822" s="55">
        <v>26</v>
      </c>
      <c r="AB822" s="57">
        <f>100/(SUM(I822:Z822))</f>
        <v>1.3513513513513513</v>
      </c>
      <c r="AC822" s="259">
        <f>SUM(I822:AA822)</f>
        <v>100</v>
      </c>
      <c r="AD822" s="55"/>
      <c r="AE822" s="55"/>
      <c r="AF822" s="55"/>
      <c r="AG822" s="58" t="s">
        <v>155</v>
      </c>
      <c r="AH822" s="59" t="s">
        <v>621</v>
      </c>
      <c r="AI822" s="59" t="s">
        <v>622</v>
      </c>
      <c r="AJ822" s="59" t="s">
        <v>623</v>
      </c>
      <c r="AK822" s="53" t="s">
        <v>579</v>
      </c>
      <c r="AL822" s="58">
        <f>(B822-DATE(1970,1,1))*86400</f>
        <v>1661385600</v>
      </c>
      <c r="AM822" s="58">
        <f>(C822-DATE(1970,1,1))*86400</f>
        <v>1661817600</v>
      </c>
      <c r="AN822" s="58">
        <f>AVERAGE(AL822:AM822)</f>
        <v>1661601600</v>
      </c>
    </row>
    <row r="823" spans="1:40" ht="15.75" customHeight="1" x14ac:dyDescent="0.2">
      <c r="A823" s="281" t="s">
        <v>123</v>
      </c>
      <c r="B823" s="54">
        <v>44798</v>
      </c>
      <c r="C823" s="54">
        <v>44803</v>
      </c>
      <c r="D823" s="53" t="s">
        <v>154</v>
      </c>
      <c r="E823" s="323" t="s">
        <v>125</v>
      </c>
      <c r="F823" s="53"/>
      <c r="G823" s="53" t="s">
        <v>126</v>
      </c>
      <c r="H823" s="357">
        <v>1000</v>
      </c>
      <c r="I823" s="55">
        <v>36</v>
      </c>
      <c r="J823" s="55">
        <v>4</v>
      </c>
      <c r="K823" s="55">
        <v>2</v>
      </c>
      <c r="L823" s="55">
        <v>1</v>
      </c>
      <c r="M823" s="55">
        <v>9</v>
      </c>
      <c r="N823" s="55"/>
      <c r="O823" s="55">
        <v>1</v>
      </c>
      <c r="P823" s="55">
        <v>5</v>
      </c>
      <c r="Q823" s="55"/>
      <c r="R823" s="56"/>
      <c r="S823" s="55">
        <v>1</v>
      </c>
      <c r="T823" s="55"/>
      <c r="U823" s="55">
        <v>7</v>
      </c>
      <c r="V823" s="55">
        <v>3</v>
      </c>
      <c r="W823" s="55"/>
      <c r="X823" s="55">
        <v>3</v>
      </c>
      <c r="Y823" s="55"/>
      <c r="Z823" s="55">
        <v>2</v>
      </c>
      <c r="AA823" s="55">
        <v>26</v>
      </c>
      <c r="AB823" s="57">
        <f>100/(SUM(I823:Z823))</f>
        <v>1.3513513513513513</v>
      </c>
      <c r="AC823" s="259">
        <f>SUM(I823:AA823)</f>
        <v>100</v>
      </c>
      <c r="AD823" s="55"/>
      <c r="AE823" s="55"/>
      <c r="AF823" s="55"/>
      <c r="AG823" s="58" t="s">
        <v>155</v>
      </c>
      <c r="AH823" s="59" t="s">
        <v>621</v>
      </c>
      <c r="AI823" s="59" t="s">
        <v>622</v>
      </c>
      <c r="AJ823" s="59" t="s">
        <v>623</v>
      </c>
      <c r="AK823" s="53"/>
      <c r="AL823" s="58">
        <f>(B823-DATE(1970,1,1))*86400</f>
        <v>1661385600</v>
      </c>
      <c r="AM823" s="58">
        <f>(C823-DATE(1970,1,1))*86400</f>
        <v>1661817600</v>
      </c>
      <c r="AN823" s="58">
        <f>AVERAGE(AL823:AM823)</f>
        <v>1661601600</v>
      </c>
    </row>
    <row r="824" spans="1:40" ht="15.75" customHeight="1" x14ac:dyDescent="0.2">
      <c r="A824" s="281" t="s">
        <v>123</v>
      </c>
      <c r="B824" s="54">
        <v>44798</v>
      </c>
      <c r="C824" s="54">
        <v>44803</v>
      </c>
      <c r="D824" s="53" t="s">
        <v>154</v>
      </c>
      <c r="E824" s="323" t="s">
        <v>125</v>
      </c>
      <c r="F824" s="53" t="s">
        <v>576</v>
      </c>
      <c r="G824" s="53" t="s">
        <v>126</v>
      </c>
      <c r="H824" s="357">
        <v>1000</v>
      </c>
      <c r="I824" s="55">
        <v>48</v>
      </c>
      <c r="J824" s="55"/>
      <c r="K824" s="55"/>
      <c r="L824" s="55"/>
      <c r="M824" s="55"/>
      <c r="N824" s="55"/>
      <c r="O824" s="55"/>
      <c r="P824" s="55"/>
      <c r="Q824" s="55"/>
      <c r="R824" s="56"/>
      <c r="S824" s="55"/>
      <c r="T824" s="55"/>
      <c r="U824" s="55">
        <v>40</v>
      </c>
      <c r="V824" s="55">
        <v>4</v>
      </c>
      <c r="W824" s="55"/>
      <c r="X824" s="55">
        <v>5</v>
      </c>
      <c r="Y824" s="55"/>
      <c r="Z824" s="55">
        <v>3</v>
      </c>
      <c r="AA824" s="55">
        <v>0</v>
      </c>
      <c r="AB824" s="57">
        <f>100/(SUM(I824:Z824))</f>
        <v>1</v>
      </c>
      <c r="AC824" s="259">
        <f>SUM(I824:AA824)</f>
        <v>100</v>
      </c>
      <c r="AD824" s="55"/>
      <c r="AE824" s="55"/>
      <c r="AF824" s="55"/>
      <c r="AG824" s="58" t="s">
        <v>155</v>
      </c>
      <c r="AH824" s="59" t="s">
        <v>621</v>
      </c>
      <c r="AI824" s="59" t="s">
        <v>622</v>
      </c>
      <c r="AJ824" s="59" t="s">
        <v>623</v>
      </c>
      <c r="AK824" s="53" t="s">
        <v>579</v>
      </c>
      <c r="AL824" s="58">
        <f>(B824-DATE(1970,1,1))*86400</f>
        <v>1661385600</v>
      </c>
      <c r="AM824" s="58">
        <f>(C824-DATE(1970,1,1))*86400</f>
        <v>1661817600</v>
      </c>
      <c r="AN824" s="58">
        <f>AVERAGE(AL824:AM824)</f>
        <v>1661601600</v>
      </c>
    </row>
    <row r="825" spans="1:40" ht="15.75" customHeight="1" x14ac:dyDescent="0.2">
      <c r="A825" s="281" t="s">
        <v>123</v>
      </c>
      <c r="B825" s="54">
        <v>44798</v>
      </c>
      <c r="C825" s="54">
        <v>44803</v>
      </c>
      <c r="D825" s="53" t="s">
        <v>154</v>
      </c>
      <c r="E825" s="323" t="s">
        <v>125</v>
      </c>
      <c r="F825" s="53"/>
      <c r="G825" s="53" t="s">
        <v>126</v>
      </c>
      <c r="H825" s="357">
        <v>1000</v>
      </c>
      <c r="I825" s="55">
        <v>48</v>
      </c>
      <c r="J825" s="55">
        <v>6</v>
      </c>
      <c r="K825" s="55">
        <v>3</v>
      </c>
      <c r="L825" s="55">
        <v>2</v>
      </c>
      <c r="M825" s="55">
        <v>11</v>
      </c>
      <c r="N825" s="55"/>
      <c r="O825" s="55">
        <v>1</v>
      </c>
      <c r="P825" s="55">
        <v>7</v>
      </c>
      <c r="Q825" s="55"/>
      <c r="R825" s="56"/>
      <c r="S825" s="55">
        <v>1</v>
      </c>
      <c r="T825" s="55"/>
      <c r="U825" s="55">
        <v>9</v>
      </c>
      <c r="V825" s="55">
        <v>4</v>
      </c>
      <c r="W825" s="55"/>
      <c r="X825" s="55">
        <v>5</v>
      </c>
      <c r="Y825" s="55"/>
      <c r="Z825" s="55">
        <v>3</v>
      </c>
      <c r="AA825" s="55">
        <v>0</v>
      </c>
      <c r="AB825" s="57">
        <f>100/(SUM(I825:Z825))</f>
        <v>1</v>
      </c>
      <c r="AC825" s="259">
        <f>SUM(I825:AA825)</f>
        <v>100</v>
      </c>
      <c r="AD825" s="55"/>
      <c r="AE825" s="55"/>
      <c r="AF825" s="55"/>
      <c r="AG825" s="58" t="s">
        <v>155</v>
      </c>
      <c r="AH825" s="59" t="s">
        <v>621</v>
      </c>
      <c r="AI825" s="59" t="s">
        <v>622</v>
      </c>
      <c r="AJ825" s="59" t="s">
        <v>623</v>
      </c>
      <c r="AK825" s="53"/>
      <c r="AL825" s="58">
        <f>(B825-DATE(1970,1,1))*86400</f>
        <v>1661385600</v>
      </c>
      <c r="AM825" s="58">
        <f>(C825-DATE(1970,1,1))*86400</f>
        <v>1661817600</v>
      </c>
      <c r="AN825" s="58">
        <f>AVERAGE(AL825:AM825)</f>
        <v>1661601600</v>
      </c>
    </row>
    <row r="826" spans="1:40" ht="15.75" customHeight="1" x14ac:dyDescent="0.2">
      <c r="A826" s="284" t="s">
        <v>133</v>
      </c>
      <c r="B826" s="20">
        <v>44769</v>
      </c>
      <c r="C826" s="20">
        <v>44780</v>
      </c>
      <c r="D826" s="19" t="s">
        <v>134</v>
      </c>
      <c r="E826" s="332" t="s">
        <v>125</v>
      </c>
      <c r="F826" s="19"/>
      <c r="G826" s="19" t="s">
        <v>135</v>
      </c>
      <c r="H826" s="332">
        <v>1800</v>
      </c>
      <c r="I826" s="21">
        <v>35</v>
      </c>
      <c r="J826" s="21">
        <v>1</v>
      </c>
      <c r="K826" s="21">
        <v>4</v>
      </c>
      <c r="L826" s="21">
        <v>1</v>
      </c>
      <c r="M826" s="21">
        <v>11</v>
      </c>
      <c r="N826" s="21"/>
      <c r="O826" s="21">
        <v>1</v>
      </c>
      <c r="P826" s="21">
        <v>4</v>
      </c>
      <c r="Q826" s="21"/>
      <c r="R826" s="22"/>
      <c r="S826" s="21"/>
      <c r="T826" s="21"/>
      <c r="U826" s="21"/>
      <c r="V826" s="21">
        <v>3</v>
      </c>
      <c r="W826" s="21"/>
      <c r="X826" s="21">
        <v>7</v>
      </c>
      <c r="Y826" s="21"/>
      <c r="Z826" s="21">
        <v>1</v>
      </c>
      <c r="AA826" s="21">
        <v>32</v>
      </c>
      <c r="AB826" s="23">
        <f>100/(SUM(I826:Z826))</f>
        <v>1.4705882352941178</v>
      </c>
      <c r="AC826" s="259">
        <f>SUM(I826:AA826)</f>
        <v>100</v>
      </c>
      <c r="AD826" s="24"/>
      <c r="AE826" s="24"/>
      <c r="AF826" s="24"/>
      <c r="AG826" s="25" t="s">
        <v>127</v>
      </c>
      <c r="AH826" s="26" t="s">
        <v>624</v>
      </c>
      <c r="AI826" s="83" t="s">
        <v>625</v>
      </c>
      <c r="AJ826" s="83"/>
      <c r="AK826" s="19"/>
      <c r="AL826" s="25">
        <f>(B826-DATE(1970,1,1))*86400</f>
        <v>1658880000</v>
      </c>
      <c r="AM826" s="25">
        <f>(C826-DATE(1970,1,1))*86400</f>
        <v>1659830400</v>
      </c>
      <c r="AN826" s="25">
        <f>AVERAGE(AL826:AM826)</f>
        <v>1659355200</v>
      </c>
    </row>
    <row r="827" spans="1:40" ht="15.75" customHeight="1" x14ac:dyDescent="0.2">
      <c r="A827" s="284" t="s">
        <v>123</v>
      </c>
      <c r="B827" s="20">
        <v>44769</v>
      </c>
      <c r="C827" s="20">
        <v>44780</v>
      </c>
      <c r="D827" s="19" t="s">
        <v>134</v>
      </c>
      <c r="E827" s="332" t="s">
        <v>125</v>
      </c>
      <c r="F827" s="19"/>
      <c r="G827" s="19" t="s">
        <v>135</v>
      </c>
      <c r="H827" s="332">
        <v>1800</v>
      </c>
      <c r="I827" s="21">
        <v>51</v>
      </c>
      <c r="J827" s="21">
        <v>2</v>
      </c>
      <c r="K827" s="21">
        <v>6</v>
      </c>
      <c r="L827" s="21">
        <v>1</v>
      </c>
      <c r="M827" s="21">
        <v>17</v>
      </c>
      <c r="N827" s="21"/>
      <c r="O827" s="21">
        <v>2</v>
      </c>
      <c r="P827" s="21">
        <v>6</v>
      </c>
      <c r="Q827" s="21"/>
      <c r="R827" s="22"/>
      <c r="S827" s="21"/>
      <c r="T827" s="21"/>
      <c r="U827" s="21"/>
      <c r="V827" s="21">
        <v>5</v>
      </c>
      <c r="W827" s="21"/>
      <c r="X827" s="21">
        <v>9</v>
      </c>
      <c r="Y827" s="21"/>
      <c r="Z827" s="21">
        <v>1</v>
      </c>
      <c r="AA827" s="21">
        <v>0</v>
      </c>
      <c r="AB827" s="23">
        <f>100/(SUM(I827:Z827))</f>
        <v>1</v>
      </c>
      <c r="AC827" s="259">
        <f>SUM(I827:AA827)</f>
        <v>100</v>
      </c>
      <c r="AD827" s="24"/>
      <c r="AE827" s="24"/>
      <c r="AF827" s="24"/>
      <c r="AG827" s="25" t="s">
        <v>127</v>
      </c>
      <c r="AH827" s="26" t="s">
        <v>624</v>
      </c>
      <c r="AI827" s="83" t="s">
        <v>625</v>
      </c>
      <c r="AJ827" s="83"/>
      <c r="AK827" s="19"/>
      <c r="AL827" s="25">
        <f>(B827-DATE(1970,1,1))*86400</f>
        <v>1658880000</v>
      </c>
      <c r="AM827" s="25">
        <f>(C827-DATE(1970,1,1))*86400</f>
        <v>1659830400</v>
      </c>
      <c r="AN827" s="25">
        <f>AVERAGE(AL827:AM827)</f>
        <v>1659355200</v>
      </c>
    </row>
    <row r="828" spans="1:40" ht="15.75" customHeight="1" x14ac:dyDescent="0.2">
      <c r="A828" s="285" t="s">
        <v>133</v>
      </c>
      <c r="B828" s="107">
        <v>44766</v>
      </c>
      <c r="C828" s="107">
        <v>44773</v>
      </c>
      <c r="D828" s="33" t="s">
        <v>143</v>
      </c>
      <c r="E828" s="319" t="s">
        <v>125</v>
      </c>
      <c r="F828" s="33" t="s">
        <v>2495</v>
      </c>
      <c r="G828" s="33" t="s">
        <v>126</v>
      </c>
      <c r="H828" s="371">
        <v>1000</v>
      </c>
      <c r="I828" s="35"/>
      <c r="J828" s="35"/>
      <c r="K828" s="35"/>
      <c r="L828" s="35"/>
      <c r="M828" s="35"/>
      <c r="N828" s="35"/>
      <c r="O828" s="35"/>
      <c r="P828" s="35"/>
      <c r="Q828" s="35"/>
      <c r="R828" s="35"/>
      <c r="S828" s="35"/>
      <c r="T828" s="35"/>
      <c r="U828" s="35"/>
      <c r="V828" s="35"/>
      <c r="W828" s="35"/>
      <c r="X828" s="35"/>
      <c r="Y828" s="35"/>
      <c r="Z828" s="35"/>
      <c r="AA828" s="35"/>
      <c r="AB828" s="37" t="e">
        <f>100/(SUM(I828:Z828))</f>
        <v>#DIV/0!</v>
      </c>
      <c r="AC828" s="259">
        <f>SUM(I828:AA828)</f>
        <v>0</v>
      </c>
      <c r="AD828" s="35"/>
      <c r="AE828" s="35"/>
      <c r="AF828" s="35"/>
      <c r="AG828" s="33" t="s">
        <v>183</v>
      </c>
      <c r="AH828" s="39"/>
      <c r="AI828" s="38"/>
      <c r="AJ828" s="38" t="s">
        <v>626</v>
      </c>
      <c r="AK828" s="33" t="s">
        <v>627</v>
      </c>
      <c r="AL828" s="39">
        <f>(B828-DATE(1970,1,1))*86400</f>
        <v>1658620800</v>
      </c>
      <c r="AM828" s="39">
        <f>(C828-DATE(1970,1,1))*86400</f>
        <v>1659225600</v>
      </c>
      <c r="AN828" s="39">
        <f>AVERAGE(AL828:AM828)</f>
        <v>1658923200</v>
      </c>
    </row>
    <row r="829" spans="1:40" ht="15.75" customHeight="1" x14ac:dyDescent="0.2">
      <c r="A829" s="281" t="s">
        <v>133</v>
      </c>
      <c r="B829" s="54">
        <v>44762</v>
      </c>
      <c r="C829" s="54">
        <v>44764</v>
      </c>
      <c r="D829" s="53" t="s">
        <v>154</v>
      </c>
      <c r="E829" s="323" t="s">
        <v>125</v>
      </c>
      <c r="F829" s="53" t="s">
        <v>576</v>
      </c>
      <c r="G829" s="53" t="s">
        <v>126</v>
      </c>
      <c r="H829" s="357">
        <v>1004</v>
      </c>
      <c r="I829" s="55">
        <v>24</v>
      </c>
      <c r="J829" s="55"/>
      <c r="K829" s="55"/>
      <c r="L829" s="55"/>
      <c r="M829" s="55"/>
      <c r="N829" s="55"/>
      <c r="O829" s="55"/>
      <c r="P829" s="55"/>
      <c r="Q829" s="55"/>
      <c r="R829" s="56"/>
      <c r="S829" s="55"/>
      <c r="T829" s="55"/>
      <c r="U829" s="55">
        <v>23</v>
      </c>
      <c r="V829" s="55">
        <v>3</v>
      </c>
      <c r="W829" s="55"/>
      <c r="X829" s="55">
        <v>3</v>
      </c>
      <c r="Y829" s="55"/>
      <c r="Z829" s="55">
        <v>1</v>
      </c>
      <c r="AA829" s="55">
        <v>46</v>
      </c>
      <c r="AB829" s="57">
        <f>100/(SUM(I829:Z829))</f>
        <v>1.8518518518518519</v>
      </c>
      <c r="AC829" s="259">
        <f>SUM(I829:AA829)</f>
        <v>100</v>
      </c>
      <c r="AD829" s="55"/>
      <c r="AE829" s="55"/>
      <c r="AF829" s="55"/>
      <c r="AG829" s="58" t="s">
        <v>155</v>
      </c>
      <c r="AH829" s="59" t="s">
        <v>628</v>
      </c>
      <c r="AI829" s="59" t="s">
        <v>629</v>
      </c>
      <c r="AJ829" s="59"/>
      <c r="AK829" s="53" t="s">
        <v>579</v>
      </c>
      <c r="AL829" s="58">
        <f>(B829-DATE(1970,1,1))*86400</f>
        <v>1658275200</v>
      </c>
      <c r="AM829" s="58">
        <f>(C829-DATE(1970,1,1))*86400</f>
        <v>1658448000</v>
      </c>
      <c r="AN829" s="58">
        <f>AVERAGE(AL829:AM829)</f>
        <v>1658361600</v>
      </c>
    </row>
    <row r="830" spans="1:40" ht="15.75" customHeight="1" x14ac:dyDescent="0.2">
      <c r="A830" s="281" t="s">
        <v>133</v>
      </c>
      <c r="B830" s="54">
        <v>44762</v>
      </c>
      <c r="C830" s="54">
        <v>44764</v>
      </c>
      <c r="D830" s="53" t="s">
        <v>154</v>
      </c>
      <c r="E830" s="323" t="s">
        <v>125</v>
      </c>
      <c r="F830" s="53"/>
      <c r="G830" s="53" t="s">
        <v>126</v>
      </c>
      <c r="H830" s="357">
        <v>1004</v>
      </c>
      <c r="I830" s="55">
        <v>24</v>
      </c>
      <c r="J830" s="55">
        <v>3</v>
      </c>
      <c r="K830" s="55">
        <v>3</v>
      </c>
      <c r="L830" s="55">
        <v>1</v>
      </c>
      <c r="M830" s="55">
        <v>7</v>
      </c>
      <c r="N830" s="55"/>
      <c r="O830" s="55">
        <v>1</v>
      </c>
      <c r="P830" s="55">
        <v>3</v>
      </c>
      <c r="Q830" s="55"/>
      <c r="R830" s="56"/>
      <c r="S830" s="55">
        <v>0</v>
      </c>
      <c r="T830" s="55"/>
      <c r="U830" s="55">
        <v>5</v>
      </c>
      <c r="V830" s="55">
        <v>3</v>
      </c>
      <c r="W830" s="55"/>
      <c r="X830" s="55">
        <v>3</v>
      </c>
      <c r="Y830" s="55"/>
      <c r="Z830" s="55"/>
      <c r="AA830" s="55">
        <v>46</v>
      </c>
      <c r="AB830" s="57">
        <f>100/(SUM(I830:Z830))</f>
        <v>1.8867924528301887</v>
      </c>
      <c r="AC830" s="259">
        <f>SUM(I830:AA830)</f>
        <v>99</v>
      </c>
      <c r="AD830" s="55"/>
      <c r="AE830" s="55"/>
      <c r="AF830" s="55"/>
      <c r="AG830" s="58" t="s">
        <v>155</v>
      </c>
      <c r="AH830" s="59" t="s">
        <v>628</v>
      </c>
      <c r="AI830" s="59" t="s">
        <v>629</v>
      </c>
      <c r="AJ830" s="59"/>
      <c r="AK830" s="53"/>
      <c r="AL830" s="58">
        <f>(B830-DATE(1970,1,1))*86400</f>
        <v>1658275200</v>
      </c>
      <c r="AM830" s="58">
        <f>(C830-DATE(1970,1,1))*86400</f>
        <v>1658448000</v>
      </c>
      <c r="AN830" s="58">
        <f>AVERAGE(AL830:AM830)</f>
        <v>1658361600</v>
      </c>
    </row>
    <row r="831" spans="1:40" ht="15.75" customHeight="1" x14ac:dyDescent="0.2">
      <c r="A831" s="281" t="s">
        <v>123</v>
      </c>
      <c r="B831" s="54">
        <v>44762</v>
      </c>
      <c r="C831" s="54">
        <v>44764</v>
      </c>
      <c r="D831" s="53" t="s">
        <v>154</v>
      </c>
      <c r="E831" s="323" t="s">
        <v>125</v>
      </c>
      <c r="F831" s="53" t="s">
        <v>576</v>
      </c>
      <c r="G831" s="53" t="s">
        <v>126</v>
      </c>
      <c r="H831" s="357">
        <v>1004</v>
      </c>
      <c r="I831" s="55">
        <v>32</v>
      </c>
      <c r="J831" s="55"/>
      <c r="K831" s="55"/>
      <c r="L831" s="55"/>
      <c r="M831" s="55"/>
      <c r="N831" s="55"/>
      <c r="O831" s="55"/>
      <c r="P831" s="55"/>
      <c r="Q831" s="55"/>
      <c r="R831" s="56"/>
      <c r="S831" s="55"/>
      <c r="T831" s="55"/>
      <c r="U831" s="55">
        <v>31</v>
      </c>
      <c r="V831" s="55">
        <v>3</v>
      </c>
      <c r="W831" s="55"/>
      <c r="X831" s="55">
        <v>4</v>
      </c>
      <c r="Y831" s="55"/>
      <c r="Z831" s="55">
        <v>1</v>
      </c>
      <c r="AA831" s="55">
        <v>29</v>
      </c>
      <c r="AB831" s="57">
        <f>100/(SUM(I831:Z831))</f>
        <v>1.408450704225352</v>
      </c>
      <c r="AC831" s="259">
        <f>SUM(I831:AA831)</f>
        <v>100</v>
      </c>
      <c r="AD831" s="55"/>
      <c r="AE831" s="55"/>
      <c r="AF831" s="55"/>
      <c r="AG831" s="58" t="s">
        <v>155</v>
      </c>
      <c r="AH831" s="59" t="s">
        <v>628</v>
      </c>
      <c r="AI831" s="59" t="s">
        <v>629</v>
      </c>
      <c r="AJ831" s="59"/>
      <c r="AK831" s="53" t="s">
        <v>579</v>
      </c>
      <c r="AL831" s="58">
        <f>(B831-DATE(1970,1,1))*86400</f>
        <v>1658275200</v>
      </c>
      <c r="AM831" s="58">
        <f>(C831-DATE(1970,1,1))*86400</f>
        <v>1658448000</v>
      </c>
      <c r="AN831" s="58">
        <f>AVERAGE(AL831:AM831)</f>
        <v>1658361600</v>
      </c>
    </row>
    <row r="832" spans="1:40" ht="15.75" customHeight="1" x14ac:dyDescent="0.2">
      <c r="A832" s="281" t="s">
        <v>123</v>
      </c>
      <c r="B832" s="54">
        <v>44762</v>
      </c>
      <c r="C832" s="54">
        <v>44764</v>
      </c>
      <c r="D832" s="53" t="s">
        <v>154</v>
      </c>
      <c r="E832" s="323" t="s">
        <v>125</v>
      </c>
      <c r="F832" s="53"/>
      <c r="G832" s="53" t="s">
        <v>126</v>
      </c>
      <c r="H832" s="357">
        <v>1004</v>
      </c>
      <c r="I832" s="55">
        <v>32</v>
      </c>
      <c r="J832" s="55">
        <v>4</v>
      </c>
      <c r="K832" s="55">
        <v>4</v>
      </c>
      <c r="L832" s="55">
        <v>1</v>
      </c>
      <c r="M832" s="55">
        <v>8</v>
      </c>
      <c r="N832" s="55"/>
      <c r="O832" s="55">
        <v>1</v>
      </c>
      <c r="P832" s="55">
        <v>5</v>
      </c>
      <c r="Q832" s="55"/>
      <c r="R832" s="56"/>
      <c r="S832" s="55">
        <v>1</v>
      </c>
      <c r="T832" s="55"/>
      <c r="U832" s="55">
        <v>7</v>
      </c>
      <c r="V832" s="55">
        <v>3</v>
      </c>
      <c r="W832" s="55"/>
      <c r="X832" s="55">
        <v>4</v>
      </c>
      <c r="Y832" s="55"/>
      <c r="Z832" s="55"/>
      <c r="AA832" s="55">
        <v>29</v>
      </c>
      <c r="AB832" s="57">
        <f>100/(SUM(I832:Z832))</f>
        <v>1.4285714285714286</v>
      </c>
      <c r="AC832" s="259">
        <f>SUM(I832:AA832)</f>
        <v>99</v>
      </c>
      <c r="AD832" s="55"/>
      <c r="AE832" s="55"/>
      <c r="AF832" s="55"/>
      <c r="AG832" s="58" t="s">
        <v>155</v>
      </c>
      <c r="AH832" s="59" t="s">
        <v>628</v>
      </c>
      <c r="AI832" s="59" t="s">
        <v>629</v>
      </c>
      <c r="AJ832" s="59"/>
      <c r="AK832" s="53"/>
      <c r="AL832" s="58">
        <f>(B832-DATE(1970,1,1))*86400</f>
        <v>1658275200</v>
      </c>
      <c r="AM832" s="58">
        <f>(C832-DATE(1970,1,1))*86400</f>
        <v>1658448000</v>
      </c>
      <c r="AN832" s="58">
        <f>AVERAGE(AL832:AM832)</f>
        <v>1658361600</v>
      </c>
    </row>
    <row r="833" spans="1:40" ht="15.75" customHeight="1" x14ac:dyDescent="0.2">
      <c r="A833" s="281" t="s">
        <v>123</v>
      </c>
      <c r="B833" s="54">
        <v>44762</v>
      </c>
      <c r="C833" s="54">
        <v>44764</v>
      </c>
      <c r="D833" s="53" t="s">
        <v>154</v>
      </c>
      <c r="E833" s="323" t="s">
        <v>125</v>
      </c>
      <c r="F833" s="53" t="s">
        <v>576</v>
      </c>
      <c r="G833" s="53" t="s">
        <v>126</v>
      </c>
      <c r="H833" s="357">
        <v>1004</v>
      </c>
      <c r="I833" s="55">
        <v>44</v>
      </c>
      <c r="J833" s="55"/>
      <c r="K833" s="55"/>
      <c r="L833" s="55"/>
      <c r="M833" s="55"/>
      <c r="N833" s="55"/>
      <c r="O833" s="55"/>
      <c r="P833" s="55"/>
      <c r="Q833" s="55"/>
      <c r="R833" s="56"/>
      <c r="S833" s="55"/>
      <c r="T833" s="55"/>
      <c r="U833" s="55">
        <v>42</v>
      </c>
      <c r="V833" s="55">
        <v>5</v>
      </c>
      <c r="W833" s="55"/>
      <c r="X833" s="55">
        <v>6</v>
      </c>
      <c r="Y833" s="55"/>
      <c r="Z833" s="55">
        <v>2</v>
      </c>
      <c r="AA833" s="55">
        <v>0</v>
      </c>
      <c r="AB833" s="57">
        <f>100/(SUM(I833:Z833))</f>
        <v>1.0101010101010102</v>
      </c>
      <c r="AC833" s="259">
        <f>SUM(I833:AA833)</f>
        <v>99</v>
      </c>
      <c r="AD833" s="55"/>
      <c r="AE833" s="55"/>
      <c r="AF833" s="55"/>
      <c r="AG833" s="58" t="s">
        <v>155</v>
      </c>
      <c r="AH833" s="59" t="s">
        <v>628</v>
      </c>
      <c r="AI833" s="59" t="s">
        <v>629</v>
      </c>
      <c r="AJ833" s="59"/>
      <c r="AK833" s="53" t="s">
        <v>579</v>
      </c>
      <c r="AL833" s="58">
        <f>(B833-DATE(1970,1,1))*86400</f>
        <v>1658275200</v>
      </c>
      <c r="AM833" s="58">
        <f>(C833-DATE(1970,1,1))*86400</f>
        <v>1658448000</v>
      </c>
      <c r="AN833" s="58">
        <f>AVERAGE(AL833:AM833)</f>
        <v>1658361600</v>
      </c>
    </row>
    <row r="834" spans="1:40" ht="15.75" customHeight="1" x14ac:dyDescent="0.2">
      <c r="A834" s="281" t="s">
        <v>123</v>
      </c>
      <c r="B834" s="54">
        <v>44762</v>
      </c>
      <c r="C834" s="54">
        <v>44764</v>
      </c>
      <c r="D834" s="53" t="s">
        <v>154</v>
      </c>
      <c r="E834" s="323" t="s">
        <v>125</v>
      </c>
      <c r="F834" s="53"/>
      <c r="G834" s="53" t="s">
        <v>126</v>
      </c>
      <c r="H834" s="357">
        <v>1004</v>
      </c>
      <c r="I834" s="55">
        <v>44</v>
      </c>
      <c r="J834" s="55">
        <v>6</v>
      </c>
      <c r="K834" s="55">
        <v>6</v>
      </c>
      <c r="L834" s="55">
        <v>2</v>
      </c>
      <c r="M834" s="55">
        <v>10</v>
      </c>
      <c r="N834" s="55"/>
      <c r="O834" s="55">
        <v>1</v>
      </c>
      <c r="P834" s="55">
        <v>7</v>
      </c>
      <c r="Q834" s="55"/>
      <c r="R834" s="56"/>
      <c r="S834" s="55">
        <v>1</v>
      </c>
      <c r="T834" s="55"/>
      <c r="U834" s="55">
        <v>9</v>
      </c>
      <c r="V834" s="55">
        <v>5</v>
      </c>
      <c r="W834" s="55"/>
      <c r="X834" s="55">
        <v>6</v>
      </c>
      <c r="Y834" s="55"/>
      <c r="Z834" s="55"/>
      <c r="AA834" s="55">
        <v>0</v>
      </c>
      <c r="AB834" s="57">
        <f>100/(SUM(I834:Z834))</f>
        <v>1.0309278350515463</v>
      </c>
      <c r="AC834" s="259">
        <f>SUM(I834:AA834)</f>
        <v>97</v>
      </c>
      <c r="AD834" s="55"/>
      <c r="AE834" s="55"/>
      <c r="AF834" s="55"/>
      <c r="AG834" s="58" t="s">
        <v>155</v>
      </c>
      <c r="AH834" s="59" t="s">
        <v>628</v>
      </c>
      <c r="AI834" s="59" t="s">
        <v>629</v>
      </c>
      <c r="AJ834" s="59"/>
      <c r="AK834" s="53"/>
      <c r="AL834" s="58">
        <f>(B834-DATE(1970,1,1))*86400</f>
        <v>1658275200</v>
      </c>
      <c r="AM834" s="58">
        <f>(C834-DATE(1970,1,1))*86400</f>
        <v>1658448000</v>
      </c>
      <c r="AN834" s="58">
        <f>AVERAGE(AL834:AM834)</f>
        <v>1658361600</v>
      </c>
    </row>
    <row r="835" spans="1:40" ht="15.75" customHeight="1" x14ac:dyDescent="0.2">
      <c r="A835" s="287" t="s">
        <v>133</v>
      </c>
      <c r="B835" s="70">
        <v>44756</v>
      </c>
      <c r="C835" s="70">
        <v>44757</v>
      </c>
      <c r="D835" s="69" t="s">
        <v>183</v>
      </c>
      <c r="E835" s="333" t="s">
        <v>184</v>
      </c>
      <c r="F835" s="69" t="s">
        <v>140</v>
      </c>
      <c r="G835" s="69" t="s">
        <v>126</v>
      </c>
      <c r="H835" s="360">
        <v>1000</v>
      </c>
      <c r="I835" s="71"/>
      <c r="J835" s="71"/>
      <c r="K835" s="71"/>
      <c r="L835" s="71"/>
      <c r="M835" s="71"/>
      <c r="N835" s="71"/>
      <c r="O835" s="71"/>
      <c r="P835" s="71"/>
      <c r="Q835" s="71"/>
      <c r="R835" s="72"/>
      <c r="S835" s="71"/>
      <c r="T835" s="71"/>
      <c r="U835" s="71"/>
      <c r="V835" s="71"/>
      <c r="W835" s="71"/>
      <c r="X835" s="71"/>
      <c r="Y835" s="71"/>
      <c r="Z835" s="71"/>
      <c r="AA835" s="71"/>
      <c r="AB835" s="73" t="e">
        <f>100/(SUM(I835:Z835))</f>
        <v>#DIV/0!</v>
      </c>
      <c r="AC835" s="259">
        <f>SUM(I835:AA835)</f>
        <v>0</v>
      </c>
      <c r="AD835" s="71"/>
      <c r="AE835" s="71"/>
      <c r="AF835" s="71"/>
      <c r="AG835" s="74" t="s">
        <v>557</v>
      </c>
      <c r="AH835" s="75"/>
      <c r="AI835" s="75"/>
      <c r="AJ835" s="75" t="s">
        <v>599</v>
      </c>
      <c r="AK835" s="69"/>
      <c r="AL835" s="74">
        <f>(B835-DATE(1970,1,1))*86400</f>
        <v>1657756800</v>
      </c>
      <c r="AM835" s="74">
        <f>(C835-DATE(1970,1,1))*86400</f>
        <v>1657843200</v>
      </c>
      <c r="AN835" s="74">
        <f>AVERAGE(AL835:AM835)</f>
        <v>1657800000</v>
      </c>
    </row>
    <row r="836" spans="1:40" ht="15.75" customHeight="1" x14ac:dyDescent="0.2">
      <c r="A836" s="284" t="s">
        <v>133</v>
      </c>
      <c r="B836" s="20">
        <v>44751</v>
      </c>
      <c r="C836" s="20">
        <v>44762</v>
      </c>
      <c r="D836" s="19" t="s">
        <v>134</v>
      </c>
      <c r="E836" s="332" t="s">
        <v>125</v>
      </c>
      <c r="F836" s="19"/>
      <c r="G836" s="19" t="s">
        <v>135</v>
      </c>
      <c r="H836" s="332">
        <v>1800</v>
      </c>
      <c r="I836" s="21">
        <v>37</v>
      </c>
      <c r="J836" s="21">
        <v>2</v>
      </c>
      <c r="K836" s="21">
        <v>4</v>
      </c>
      <c r="L836" s="21">
        <v>1</v>
      </c>
      <c r="M836" s="21">
        <v>10</v>
      </c>
      <c r="N836" s="21"/>
      <c r="O836" s="21">
        <v>1</v>
      </c>
      <c r="P836" s="21">
        <v>4</v>
      </c>
      <c r="Q836" s="21"/>
      <c r="R836" s="22"/>
      <c r="S836" s="21"/>
      <c r="T836" s="21"/>
      <c r="U836" s="21"/>
      <c r="V836" s="21">
        <v>4</v>
      </c>
      <c r="W836" s="21"/>
      <c r="X836" s="21">
        <v>7</v>
      </c>
      <c r="Y836" s="21"/>
      <c r="Z836" s="21">
        <v>1</v>
      </c>
      <c r="AA836" s="21">
        <v>29</v>
      </c>
      <c r="AB836" s="23">
        <f>100/(SUM(I836:Z836))</f>
        <v>1.408450704225352</v>
      </c>
      <c r="AC836" s="259">
        <f>SUM(I836:AA836)</f>
        <v>100</v>
      </c>
      <c r="AD836" s="24"/>
      <c r="AE836" s="24"/>
      <c r="AF836" s="24"/>
      <c r="AG836" s="25" t="s">
        <v>127</v>
      </c>
      <c r="AH836" s="26" t="s">
        <v>630</v>
      </c>
      <c r="AI836" s="83"/>
      <c r="AJ836" s="83"/>
      <c r="AK836" s="19"/>
      <c r="AL836" s="25">
        <f>(B836-DATE(1970,1,1))*86400</f>
        <v>1657324800</v>
      </c>
      <c r="AM836" s="25">
        <f>(C836-DATE(1970,1,1))*86400</f>
        <v>1658275200</v>
      </c>
      <c r="AN836" s="25">
        <f>AVERAGE(AL836:AM836)</f>
        <v>1657800000</v>
      </c>
    </row>
    <row r="837" spans="1:40" ht="15.75" customHeight="1" x14ac:dyDescent="0.2">
      <c r="A837" s="284" t="s">
        <v>123</v>
      </c>
      <c r="B837" s="20">
        <v>44751</v>
      </c>
      <c r="C837" s="20">
        <v>44762</v>
      </c>
      <c r="D837" s="19" t="s">
        <v>134</v>
      </c>
      <c r="E837" s="332" t="s">
        <v>125</v>
      </c>
      <c r="F837" s="19"/>
      <c r="G837" s="19" t="s">
        <v>135</v>
      </c>
      <c r="H837" s="332">
        <v>1800</v>
      </c>
      <c r="I837" s="21">
        <v>54</v>
      </c>
      <c r="J837" s="21">
        <v>2</v>
      </c>
      <c r="K837" s="21">
        <v>5</v>
      </c>
      <c r="L837" s="21">
        <v>1</v>
      </c>
      <c r="M837" s="21">
        <v>14</v>
      </c>
      <c r="N837" s="21"/>
      <c r="O837" s="21">
        <v>2</v>
      </c>
      <c r="P837" s="21">
        <v>6</v>
      </c>
      <c r="Q837" s="21"/>
      <c r="R837" s="22"/>
      <c r="S837" s="21"/>
      <c r="T837" s="21"/>
      <c r="U837" s="21"/>
      <c r="V837" s="21">
        <v>6</v>
      </c>
      <c r="W837" s="21"/>
      <c r="X837" s="21">
        <v>9</v>
      </c>
      <c r="Y837" s="21"/>
      <c r="Z837" s="21">
        <v>1</v>
      </c>
      <c r="AA837" s="21">
        <v>0</v>
      </c>
      <c r="AB837" s="23">
        <f>100/(SUM(I837:Z837))</f>
        <v>1</v>
      </c>
      <c r="AC837" s="259">
        <f>SUM(I837:AA837)</f>
        <v>100</v>
      </c>
      <c r="AD837" s="24"/>
      <c r="AE837" s="24"/>
      <c r="AF837" s="24"/>
      <c r="AG837" s="25" t="s">
        <v>127</v>
      </c>
      <c r="AH837" s="219" t="s">
        <v>630</v>
      </c>
      <c r="AI837" s="83"/>
      <c r="AJ837" s="83"/>
      <c r="AK837" s="19"/>
      <c r="AL837" s="25">
        <f>(B837-DATE(1970,1,1))*86400</f>
        <v>1657324800</v>
      </c>
      <c r="AM837" s="25">
        <f>(C837-DATE(1970,1,1))*86400</f>
        <v>1658275200</v>
      </c>
      <c r="AN837" s="25">
        <f>AVERAGE(AL837:AM837)</f>
        <v>1657800000</v>
      </c>
    </row>
    <row r="838" spans="1:40" ht="15.75" customHeight="1" x14ac:dyDescent="0.2">
      <c r="A838" s="279" t="s">
        <v>123</v>
      </c>
      <c r="B838" s="14">
        <v>44753</v>
      </c>
      <c r="C838" s="14">
        <v>44755</v>
      </c>
      <c r="D838" s="13" t="s">
        <v>124</v>
      </c>
      <c r="E838" s="324" t="s">
        <v>125</v>
      </c>
      <c r="F838" s="13"/>
      <c r="G838" s="13" t="s">
        <v>126</v>
      </c>
      <c r="H838" s="349">
        <v>1000</v>
      </c>
      <c r="I838" s="15">
        <v>54</v>
      </c>
      <c r="J838" s="15">
        <v>1</v>
      </c>
      <c r="K838" s="15">
        <v>4</v>
      </c>
      <c r="L838" s="15">
        <v>1</v>
      </c>
      <c r="M838" s="15">
        <v>5</v>
      </c>
      <c r="N838" s="15"/>
      <c r="O838" s="15">
        <v>1</v>
      </c>
      <c r="P838" s="15">
        <v>5</v>
      </c>
      <c r="Q838" s="15"/>
      <c r="R838" s="98"/>
      <c r="S838" s="15"/>
      <c r="T838" s="15"/>
      <c r="U838" s="15">
        <v>15</v>
      </c>
      <c r="V838" s="15">
        <v>5</v>
      </c>
      <c r="W838" s="15"/>
      <c r="X838" s="15">
        <v>5</v>
      </c>
      <c r="Y838" s="15"/>
      <c r="Z838" s="15"/>
      <c r="AA838" s="15">
        <v>4</v>
      </c>
      <c r="AB838" s="16">
        <f>100/(SUM(I838:Z838))</f>
        <v>1.0416666666666667</v>
      </c>
      <c r="AC838" s="259">
        <f>SUM(I838:AA838)</f>
        <v>100</v>
      </c>
      <c r="AD838" s="15"/>
      <c r="AE838" s="15"/>
      <c r="AF838" s="15"/>
      <c r="AG838" s="17" t="s">
        <v>127</v>
      </c>
      <c r="AH838" s="18" t="s">
        <v>631</v>
      </c>
      <c r="AI838" s="18" t="s">
        <v>632</v>
      </c>
      <c r="AJ838" s="201" t="s">
        <v>2211</v>
      </c>
      <c r="AK838" s="13" t="s">
        <v>633</v>
      </c>
      <c r="AL838" s="17">
        <f>(B838-DATE(1970,1,1))*86400</f>
        <v>1657497600</v>
      </c>
      <c r="AM838" s="17">
        <f>(C838-DATE(1970,1,1))*86400</f>
        <v>1657670400</v>
      </c>
      <c r="AN838" s="17">
        <f>AVERAGE(AL838:AM838)</f>
        <v>1657584000</v>
      </c>
    </row>
    <row r="839" spans="1:40" ht="15.75" customHeight="1" x14ac:dyDescent="0.2">
      <c r="A839" s="280" t="s">
        <v>123</v>
      </c>
      <c r="B839" s="108">
        <v>44743</v>
      </c>
      <c r="C839" s="108">
        <v>44749</v>
      </c>
      <c r="D839" s="76" t="s">
        <v>200</v>
      </c>
      <c r="E839" s="320" t="s">
        <v>125</v>
      </c>
      <c r="F839" s="76" t="s">
        <v>2495</v>
      </c>
      <c r="G839" s="76" t="s">
        <v>126</v>
      </c>
      <c r="H839" s="320">
        <v>1000</v>
      </c>
      <c r="I839" s="78"/>
      <c r="J839" s="78"/>
      <c r="K839" s="78"/>
      <c r="L839" s="78"/>
      <c r="M839" s="78"/>
      <c r="N839" s="78"/>
      <c r="O839" s="78"/>
      <c r="P839" s="78"/>
      <c r="Q839" s="78"/>
      <c r="R839" s="78"/>
      <c r="S839" s="78"/>
      <c r="T839" s="78"/>
      <c r="U839" s="78"/>
      <c r="V839" s="78"/>
      <c r="W839" s="78"/>
      <c r="X839" s="78"/>
      <c r="Y839" s="78"/>
      <c r="Z839" s="78"/>
      <c r="AA839" s="78"/>
      <c r="AB839" s="79" t="e">
        <f>100/(SUM(I839:Z839))</f>
        <v>#DIV/0!</v>
      </c>
      <c r="AC839" s="259">
        <f>SUM(I839:AA839)</f>
        <v>0</v>
      </c>
      <c r="AD839" s="78"/>
      <c r="AE839" s="78"/>
      <c r="AF839" s="78"/>
      <c r="AG839" s="80" t="s">
        <v>127</v>
      </c>
      <c r="AH839" s="81"/>
      <c r="AI839" s="81"/>
      <c r="AJ839" s="81" t="s">
        <v>634</v>
      </c>
      <c r="AK839" s="76"/>
      <c r="AL839" s="80">
        <f>(B839-DATE(1970,1,1))*86400</f>
        <v>1656633600</v>
      </c>
      <c r="AM839" s="80">
        <f>(C839-DATE(1970,1,1))*86400</f>
        <v>1657152000</v>
      </c>
      <c r="AN839" s="80">
        <f>AVERAGE(AL839:AM839)</f>
        <v>1656892800</v>
      </c>
    </row>
    <row r="840" spans="1:40" ht="15.75" customHeight="1" x14ac:dyDescent="0.2">
      <c r="A840" s="281" t="s">
        <v>133</v>
      </c>
      <c r="B840" s="54">
        <v>44742</v>
      </c>
      <c r="C840" s="54">
        <v>44749</v>
      </c>
      <c r="D840" s="53" t="s">
        <v>154</v>
      </c>
      <c r="E840" s="323" t="s">
        <v>125</v>
      </c>
      <c r="F840" s="53" t="s">
        <v>140</v>
      </c>
      <c r="G840" s="53" t="s">
        <v>126</v>
      </c>
      <c r="H840" s="357">
        <v>1001</v>
      </c>
      <c r="I840" s="55"/>
      <c r="J840" s="55"/>
      <c r="K840" s="55"/>
      <c r="L840" s="55"/>
      <c r="M840" s="55"/>
      <c r="N840" s="55"/>
      <c r="O840" s="55"/>
      <c r="P840" s="55"/>
      <c r="Q840" s="55"/>
      <c r="R840" s="56"/>
      <c r="S840" s="55"/>
      <c r="T840" s="55"/>
      <c r="U840" s="55"/>
      <c r="V840" s="55"/>
      <c r="W840" s="55"/>
      <c r="X840" s="55"/>
      <c r="Y840" s="55"/>
      <c r="Z840" s="55"/>
      <c r="AA840" s="55"/>
      <c r="AB840" s="57" t="e">
        <f>100/(SUM(I840:Z840))</f>
        <v>#DIV/0!</v>
      </c>
      <c r="AC840" s="259">
        <f>SUM(I840:AA840)</f>
        <v>0</v>
      </c>
      <c r="AD840" s="55"/>
      <c r="AE840" s="55"/>
      <c r="AF840" s="55"/>
      <c r="AG840" s="58" t="s">
        <v>155</v>
      </c>
      <c r="AH840" s="59"/>
      <c r="AI840" s="59"/>
      <c r="AJ840" s="59" t="s">
        <v>635</v>
      </c>
      <c r="AK840" s="53"/>
      <c r="AL840" s="58">
        <f>(B840-DATE(1970,1,1))*86400</f>
        <v>1656547200</v>
      </c>
      <c r="AM840" s="58">
        <f>(C840-DATE(1970,1,1))*86400</f>
        <v>1657152000</v>
      </c>
      <c r="AN840" s="58">
        <f>AVERAGE(AL840:AM840)</f>
        <v>1656849600</v>
      </c>
    </row>
    <row r="841" spans="1:40" ht="15.75" customHeight="1" x14ac:dyDescent="0.2">
      <c r="A841" s="281" t="s">
        <v>133</v>
      </c>
      <c r="B841" s="54">
        <v>44742</v>
      </c>
      <c r="C841" s="54">
        <v>44746</v>
      </c>
      <c r="D841" s="53" t="s">
        <v>154</v>
      </c>
      <c r="E841" s="323" t="s">
        <v>125</v>
      </c>
      <c r="F841" s="53" t="s">
        <v>2495</v>
      </c>
      <c r="G841" s="53" t="s">
        <v>126</v>
      </c>
      <c r="H841" s="357">
        <v>1295</v>
      </c>
      <c r="I841" s="55"/>
      <c r="J841" s="55"/>
      <c r="K841" s="55"/>
      <c r="L841" s="55"/>
      <c r="M841" s="55"/>
      <c r="N841" s="55"/>
      <c r="O841" s="55"/>
      <c r="P841" s="55"/>
      <c r="Q841" s="55"/>
      <c r="R841" s="56"/>
      <c r="S841" s="55"/>
      <c r="T841" s="55"/>
      <c r="U841" s="55"/>
      <c r="V841" s="55"/>
      <c r="W841" s="55"/>
      <c r="X841" s="55"/>
      <c r="Y841" s="55"/>
      <c r="Z841" s="55"/>
      <c r="AA841" s="55"/>
      <c r="AB841" s="57" t="e">
        <f>100/(SUM(I841:Z841))</f>
        <v>#DIV/0!</v>
      </c>
      <c r="AC841" s="259">
        <f>SUM(I841:AA841)</f>
        <v>0</v>
      </c>
      <c r="AD841" s="55"/>
      <c r="AE841" s="55"/>
      <c r="AF841" s="55"/>
      <c r="AG841" s="58" t="s">
        <v>155</v>
      </c>
      <c r="AH841" s="59"/>
      <c r="AI841" s="59"/>
      <c r="AJ841" s="59" t="s">
        <v>599</v>
      </c>
      <c r="AK841" s="53"/>
      <c r="AL841" s="58">
        <f>(B841-DATE(1970,1,1))*86400</f>
        <v>1656547200</v>
      </c>
      <c r="AM841" s="58">
        <f>(C841-DATE(1970,1,1))*86400</f>
        <v>1656892800</v>
      </c>
      <c r="AN841" s="58">
        <f>AVERAGE(AL841:AM841)</f>
        <v>1656720000</v>
      </c>
    </row>
    <row r="842" spans="1:40" ht="15.75" customHeight="1" x14ac:dyDescent="0.2">
      <c r="A842" s="279" t="s">
        <v>123</v>
      </c>
      <c r="B842" s="14">
        <v>44739</v>
      </c>
      <c r="C842" s="14">
        <v>44741</v>
      </c>
      <c r="D842" s="13" t="s">
        <v>124</v>
      </c>
      <c r="E842" s="324" t="s">
        <v>125</v>
      </c>
      <c r="F842" s="13" t="s">
        <v>140</v>
      </c>
      <c r="G842" s="13" t="s">
        <v>126</v>
      </c>
      <c r="H842" s="349">
        <v>1000</v>
      </c>
      <c r="I842" s="15"/>
      <c r="J842" s="15"/>
      <c r="K842" s="15"/>
      <c r="L842" s="15"/>
      <c r="M842" s="15"/>
      <c r="N842" s="15"/>
      <c r="O842" s="15"/>
      <c r="P842" s="15"/>
      <c r="Q842" s="15"/>
      <c r="R842" s="15"/>
      <c r="S842" s="15"/>
      <c r="T842" s="15"/>
      <c r="U842" s="15"/>
      <c r="V842" s="15"/>
      <c r="W842" s="15"/>
      <c r="X842" s="15"/>
      <c r="Y842" s="15"/>
      <c r="Z842" s="15"/>
      <c r="AA842" s="15"/>
      <c r="AB842" s="16" t="e">
        <f>100/(SUM(I842:Z842))</f>
        <v>#DIV/0!</v>
      </c>
      <c r="AC842" s="259">
        <f>SUM(I842:AA842)</f>
        <v>0</v>
      </c>
      <c r="AD842" s="15"/>
      <c r="AE842" s="15"/>
      <c r="AF842" s="15"/>
      <c r="AG842" s="17" t="s">
        <v>127</v>
      </c>
      <c r="AH842" s="18" t="s">
        <v>636</v>
      </c>
      <c r="AI842" s="18" t="s">
        <v>632</v>
      </c>
      <c r="AJ842" s="18" t="s">
        <v>637</v>
      </c>
      <c r="AK842" s="13" t="s">
        <v>638</v>
      </c>
      <c r="AL842" s="17">
        <f>(B842-DATE(1970,1,1))*86400</f>
        <v>1656288000</v>
      </c>
      <c r="AM842" s="17">
        <f>(C842-DATE(1970,1,1))*86400</f>
        <v>1656460800</v>
      </c>
      <c r="AN842" s="17">
        <f>AVERAGE(AL842:AM842)</f>
        <v>1656374400</v>
      </c>
    </row>
    <row r="843" spans="1:40" ht="15.75" customHeight="1" x14ac:dyDescent="0.2">
      <c r="A843" s="279" t="s">
        <v>123</v>
      </c>
      <c r="B843" s="14">
        <v>44732</v>
      </c>
      <c r="C843" s="14">
        <v>44734</v>
      </c>
      <c r="D843" s="13" t="s">
        <v>124</v>
      </c>
      <c r="E843" s="324" t="s">
        <v>125</v>
      </c>
      <c r="F843" s="13"/>
      <c r="G843" s="13" t="s">
        <v>126</v>
      </c>
      <c r="H843" s="349">
        <v>1000</v>
      </c>
      <c r="I843" s="15">
        <v>55</v>
      </c>
      <c r="J843" s="15">
        <v>1</v>
      </c>
      <c r="K843" s="15">
        <v>4</v>
      </c>
      <c r="L843" s="15">
        <v>1</v>
      </c>
      <c r="M843" s="15">
        <v>6</v>
      </c>
      <c r="N843" s="15"/>
      <c r="O843" s="15">
        <v>1</v>
      </c>
      <c r="P843" s="15">
        <v>4</v>
      </c>
      <c r="Q843" s="15"/>
      <c r="R843" s="98"/>
      <c r="S843" s="15"/>
      <c r="T843" s="15"/>
      <c r="U843" s="15">
        <v>12</v>
      </c>
      <c r="V843" s="15">
        <v>5</v>
      </c>
      <c r="W843" s="15"/>
      <c r="X843" s="15">
        <v>6</v>
      </c>
      <c r="Y843" s="15"/>
      <c r="Z843" s="15">
        <v>0</v>
      </c>
      <c r="AA843" s="15">
        <v>5</v>
      </c>
      <c r="AB843" s="16">
        <f>100/(SUM(I843:Z843))</f>
        <v>1.0526315789473684</v>
      </c>
      <c r="AC843" s="259">
        <f>SUM(I843:AA843)</f>
        <v>100</v>
      </c>
      <c r="AD843" s="15"/>
      <c r="AE843" s="15"/>
      <c r="AF843" s="15"/>
      <c r="AG843" s="17" t="s">
        <v>127</v>
      </c>
      <c r="AH843" s="18" t="s">
        <v>2210</v>
      </c>
      <c r="AI843" s="18" t="s">
        <v>632</v>
      </c>
      <c r="AJ843" s="18" t="s">
        <v>639</v>
      </c>
      <c r="AK843" s="13" t="s">
        <v>638</v>
      </c>
      <c r="AL843" s="17">
        <f>(B843-DATE(1970,1,1))*86400</f>
        <v>1655683200</v>
      </c>
      <c r="AM843" s="17">
        <f>(C843-DATE(1970,1,1))*86400</f>
        <v>1655856000</v>
      </c>
      <c r="AN843" s="17">
        <f>AVERAGE(AL843:AM843)</f>
        <v>1655769600</v>
      </c>
    </row>
    <row r="844" spans="1:40" ht="15.75" customHeight="1" x14ac:dyDescent="0.2">
      <c r="A844" s="281" t="s">
        <v>133</v>
      </c>
      <c r="B844" s="68">
        <v>44713</v>
      </c>
      <c r="C844" s="68">
        <v>44742</v>
      </c>
      <c r="D844" s="53" t="s">
        <v>154</v>
      </c>
      <c r="E844" s="323" t="s">
        <v>125</v>
      </c>
      <c r="F844" s="53" t="s">
        <v>390</v>
      </c>
      <c r="G844" s="53" t="s">
        <v>126</v>
      </c>
      <c r="H844" s="362">
        <v>1000</v>
      </c>
      <c r="I844" s="55">
        <v>36</v>
      </c>
      <c r="J844" s="55"/>
      <c r="K844" s="55"/>
      <c r="L844" s="55"/>
      <c r="M844" s="55"/>
      <c r="N844" s="55"/>
      <c r="O844" s="55"/>
      <c r="P844" s="55"/>
      <c r="Q844" s="55"/>
      <c r="R844" s="56"/>
      <c r="S844" s="55"/>
      <c r="T844" s="55"/>
      <c r="U844" s="55">
        <v>23</v>
      </c>
      <c r="V844" s="55"/>
      <c r="W844" s="55"/>
      <c r="X844" s="55"/>
      <c r="Y844" s="55"/>
      <c r="Z844" s="56">
        <v>9</v>
      </c>
      <c r="AA844" s="55">
        <v>32</v>
      </c>
      <c r="AB844" s="57">
        <f>100/(SUM(I844:Z844))</f>
        <v>1.4705882352941178</v>
      </c>
      <c r="AC844" s="259">
        <f>SUM(I844:AA844)</f>
        <v>100</v>
      </c>
      <c r="AD844" s="55"/>
      <c r="AE844" s="55"/>
      <c r="AF844" s="55"/>
      <c r="AG844" s="58" t="s">
        <v>127</v>
      </c>
      <c r="AH844" s="59" t="s">
        <v>628</v>
      </c>
      <c r="AI844" s="59" t="s">
        <v>629</v>
      </c>
      <c r="AJ844" s="59"/>
      <c r="AK844" s="53" t="s">
        <v>1875</v>
      </c>
      <c r="AL844" s="58">
        <f>(B844-DATE(1970,1,1))*86400</f>
        <v>1654041600</v>
      </c>
      <c r="AM844" s="58">
        <f>(C844-DATE(1970,1,1))*86400</f>
        <v>1656547200</v>
      </c>
      <c r="AN844" s="58">
        <f>AVERAGE(AL844:AM844)</f>
        <v>1655294400</v>
      </c>
    </row>
    <row r="845" spans="1:40" ht="15.75" customHeight="1" x14ac:dyDescent="0.2">
      <c r="A845" s="279" t="s">
        <v>123</v>
      </c>
      <c r="B845" s="14">
        <v>44719</v>
      </c>
      <c r="C845" s="14">
        <v>44721</v>
      </c>
      <c r="D845" s="13" t="s">
        <v>124</v>
      </c>
      <c r="E845" s="324" t="s">
        <v>125</v>
      </c>
      <c r="F845" s="13" t="s">
        <v>140</v>
      </c>
      <c r="G845" s="13" t="s">
        <v>126</v>
      </c>
      <c r="H845" s="349">
        <v>1000</v>
      </c>
      <c r="I845" s="15"/>
      <c r="J845" s="15"/>
      <c r="K845" s="15"/>
      <c r="L845" s="15"/>
      <c r="M845" s="15"/>
      <c r="N845" s="15"/>
      <c r="O845" s="15"/>
      <c r="P845" s="15"/>
      <c r="Q845" s="15"/>
      <c r="R845" s="15"/>
      <c r="S845" s="15"/>
      <c r="T845" s="15"/>
      <c r="U845" s="15"/>
      <c r="V845" s="15"/>
      <c r="W845" s="15"/>
      <c r="X845" s="15"/>
      <c r="Y845" s="15"/>
      <c r="Z845" s="15"/>
      <c r="AA845" s="15"/>
      <c r="AB845" s="16" t="e">
        <f>100/(SUM(I845:Z845))</f>
        <v>#DIV/0!</v>
      </c>
      <c r="AC845" s="259">
        <f>SUM(I845:AA845)</f>
        <v>0</v>
      </c>
      <c r="AD845" s="15"/>
      <c r="AE845" s="15"/>
      <c r="AF845" s="15"/>
      <c r="AG845" s="17" t="s">
        <v>127</v>
      </c>
      <c r="AH845" s="18"/>
      <c r="AI845" s="18"/>
      <c r="AJ845" s="18" t="s">
        <v>639</v>
      </c>
      <c r="AK845" s="13"/>
      <c r="AL845" s="17">
        <f>(B845-DATE(1970,1,1))*86400</f>
        <v>1654560000</v>
      </c>
      <c r="AM845" s="17">
        <f>(C845-DATE(1970,1,1))*86400</f>
        <v>1654732800</v>
      </c>
      <c r="AN845" s="17">
        <f>AVERAGE(AL845:AM845)</f>
        <v>1654646400</v>
      </c>
    </row>
    <row r="846" spans="1:40" ht="15.75" customHeight="1" x14ac:dyDescent="0.2">
      <c r="A846" s="280" t="s">
        <v>123</v>
      </c>
      <c r="B846" s="108">
        <v>44713</v>
      </c>
      <c r="C846" s="108">
        <v>44726</v>
      </c>
      <c r="D846" s="76" t="s">
        <v>200</v>
      </c>
      <c r="E846" s="320" t="s">
        <v>125</v>
      </c>
      <c r="F846" s="76" t="s">
        <v>390</v>
      </c>
      <c r="G846" s="76" t="s">
        <v>126</v>
      </c>
      <c r="H846" s="320">
        <v>1000</v>
      </c>
      <c r="I846" s="78">
        <v>51</v>
      </c>
      <c r="J846" s="78"/>
      <c r="K846" s="78"/>
      <c r="L846" s="78"/>
      <c r="M846" s="78"/>
      <c r="N846" s="78"/>
      <c r="O846" s="78"/>
      <c r="P846" s="78"/>
      <c r="Q846" s="78"/>
      <c r="R846" s="78"/>
      <c r="S846" s="78"/>
      <c r="T846" s="78"/>
      <c r="U846" s="78">
        <v>25</v>
      </c>
      <c r="V846" s="78">
        <v>8</v>
      </c>
      <c r="W846" s="78"/>
      <c r="X846" s="78">
        <v>9</v>
      </c>
      <c r="Y846" s="78"/>
      <c r="Z846" s="78">
        <v>2</v>
      </c>
      <c r="AA846" s="78">
        <v>5</v>
      </c>
      <c r="AB846" s="79">
        <f>100/(SUM(I846:Z846))</f>
        <v>1.0526315789473684</v>
      </c>
      <c r="AC846" s="259">
        <f>SUM(I846:AA846)</f>
        <v>100</v>
      </c>
      <c r="AD846" s="78"/>
      <c r="AE846" s="78"/>
      <c r="AF846" s="78"/>
      <c r="AG846" s="80" t="s">
        <v>127</v>
      </c>
      <c r="AH846" s="81" t="s">
        <v>640</v>
      </c>
      <c r="AI846" s="81"/>
      <c r="AJ846" s="81"/>
      <c r="AK846" s="76"/>
      <c r="AL846" s="80">
        <f>(B846-DATE(1970,1,1))*86400</f>
        <v>1654041600</v>
      </c>
      <c r="AM846" s="80">
        <f>(C846-DATE(1970,1,1))*86400</f>
        <v>1655164800</v>
      </c>
      <c r="AN846" s="80">
        <f>AVERAGE(AL846:AM846)</f>
        <v>1654603200</v>
      </c>
    </row>
    <row r="847" spans="1:40" ht="15.75" customHeight="1" x14ac:dyDescent="0.2">
      <c r="A847" s="285" t="s">
        <v>133</v>
      </c>
      <c r="B847" s="34">
        <v>44708</v>
      </c>
      <c r="C847" s="34">
        <v>44714</v>
      </c>
      <c r="D847" s="33" t="s">
        <v>143</v>
      </c>
      <c r="E847" s="319" t="s">
        <v>125</v>
      </c>
      <c r="F847" s="33" t="s">
        <v>140</v>
      </c>
      <c r="G847" s="82" t="s">
        <v>126</v>
      </c>
      <c r="H847" s="371">
        <v>1000</v>
      </c>
      <c r="I847" s="35"/>
      <c r="J847" s="35"/>
      <c r="K847" s="35"/>
      <c r="L847" s="35"/>
      <c r="M847" s="35"/>
      <c r="N847" s="35"/>
      <c r="O847" s="35"/>
      <c r="P847" s="35"/>
      <c r="Q847" s="35"/>
      <c r="R847" s="35"/>
      <c r="S847" s="35"/>
      <c r="T847" s="35"/>
      <c r="U847" s="35"/>
      <c r="V847" s="35"/>
      <c r="W847" s="35"/>
      <c r="X847" s="35"/>
      <c r="Y847" s="35"/>
      <c r="Z847" s="35"/>
      <c r="AA847" s="35"/>
      <c r="AB847" s="37" t="e">
        <f>100/(SUM(I847:Z847))</f>
        <v>#DIV/0!</v>
      </c>
      <c r="AC847" s="259">
        <f>SUM(I847:AA847)</f>
        <v>0</v>
      </c>
      <c r="AD847" s="35"/>
      <c r="AE847" s="35"/>
      <c r="AF847" s="35"/>
      <c r="AG847" s="33"/>
      <c r="AH847" s="39"/>
      <c r="AI847" s="38" t="s">
        <v>641</v>
      </c>
      <c r="AJ847" s="38" t="s">
        <v>642</v>
      </c>
      <c r="AK847" s="33"/>
      <c r="AL847" s="39">
        <f>(B847-DATE(1970,1,1))*86400</f>
        <v>1653609600</v>
      </c>
      <c r="AM847" s="39">
        <f>(C847-DATE(1970,1,1))*86400</f>
        <v>1654128000</v>
      </c>
      <c r="AN847" s="39">
        <f>AVERAGE(AL847:AM847)</f>
        <v>1653868800</v>
      </c>
    </row>
    <row r="848" spans="1:40" ht="15.75" customHeight="1" x14ac:dyDescent="0.2">
      <c r="A848" s="281" t="s">
        <v>133</v>
      </c>
      <c r="B848" s="54">
        <v>44707</v>
      </c>
      <c r="C848" s="54">
        <v>44711</v>
      </c>
      <c r="D848" s="53" t="s">
        <v>154</v>
      </c>
      <c r="E848" s="323" t="s">
        <v>125</v>
      </c>
      <c r="F848" s="53" t="s">
        <v>140</v>
      </c>
      <c r="G848" s="53" t="s">
        <v>126</v>
      </c>
      <c r="H848" s="357">
        <v>1004</v>
      </c>
      <c r="I848" s="55"/>
      <c r="J848" s="55"/>
      <c r="K848" s="55"/>
      <c r="L848" s="55"/>
      <c r="M848" s="55"/>
      <c r="N848" s="55"/>
      <c r="O848" s="55"/>
      <c r="P848" s="55"/>
      <c r="Q848" s="55"/>
      <c r="R848" s="56"/>
      <c r="S848" s="55"/>
      <c r="T848" s="55"/>
      <c r="U848" s="55"/>
      <c r="V848" s="55"/>
      <c r="W848" s="55"/>
      <c r="X848" s="55"/>
      <c r="Y848" s="55"/>
      <c r="Z848" s="55"/>
      <c r="AA848" s="55"/>
      <c r="AB848" s="57" t="e">
        <f>100/(SUM(I848:Z848))</f>
        <v>#DIV/0!</v>
      </c>
      <c r="AC848" s="259">
        <f>SUM(I848:AA848)</f>
        <v>0</v>
      </c>
      <c r="AD848" s="55"/>
      <c r="AE848" s="55"/>
      <c r="AF848" s="55"/>
      <c r="AG848" s="58" t="s">
        <v>127</v>
      </c>
      <c r="AH848" s="59"/>
      <c r="AI848" s="59"/>
      <c r="AJ848" s="59" t="s">
        <v>643</v>
      </c>
      <c r="AK848" s="53"/>
      <c r="AL848" s="58">
        <f>(B848-DATE(1970,1,1))*86400</f>
        <v>1653523200</v>
      </c>
      <c r="AM848" s="58">
        <f>(C848-DATE(1970,1,1))*86400</f>
        <v>1653868800</v>
      </c>
      <c r="AN848" s="58">
        <f>AVERAGE(AL848:AM848)</f>
        <v>1653696000</v>
      </c>
    </row>
    <row r="849" spans="1:65" ht="15.75" customHeight="1" x14ac:dyDescent="0.2">
      <c r="A849" s="286" t="s">
        <v>133</v>
      </c>
      <c r="B849" s="41">
        <v>44701</v>
      </c>
      <c r="C849" s="41">
        <v>44704</v>
      </c>
      <c r="D849" s="40" t="s">
        <v>148</v>
      </c>
      <c r="E849" s="325" t="s">
        <v>125</v>
      </c>
      <c r="F849" s="40" t="s">
        <v>140</v>
      </c>
      <c r="G849" s="40" t="s">
        <v>126</v>
      </c>
      <c r="H849" s="325">
        <v>1000</v>
      </c>
      <c r="I849" s="42"/>
      <c r="J849" s="42"/>
      <c r="K849" s="42"/>
      <c r="L849" s="42"/>
      <c r="M849" s="42"/>
      <c r="N849" s="42"/>
      <c r="O849" s="42"/>
      <c r="P849" s="42"/>
      <c r="Q849" s="42"/>
      <c r="R849" s="43"/>
      <c r="S849" s="42"/>
      <c r="T849" s="42"/>
      <c r="U849" s="42"/>
      <c r="V849" s="42"/>
      <c r="W849" s="42"/>
      <c r="X849" s="42"/>
      <c r="Y849" s="42"/>
      <c r="Z849" s="42"/>
      <c r="AA849" s="42"/>
      <c r="AB849" s="44" t="e">
        <f>100/(SUM(I849:Z849))</f>
        <v>#DIV/0!</v>
      </c>
      <c r="AC849" s="259">
        <f>SUM(I849:AA849)</f>
        <v>0</v>
      </c>
      <c r="AD849" s="42"/>
      <c r="AE849" s="43"/>
      <c r="AF849" s="43"/>
      <c r="AG849" s="45" t="s">
        <v>644</v>
      </c>
      <c r="AH849" s="42"/>
      <c r="AI849" s="46"/>
      <c r="AJ849" s="46" t="s">
        <v>645</v>
      </c>
      <c r="AK849" s="40"/>
      <c r="AL849" s="45">
        <f>(B849-DATE(1970,1,1))*86400</f>
        <v>1653004800</v>
      </c>
      <c r="AM849" s="45">
        <f>(C849-DATE(1970,1,1))*86400</f>
        <v>1653264000</v>
      </c>
      <c r="AN849" s="45">
        <f>AVERAGE(AL849:AM849)</f>
        <v>1653134400</v>
      </c>
    </row>
    <row r="850" spans="1:65" ht="15.75" customHeight="1" x14ac:dyDescent="0.2">
      <c r="A850" s="281" t="s">
        <v>133</v>
      </c>
      <c r="B850" s="68">
        <v>44682</v>
      </c>
      <c r="C850" s="68">
        <v>44712</v>
      </c>
      <c r="D850" s="53" t="s">
        <v>154</v>
      </c>
      <c r="E850" s="323" t="s">
        <v>125</v>
      </c>
      <c r="F850" s="53" t="s">
        <v>390</v>
      </c>
      <c r="G850" s="53" t="s">
        <v>126</v>
      </c>
      <c r="H850" s="362">
        <v>1000</v>
      </c>
      <c r="I850" s="55">
        <v>37</v>
      </c>
      <c r="J850" s="55"/>
      <c r="K850" s="55"/>
      <c r="L850" s="55"/>
      <c r="M850" s="55"/>
      <c r="N850" s="55"/>
      <c r="O850" s="55"/>
      <c r="P850" s="55"/>
      <c r="Q850" s="55"/>
      <c r="R850" s="56"/>
      <c r="S850" s="55"/>
      <c r="T850" s="55"/>
      <c r="U850" s="55">
        <v>22</v>
      </c>
      <c r="V850" s="55"/>
      <c r="W850" s="55"/>
      <c r="X850" s="55"/>
      <c r="Y850" s="55"/>
      <c r="Z850" s="56">
        <v>8</v>
      </c>
      <c r="AA850" s="55">
        <v>33</v>
      </c>
      <c r="AB850" s="57">
        <f>100/(SUM(I850:Z850))</f>
        <v>1.4925373134328359</v>
      </c>
      <c r="AC850" s="259">
        <f>SUM(I850:AA850)</f>
        <v>100</v>
      </c>
      <c r="AD850" s="55"/>
      <c r="AE850" s="55"/>
      <c r="AF850" s="55"/>
      <c r="AG850" s="58" t="s">
        <v>127</v>
      </c>
      <c r="AH850" s="59" t="s">
        <v>628</v>
      </c>
      <c r="AI850" s="59" t="s">
        <v>629</v>
      </c>
      <c r="AJ850" s="59"/>
      <c r="AK850" s="53" t="s">
        <v>1874</v>
      </c>
      <c r="AL850" s="58">
        <f>(B850-DATE(1970,1,1))*86400</f>
        <v>1651363200</v>
      </c>
      <c r="AM850" s="58">
        <f>(C850-DATE(1970,1,1))*86400</f>
        <v>1653955200</v>
      </c>
      <c r="AN850" s="58">
        <f>AVERAGE(AL850:AM850)</f>
        <v>1652659200</v>
      </c>
    </row>
    <row r="851" spans="1:65" ht="15.75" customHeight="1" x14ac:dyDescent="0.2">
      <c r="A851" s="284" t="s">
        <v>133</v>
      </c>
      <c r="B851" s="20">
        <v>44680</v>
      </c>
      <c r="C851" s="20">
        <v>44690</v>
      </c>
      <c r="D851" s="19" t="s">
        <v>134</v>
      </c>
      <c r="E851" s="332" t="s">
        <v>125</v>
      </c>
      <c r="F851" s="19"/>
      <c r="G851" s="19" t="s">
        <v>135</v>
      </c>
      <c r="H851" s="332">
        <v>1800</v>
      </c>
      <c r="I851" s="21">
        <v>43</v>
      </c>
      <c r="J851" s="21">
        <v>2</v>
      </c>
      <c r="K851" s="21">
        <v>5</v>
      </c>
      <c r="L851" s="21">
        <v>1</v>
      </c>
      <c r="M851" s="21">
        <v>9</v>
      </c>
      <c r="N851" s="21"/>
      <c r="O851" s="21">
        <v>1</v>
      </c>
      <c r="P851" s="21">
        <v>5</v>
      </c>
      <c r="Q851" s="21"/>
      <c r="R851" s="22"/>
      <c r="S851" s="21"/>
      <c r="T851" s="21"/>
      <c r="U851" s="21"/>
      <c r="V851" s="21">
        <v>3</v>
      </c>
      <c r="W851" s="21"/>
      <c r="X851" s="21">
        <v>7</v>
      </c>
      <c r="Y851" s="21"/>
      <c r="Z851" s="21">
        <v>1</v>
      </c>
      <c r="AA851" s="21">
        <v>23</v>
      </c>
      <c r="AB851" s="23">
        <f>100/(SUM(I851:Z851))</f>
        <v>1.2987012987012987</v>
      </c>
      <c r="AC851" s="259">
        <f>SUM(I851:AA851)</f>
        <v>100</v>
      </c>
      <c r="AD851" s="24"/>
      <c r="AE851" s="24"/>
      <c r="AF851" s="24"/>
      <c r="AG851" s="25" t="s">
        <v>127</v>
      </c>
      <c r="AH851" s="26" t="s">
        <v>649</v>
      </c>
      <c r="AI851" s="83"/>
      <c r="AJ851" s="83"/>
      <c r="AK851" s="19"/>
      <c r="AL851" s="25">
        <f>(B851-DATE(1970,1,1))*86400</f>
        <v>1651190400</v>
      </c>
      <c r="AM851" s="25">
        <f>(C851-DATE(1970,1,1))*86400</f>
        <v>1652054400</v>
      </c>
      <c r="AN851" s="25">
        <f>AVERAGE(AL851:AM851)</f>
        <v>1651622400</v>
      </c>
    </row>
    <row r="852" spans="1:65" ht="15.75" customHeight="1" x14ac:dyDescent="0.2">
      <c r="A852" s="284" t="s">
        <v>123</v>
      </c>
      <c r="B852" s="20">
        <v>44680</v>
      </c>
      <c r="C852" s="20">
        <v>44690</v>
      </c>
      <c r="D852" s="19" t="s">
        <v>134</v>
      </c>
      <c r="E852" s="332" t="s">
        <v>125</v>
      </c>
      <c r="F852" s="19"/>
      <c r="G852" s="19" t="s">
        <v>135</v>
      </c>
      <c r="H852" s="332">
        <v>1800</v>
      </c>
      <c r="I852" s="21">
        <v>57</v>
      </c>
      <c r="J852" s="21">
        <v>2</v>
      </c>
      <c r="K852" s="21">
        <v>6</v>
      </c>
      <c r="L852" s="21">
        <v>1</v>
      </c>
      <c r="M852" s="21">
        <v>12</v>
      </c>
      <c r="N852" s="21"/>
      <c r="O852" s="21">
        <v>2</v>
      </c>
      <c r="P852" s="21">
        <v>7</v>
      </c>
      <c r="Q852" s="21"/>
      <c r="R852" s="22"/>
      <c r="S852" s="21"/>
      <c r="T852" s="21"/>
      <c r="U852" s="21"/>
      <c r="V852" s="21">
        <v>4</v>
      </c>
      <c r="W852" s="21"/>
      <c r="X852" s="21">
        <v>8</v>
      </c>
      <c r="Y852" s="21"/>
      <c r="Z852" s="21">
        <v>1</v>
      </c>
      <c r="AA852" s="21">
        <v>0</v>
      </c>
      <c r="AB852" s="23">
        <f>100/(SUM(I852:Z852))</f>
        <v>1</v>
      </c>
      <c r="AC852" s="259">
        <f>SUM(I852:AA852)</f>
        <v>100</v>
      </c>
      <c r="AD852" s="24"/>
      <c r="AE852" s="24"/>
      <c r="AF852" s="24"/>
      <c r="AG852" s="25" t="s">
        <v>127</v>
      </c>
      <c r="AH852" s="26" t="s">
        <v>649</v>
      </c>
      <c r="AI852" s="83"/>
      <c r="AJ852" s="83"/>
      <c r="AK852" s="19"/>
      <c r="AL852" s="25">
        <f>(B852-DATE(1970,1,1))*86400</f>
        <v>1651190400</v>
      </c>
      <c r="AM852" s="25">
        <f>(C852-DATE(1970,1,1))*86400</f>
        <v>1652054400</v>
      </c>
      <c r="AN852" s="25">
        <f>AVERAGE(AL852:AM852)</f>
        <v>1651622400</v>
      </c>
    </row>
    <row r="853" spans="1:65" ht="15.75" customHeight="1" x14ac:dyDescent="0.2">
      <c r="A853" s="281" t="s">
        <v>133</v>
      </c>
      <c r="B853" s="54">
        <v>44683</v>
      </c>
      <c r="C853" s="54">
        <v>44687</v>
      </c>
      <c r="D853" s="53" t="s">
        <v>154</v>
      </c>
      <c r="E853" s="323" t="s">
        <v>125</v>
      </c>
      <c r="F853" s="53" t="s">
        <v>140</v>
      </c>
      <c r="G853" s="53" t="s">
        <v>126</v>
      </c>
      <c r="H853" s="357">
        <v>1002</v>
      </c>
      <c r="I853" s="55"/>
      <c r="J853" s="55"/>
      <c r="K853" s="55"/>
      <c r="L853" s="55"/>
      <c r="M853" s="55"/>
      <c r="N853" s="55"/>
      <c r="O853" s="55"/>
      <c r="P853" s="55"/>
      <c r="Q853" s="55"/>
      <c r="R853" s="56"/>
      <c r="S853" s="55"/>
      <c r="T853" s="55"/>
      <c r="U853" s="55"/>
      <c r="V853" s="55"/>
      <c r="W853" s="55"/>
      <c r="X853" s="55"/>
      <c r="Y853" s="55"/>
      <c r="Z853" s="55"/>
      <c r="AA853" s="55"/>
      <c r="AB853" s="57" t="e">
        <f>100/(SUM(I853:Z853))</f>
        <v>#DIV/0!</v>
      </c>
      <c r="AC853" s="259">
        <f>SUM(I853:AA853)</f>
        <v>0</v>
      </c>
      <c r="AD853" s="55"/>
      <c r="AE853" s="55"/>
      <c r="AF853" s="55"/>
      <c r="AG853" s="58" t="s">
        <v>155</v>
      </c>
      <c r="AH853" s="59" t="s">
        <v>646</v>
      </c>
      <c r="AI853" s="59" t="s">
        <v>647</v>
      </c>
      <c r="AJ853" s="59" t="s">
        <v>648</v>
      </c>
      <c r="AK853" s="53"/>
      <c r="AL853" s="58">
        <f>(B853-DATE(1970,1,1))*86400</f>
        <v>1651449600</v>
      </c>
      <c r="AM853" s="58">
        <f>(C853-DATE(1970,1,1))*86400</f>
        <v>1651795200</v>
      </c>
      <c r="AN853" s="58">
        <f>AVERAGE(AL853:AM853)</f>
        <v>1651622400</v>
      </c>
    </row>
    <row r="854" spans="1:65" ht="15.75" customHeight="1" x14ac:dyDescent="0.2">
      <c r="A854" s="286" t="s">
        <v>133</v>
      </c>
      <c r="B854" s="41">
        <v>44676</v>
      </c>
      <c r="C854" s="41">
        <v>44685</v>
      </c>
      <c r="D854" s="40" t="s">
        <v>148</v>
      </c>
      <c r="E854" s="325" t="s">
        <v>125</v>
      </c>
      <c r="F854" s="40"/>
      <c r="G854" s="40" t="s">
        <v>149</v>
      </c>
      <c r="H854" s="325">
        <v>1000</v>
      </c>
      <c r="I854" s="42">
        <v>46</v>
      </c>
      <c r="J854" s="42">
        <v>4</v>
      </c>
      <c r="K854" s="42">
        <v>5</v>
      </c>
      <c r="L854" s="42">
        <v>2</v>
      </c>
      <c r="M854" s="42">
        <v>9</v>
      </c>
      <c r="N854" s="42"/>
      <c r="O854" s="42">
        <v>1</v>
      </c>
      <c r="P854" s="42">
        <v>5</v>
      </c>
      <c r="Q854" s="42"/>
      <c r="R854" s="43"/>
      <c r="S854" s="42"/>
      <c r="T854" s="42"/>
      <c r="U854" s="42"/>
      <c r="V854" s="42">
        <v>2</v>
      </c>
      <c r="W854" s="42"/>
      <c r="X854" s="42">
        <v>5</v>
      </c>
      <c r="Y854" s="42"/>
      <c r="Z854" s="42">
        <v>1</v>
      </c>
      <c r="AA854" s="42">
        <v>20</v>
      </c>
      <c r="AB854" s="44">
        <f>100/(SUM(I854:Z854))</f>
        <v>1.25</v>
      </c>
      <c r="AC854" s="259">
        <f>SUM(I854:AA854)</f>
        <v>100</v>
      </c>
      <c r="AD854" s="42"/>
      <c r="AE854" s="43"/>
      <c r="AF854" s="43"/>
      <c r="AG854" s="45" t="s">
        <v>127</v>
      </c>
      <c r="AH854" s="42"/>
      <c r="AI854" s="46" t="s">
        <v>650</v>
      </c>
      <c r="AJ854" s="46" t="s">
        <v>651</v>
      </c>
      <c r="AK854" s="40" t="s">
        <v>1950</v>
      </c>
      <c r="AL854" s="45">
        <f>(B854-DATE(1970,1,1))*86400</f>
        <v>1650844800</v>
      </c>
      <c r="AM854" s="45">
        <f>(C854-DATE(1970,1,1))*86400</f>
        <v>1651622400</v>
      </c>
      <c r="AN854" s="45">
        <f>AVERAGE(AL854:AM854)</f>
        <v>1651233600</v>
      </c>
    </row>
    <row r="855" spans="1:65" ht="15.75" customHeight="1" x14ac:dyDescent="0.2">
      <c r="A855" s="286" t="s">
        <v>133</v>
      </c>
      <c r="B855" s="41">
        <v>44676</v>
      </c>
      <c r="C855" s="41">
        <v>44685</v>
      </c>
      <c r="D855" s="40" t="s">
        <v>148</v>
      </c>
      <c r="E855" s="325" t="s">
        <v>125</v>
      </c>
      <c r="F855" s="40" t="s">
        <v>390</v>
      </c>
      <c r="G855" s="40" t="s">
        <v>149</v>
      </c>
      <c r="H855" s="325">
        <v>1000</v>
      </c>
      <c r="I855" s="42">
        <v>47</v>
      </c>
      <c r="J855" s="42"/>
      <c r="K855" s="42"/>
      <c r="L855" s="42"/>
      <c r="M855" s="42"/>
      <c r="N855" s="42"/>
      <c r="O855" s="42"/>
      <c r="P855" s="42"/>
      <c r="Q855" s="42"/>
      <c r="R855" s="43"/>
      <c r="S855" s="42"/>
      <c r="T855" s="42"/>
      <c r="U855" s="42">
        <v>26</v>
      </c>
      <c r="V855" s="42">
        <v>2</v>
      </c>
      <c r="W855" s="42"/>
      <c r="X855" s="42">
        <v>5</v>
      </c>
      <c r="Y855" s="42"/>
      <c r="Z855" s="42">
        <v>1</v>
      </c>
      <c r="AA855" s="42">
        <v>19</v>
      </c>
      <c r="AB855" s="44">
        <f>100/(SUM(I855:Z855))</f>
        <v>1.2345679012345678</v>
      </c>
      <c r="AC855" s="259">
        <f>SUM(I855:AA855)</f>
        <v>100</v>
      </c>
      <c r="AD855" s="42"/>
      <c r="AE855" s="43"/>
      <c r="AF855" s="43"/>
      <c r="AG855" s="45" t="s">
        <v>127</v>
      </c>
      <c r="AH855" s="42"/>
      <c r="AI855" s="46" t="s">
        <v>650</v>
      </c>
      <c r="AJ855" s="46" t="s">
        <v>651</v>
      </c>
      <c r="AK855" s="40"/>
      <c r="AL855" s="45">
        <f>(B855-DATE(1970,1,1))*86400</f>
        <v>1650844800</v>
      </c>
      <c r="AM855" s="45">
        <f>(C855-DATE(1970,1,1))*86400</f>
        <v>1651622400</v>
      </c>
      <c r="AN855" s="45">
        <f>AVERAGE(AL855:AM855)</f>
        <v>1651233600</v>
      </c>
    </row>
    <row r="856" spans="1:65" ht="15.75" customHeight="1" x14ac:dyDescent="0.2">
      <c r="A856" s="286" t="s">
        <v>123</v>
      </c>
      <c r="B856" s="41">
        <v>44676</v>
      </c>
      <c r="C856" s="41">
        <v>44685</v>
      </c>
      <c r="D856" s="40" t="s">
        <v>148</v>
      </c>
      <c r="E856" s="325" t="s">
        <v>125</v>
      </c>
      <c r="F856" s="40" t="s">
        <v>390</v>
      </c>
      <c r="G856" s="40" t="s">
        <v>149</v>
      </c>
      <c r="H856" s="325">
        <v>1000</v>
      </c>
      <c r="I856" s="42">
        <v>60</v>
      </c>
      <c r="J856" s="42"/>
      <c r="K856" s="42"/>
      <c r="L856" s="42"/>
      <c r="M856" s="42"/>
      <c r="N856" s="42"/>
      <c r="O856" s="42"/>
      <c r="P856" s="42"/>
      <c r="Q856" s="42"/>
      <c r="R856" s="43"/>
      <c r="S856" s="42"/>
      <c r="T856" s="42"/>
      <c r="U856" s="42">
        <v>31</v>
      </c>
      <c r="V856" s="42">
        <v>1</v>
      </c>
      <c r="W856" s="42"/>
      <c r="X856" s="42">
        <v>7</v>
      </c>
      <c r="Y856" s="42"/>
      <c r="Z856" s="42">
        <v>1</v>
      </c>
      <c r="AA856" s="42">
        <v>0</v>
      </c>
      <c r="AB856" s="44">
        <f>100/(SUM(I856:Z856))</f>
        <v>1</v>
      </c>
      <c r="AC856" s="259">
        <f>SUM(I856:AA856)</f>
        <v>100</v>
      </c>
      <c r="AD856" s="42"/>
      <c r="AE856" s="43"/>
      <c r="AF856" s="43"/>
      <c r="AG856" s="45" t="s">
        <v>127</v>
      </c>
      <c r="AH856" s="42"/>
      <c r="AI856" s="46" t="s">
        <v>650</v>
      </c>
      <c r="AJ856" s="46" t="s">
        <v>651</v>
      </c>
      <c r="AK856" s="40"/>
      <c r="AL856" s="45">
        <f>(B856-DATE(1970,1,1))*86400</f>
        <v>1650844800</v>
      </c>
      <c r="AM856" s="45">
        <f>(C856-DATE(1970,1,1))*86400</f>
        <v>1651622400</v>
      </c>
      <c r="AN856" s="45">
        <f>AVERAGE(AL856:AM856)</f>
        <v>1651233600</v>
      </c>
    </row>
    <row r="857" spans="1:65" ht="15.75" customHeight="1" x14ac:dyDescent="0.2">
      <c r="A857" s="286" t="s">
        <v>123</v>
      </c>
      <c r="B857" s="41">
        <v>44676</v>
      </c>
      <c r="C857" s="41">
        <v>44685</v>
      </c>
      <c r="D857" s="40" t="s">
        <v>148</v>
      </c>
      <c r="E857" s="325" t="s">
        <v>125</v>
      </c>
      <c r="F857" s="40"/>
      <c r="G857" s="40" t="s">
        <v>149</v>
      </c>
      <c r="H857" s="325">
        <v>1000</v>
      </c>
      <c r="I857" s="42">
        <v>60</v>
      </c>
      <c r="J857" s="42">
        <v>5</v>
      </c>
      <c r="K857" s="42">
        <v>5</v>
      </c>
      <c r="L857" s="42">
        <v>3</v>
      </c>
      <c r="M857" s="42">
        <v>11</v>
      </c>
      <c r="N857" s="42"/>
      <c r="O857" s="42">
        <v>1</v>
      </c>
      <c r="P857" s="42">
        <v>5</v>
      </c>
      <c r="Q857" s="42"/>
      <c r="R857" s="43"/>
      <c r="S857" s="42"/>
      <c r="T857" s="42"/>
      <c r="U857" s="42"/>
      <c r="V857" s="42">
        <v>1</v>
      </c>
      <c r="W857" s="42"/>
      <c r="X857" s="42">
        <v>8</v>
      </c>
      <c r="Y857" s="42"/>
      <c r="Z857" s="42">
        <v>1</v>
      </c>
      <c r="AA857" s="42">
        <v>0</v>
      </c>
      <c r="AB857" s="44">
        <f>100/(SUM(I857:Z857))</f>
        <v>1</v>
      </c>
      <c r="AC857" s="259">
        <f>SUM(I857:AA857)</f>
        <v>100</v>
      </c>
      <c r="AD857" s="42"/>
      <c r="AE857" s="43"/>
      <c r="AF857" s="43"/>
      <c r="AG857" s="45" t="s">
        <v>127</v>
      </c>
      <c r="AH857" s="42"/>
      <c r="AI857" s="46" t="s">
        <v>650</v>
      </c>
      <c r="AJ857" s="46" t="s">
        <v>651</v>
      </c>
      <c r="AK857" s="40"/>
      <c r="AL857" s="45">
        <f>(B857-DATE(1970,1,1))*86400</f>
        <v>1650844800</v>
      </c>
      <c r="AM857" s="45">
        <f>(C857-DATE(1970,1,1))*86400</f>
        <v>1651622400</v>
      </c>
      <c r="AN857" s="45">
        <f>AVERAGE(AL857:AM857)</f>
        <v>1651233600</v>
      </c>
    </row>
    <row r="858" spans="1:65" ht="15.75" customHeight="1" x14ac:dyDescent="0.2">
      <c r="A858" s="285" t="s">
        <v>133</v>
      </c>
      <c r="B858" s="34">
        <v>44677</v>
      </c>
      <c r="C858" s="34">
        <v>44681</v>
      </c>
      <c r="D858" s="33" t="s">
        <v>143</v>
      </c>
      <c r="E858" s="319" t="s">
        <v>125</v>
      </c>
      <c r="F858" s="33"/>
      <c r="G858" s="33" t="s">
        <v>126</v>
      </c>
      <c r="H858" s="353">
        <v>1000</v>
      </c>
      <c r="I858" s="35">
        <v>48</v>
      </c>
      <c r="J858" s="35">
        <v>2</v>
      </c>
      <c r="K858" s="35">
        <v>3</v>
      </c>
      <c r="L858" s="35">
        <v>1</v>
      </c>
      <c r="M858" s="35">
        <v>7</v>
      </c>
      <c r="N858" s="35"/>
      <c r="O858" s="35">
        <v>1</v>
      </c>
      <c r="P858" s="35">
        <v>6</v>
      </c>
      <c r="Q858" s="35"/>
      <c r="R858" s="36"/>
      <c r="S858" s="35">
        <v>3</v>
      </c>
      <c r="T858" s="35"/>
      <c r="U858" s="35"/>
      <c r="V858" s="35">
        <v>5</v>
      </c>
      <c r="W858" s="35"/>
      <c r="X858" s="35">
        <v>8</v>
      </c>
      <c r="Y858" s="35"/>
      <c r="Z858" s="35">
        <v>1</v>
      </c>
      <c r="AA858" s="35">
        <v>15</v>
      </c>
      <c r="AB858" s="37">
        <f>100/(SUM(I858:Z858))</f>
        <v>1.1764705882352942</v>
      </c>
      <c r="AC858" s="259">
        <f>SUM(I858:AA858)</f>
        <v>100</v>
      </c>
      <c r="AD858" s="35"/>
      <c r="AE858" s="35"/>
      <c r="AF858" s="35"/>
      <c r="AG858" s="33" t="s">
        <v>144</v>
      </c>
      <c r="AH858" s="33" t="s">
        <v>165</v>
      </c>
      <c r="AI858" s="38" t="s">
        <v>652</v>
      </c>
      <c r="AJ858" s="38"/>
      <c r="AK858" s="33" t="s">
        <v>1947</v>
      </c>
      <c r="AL858" s="39">
        <f>(B858-DATE(1970,1,1))*86400</f>
        <v>1650931200</v>
      </c>
      <c r="AM858" s="39">
        <f>(C858-DATE(1970,1,1))*86400</f>
        <v>1651276800</v>
      </c>
      <c r="AN858" s="39">
        <f>AVERAGE(AL858:AM858)</f>
        <v>1651104000</v>
      </c>
    </row>
    <row r="859" spans="1:65" ht="15.75" customHeight="1" x14ac:dyDescent="0.2">
      <c r="A859" s="285" t="s">
        <v>133</v>
      </c>
      <c r="B859" s="34">
        <v>44677</v>
      </c>
      <c r="C859" s="34">
        <v>44681</v>
      </c>
      <c r="D859" s="33" t="s">
        <v>143</v>
      </c>
      <c r="E859" s="319" t="s">
        <v>125</v>
      </c>
      <c r="F859" s="33"/>
      <c r="G859" s="33" t="s">
        <v>126</v>
      </c>
      <c r="H859" s="353">
        <v>1000</v>
      </c>
      <c r="I859" s="35">
        <v>57</v>
      </c>
      <c r="J859" s="35">
        <v>2</v>
      </c>
      <c r="K859" s="35">
        <v>4</v>
      </c>
      <c r="L859" s="35">
        <v>2</v>
      </c>
      <c r="M859" s="35">
        <v>8</v>
      </c>
      <c r="N859" s="35"/>
      <c r="O859" s="35">
        <v>1</v>
      </c>
      <c r="P859" s="35">
        <v>7</v>
      </c>
      <c r="Q859" s="35"/>
      <c r="R859" s="36"/>
      <c r="S859" s="35">
        <v>3</v>
      </c>
      <c r="T859" s="35"/>
      <c r="U859" s="35"/>
      <c r="V859" s="35">
        <v>6</v>
      </c>
      <c r="W859" s="35"/>
      <c r="X859" s="35">
        <v>9</v>
      </c>
      <c r="Y859" s="35"/>
      <c r="Z859" s="35">
        <v>1</v>
      </c>
      <c r="AA859" s="35">
        <v>0</v>
      </c>
      <c r="AB859" s="37">
        <f>100/(SUM(I859:Z859))</f>
        <v>1</v>
      </c>
      <c r="AC859" s="259">
        <f>SUM(I859:AA859)</f>
        <v>100</v>
      </c>
      <c r="AD859" s="35"/>
      <c r="AE859" s="35"/>
      <c r="AF859" s="35"/>
      <c r="AG859" s="33" t="s">
        <v>144</v>
      </c>
      <c r="AH859" s="33" t="s">
        <v>165</v>
      </c>
      <c r="AI859" s="38" t="s">
        <v>652</v>
      </c>
      <c r="AJ859" s="38"/>
      <c r="AK859" s="33"/>
      <c r="AL859" s="39">
        <f>(B859-DATE(1970,1,1))*86400</f>
        <v>1650931200</v>
      </c>
      <c r="AM859" s="39">
        <f>(C859-DATE(1970,1,1))*86400</f>
        <v>1651276800</v>
      </c>
      <c r="AN859" s="39">
        <f>AVERAGE(AL859:AM859)</f>
        <v>1651104000</v>
      </c>
    </row>
    <row r="860" spans="1:65" ht="15.75" customHeight="1" x14ac:dyDescent="0.2">
      <c r="A860" s="285" t="s">
        <v>123</v>
      </c>
      <c r="B860" s="34">
        <v>44677</v>
      </c>
      <c r="C860" s="34">
        <v>44681</v>
      </c>
      <c r="D860" s="33" t="s">
        <v>143</v>
      </c>
      <c r="E860" s="319" t="s">
        <v>125</v>
      </c>
      <c r="F860" s="33"/>
      <c r="G860" s="33" t="s">
        <v>126</v>
      </c>
      <c r="H860" s="353">
        <v>1000</v>
      </c>
      <c r="I860" s="35">
        <v>60</v>
      </c>
      <c r="J860" s="35">
        <v>2</v>
      </c>
      <c r="K860" s="35">
        <v>3</v>
      </c>
      <c r="L860" s="35">
        <v>1</v>
      </c>
      <c r="M860" s="35">
        <v>7</v>
      </c>
      <c r="N860" s="35"/>
      <c r="O860" s="35">
        <v>1</v>
      </c>
      <c r="P860" s="35">
        <v>8</v>
      </c>
      <c r="Q860" s="35"/>
      <c r="R860" s="36"/>
      <c r="S860" s="35">
        <v>3</v>
      </c>
      <c r="T860" s="35"/>
      <c r="U860" s="35"/>
      <c r="V860" s="35">
        <v>6</v>
      </c>
      <c r="W860" s="35"/>
      <c r="X860" s="35">
        <v>7</v>
      </c>
      <c r="Y860" s="35"/>
      <c r="Z860" s="35">
        <v>1</v>
      </c>
      <c r="AA860" s="35">
        <v>0</v>
      </c>
      <c r="AB860" s="37">
        <f>100/(SUM(I860:Z860))</f>
        <v>1.0101010101010102</v>
      </c>
      <c r="AC860" s="259">
        <f>SUM(I860:AA860)</f>
        <v>99</v>
      </c>
      <c r="AD860" s="35"/>
      <c r="AE860" s="35"/>
      <c r="AF860" s="35"/>
      <c r="AG860" s="33" t="s">
        <v>144</v>
      </c>
      <c r="AH860" s="33" t="s">
        <v>165</v>
      </c>
      <c r="AI860" s="38" t="s">
        <v>652</v>
      </c>
      <c r="AJ860" s="33"/>
      <c r="AK860" s="33"/>
      <c r="AL860" s="39">
        <f>(B860-DATE(1970,1,1))*86400</f>
        <v>1650931200</v>
      </c>
      <c r="AM860" s="39">
        <f>(C860-DATE(1970,1,1))*86400</f>
        <v>1651276800</v>
      </c>
      <c r="AN860" s="39">
        <f>AVERAGE(AL860:AM860)</f>
        <v>1651104000</v>
      </c>
    </row>
    <row r="861" spans="1:65" ht="15.75" customHeight="1" x14ac:dyDescent="0.2">
      <c r="A861" s="288" t="s">
        <v>133</v>
      </c>
      <c r="B861" s="60">
        <v>44671</v>
      </c>
      <c r="C861" s="60">
        <v>44675</v>
      </c>
      <c r="D861" s="61" t="s">
        <v>168</v>
      </c>
      <c r="E861" s="334" t="s">
        <v>125</v>
      </c>
      <c r="F861" s="61"/>
      <c r="G861" s="61" t="s">
        <v>126</v>
      </c>
      <c r="H861" s="334">
        <v>1000</v>
      </c>
      <c r="I861" s="63">
        <v>43</v>
      </c>
      <c r="J861" s="63">
        <v>4</v>
      </c>
      <c r="K861" s="63">
        <v>5</v>
      </c>
      <c r="L861" s="63">
        <v>2</v>
      </c>
      <c r="M861" s="63">
        <v>10</v>
      </c>
      <c r="N861" s="63"/>
      <c r="O861" s="63">
        <v>3</v>
      </c>
      <c r="P861" s="63">
        <v>7</v>
      </c>
      <c r="Q861" s="63"/>
      <c r="R861" s="64"/>
      <c r="S861" s="63"/>
      <c r="T861" s="63"/>
      <c r="U861" s="63"/>
      <c r="V861" s="63">
        <v>1</v>
      </c>
      <c r="W861" s="63"/>
      <c r="X861" s="63">
        <v>3</v>
      </c>
      <c r="Y861" s="63"/>
      <c r="Z861" s="63">
        <v>0</v>
      </c>
      <c r="AA861" s="63">
        <v>22</v>
      </c>
      <c r="AB861" s="65">
        <f>100/(SUM(I861:Z861))</f>
        <v>1.2820512820512822</v>
      </c>
      <c r="AC861" s="259">
        <f>SUM(I861:AA861)</f>
        <v>100</v>
      </c>
      <c r="AD861" s="63"/>
      <c r="AE861" s="64"/>
      <c r="AF861" s="64"/>
      <c r="AG861" s="66" t="s">
        <v>127</v>
      </c>
      <c r="AH861" s="67" t="s">
        <v>653</v>
      </c>
      <c r="AI861" s="67"/>
      <c r="AJ861" s="67"/>
      <c r="AK861" s="61" t="s">
        <v>1951</v>
      </c>
      <c r="AL861" s="66">
        <f>(B861-DATE(1970,1,1))*86400</f>
        <v>1650412800</v>
      </c>
      <c r="AM861" s="66">
        <f>(C861-DATE(1970,1,1))*86400</f>
        <v>1650758400</v>
      </c>
      <c r="AN861" s="66">
        <f>AVERAGE(AL861:AM861)</f>
        <v>1650585600</v>
      </c>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row>
    <row r="862" spans="1:65" ht="15.75" customHeight="1" x14ac:dyDescent="0.2">
      <c r="A862" s="288" t="s">
        <v>133</v>
      </c>
      <c r="B862" s="60">
        <v>44671</v>
      </c>
      <c r="C862" s="60">
        <v>44675</v>
      </c>
      <c r="D862" s="61" t="s">
        <v>168</v>
      </c>
      <c r="E862" s="334" t="s">
        <v>125</v>
      </c>
      <c r="F862" s="61"/>
      <c r="G862" s="61" t="s">
        <v>126</v>
      </c>
      <c r="H862" s="334">
        <v>1000</v>
      </c>
      <c r="I862" s="63">
        <v>55</v>
      </c>
      <c r="J862" s="63">
        <v>5</v>
      </c>
      <c r="K862" s="63">
        <v>6</v>
      </c>
      <c r="L862" s="63">
        <v>3</v>
      </c>
      <c r="M862" s="63">
        <v>12</v>
      </c>
      <c r="N862" s="63"/>
      <c r="O862" s="63">
        <v>4</v>
      </c>
      <c r="P862" s="63">
        <v>9</v>
      </c>
      <c r="Q862" s="63"/>
      <c r="R862" s="64"/>
      <c r="S862" s="63"/>
      <c r="T862" s="63"/>
      <c r="U862" s="63"/>
      <c r="V862" s="63">
        <v>2</v>
      </c>
      <c r="W862" s="63"/>
      <c r="X862" s="63">
        <v>4</v>
      </c>
      <c r="Y862" s="63"/>
      <c r="Z862" s="63">
        <v>0</v>
      </c>
      <c r="AA862" s="63">
        <v>0</v>
      </c>
      <c r="AB862" s="65">
        <f>100/(SUM(I862:Z862))</f>
        <v>1</v>
      </c>
      <c r="AC862" s="259">
        <f>SUM(I862:AA862)</f>
        <v>100</v>
      </c>
      <c r="AD862" s="63"/>
      <c r="AE862" s="64"/>
      <c r="AF862" s="64"/>
      <c r="AG862" s="66" t="s">
        <v>127</v>
      </c>
      <c r="AH862" s="67" t="s">
        <v>653</v>
      </c>
      <c r="AI862" s="67"/>
      <c r="AJ862" s="67"/>
      <c r="AK862" s="61"/>
      <c r="AL862" s="66">
        <f>(B862-DATE(1970,1,1))*86400</f>
        <v>1650412800</v>
      </c>
      <c r="AM862" s="66">
        <f>(C862-DATE(1970,1,1))*86400</f>
        <v>1650758400</v>
      </c>
      <c r="AN862" s="66">
        <f>AVERAGE(AL862:AM862)</f>
        <v>1650585600</v>
      </c>
    </row>
    <row r="863" spans="1:65" ht="15.75" customHeight="1" x14ac:dyDescent="0.2">
      <c r="A863" s="279" t="s">
        <v>123</v>
      </c>
      <c r="B863" s="14">
        <v>44670</v>
      </c>
      <c r="C863" s="14">
        <v>44672</v>
      </c>
      <c r="D863" s="13" t="s">
        <v>124</v>
      </c>
      <c r="E863" s="324" t="s">
        <v>125</v>
      </c>
      <c r="F863" s="13" t="s">
        <v>390</v>
      </c>
      <c r="G863" s="13" t="s">
        <v>126</v>
      </c>
      <c r="H863" s="349">
        <v>1000</v>
      </c>
      <c r="I863" s="15">
        <v>56</v>
      </c>
      <c r="J863" s="15"/>
      <c r="K863" s="15"/>
      <c r="L863" s="15"/>
      <c r="M863" s="15"/>
      <c r="N863" s="15"/>
      <c r="O863" s="15"/>
      <c r="P863" s="15"/>
      <c r="Q863" s="15"/>
      <c r="R863" s="15"/>
      <c r="S863" s="15"/>
      <c r="T863" s="15"/>
      <c r="U863" s="15">
        <v>34</v>
      </c>
      <c r="V863" s="15">
        <v>3</v>
      </c>
      <c r="W863" s="15"/>
      <c r="X863" s="15">
        <v>5</v>
      </c>
      <c r="Y863" s="15"/>
      <c r="Z863" s="15"/>
      <c r="AA863" s="15">
        <v>2</v>
      </c>
      <c r="AB863" s="16">
        <f>100/(SUM(I863:Z863))</f>
        <v>1.0204081632653061</v>
      </c>
      <c r="AC863" s="259">
        <f>SUM(I863:AA863)</f>
        <v>100</v>
      </c>
      <c r="AD863" s="15"/>
      <c r="AE863" s="15"/>
      <c r="AF863" s="15"/>
      <c r="AG863" s="17" t="s">
        <v>127</v>
      </c>
      <c r="AH863" s="18" t="s">
        <v>654</v>
      </c>
      <c r="AI863" s="18"/>
      <c r="AJ863" s="18"/>
      <c r="AK863" s="13" t="s">
        <v>1948</v>
      </c>
      <c r="AL863" s="17">
        <f>(B863-DATE(1970,1,1))*86400</f>
        <v>1650326400</v>
      </c>
      <c r="AM863" s="17">
        <f>(C863-DATE(1970,1,1))*86400</f>
        <v>1650499200</v>
      </c>
      <c r="AN863" s="17">
        <f>AVERAGE(AL863:AM863)</f>
        <v>1650412800</v>
      </c>
    </row>
    <row r="864" spans="1:65" ht="15.75" customHeight="1" x14ac:dyDescent="0.2">
      <c r="A864" s="279" t="s">
        <v>123</v>
      </c>
      <c r="B864" s="14">
        <v>44662</v>
      </c>
      <c r="C864" s="14">
        <v>44664</v>
      </c>
      <c r="D864" s="13" t="s">
        <v>124</v>
      </c>
      <c r="E864" s="324" t="s">
        <v>125</v>
      </c>
      <c r="F864" s="13" t="s">
        <v>140</v>
      </c>
      <c r="G864" s="13" t="s">
        <v>126</v>
      </c>
      <c r="H864" s="349">
        <v>1000</v>
      </c>
      <c r="I864" s="15"/>
      <c r="J864" s="15"/>
      <c r="K864" s="15"/>
      <c r="L864" s="15"/>
      <c r="M864" s="15"/>
      <c r="N864" s="15"/>
      <c r="O864" s="15"/>
      <c r="P864" s="15"/>
      <c r="Q864" s="15"/>
      <c r="R864" s="15"/>
      <c r="S864" s="15"/>
      <c r="T864" s="15"/>
      <c r="U864" s="15"/>
      <c r="V864" s="15"/>
      <c r="W864" s="15"/>
      <c r="X864" s="15"/>
      <c r="Y864" s="15"/>
      <c r="Z864" s="15"/>
      <c r="AA864" s="15"/>
      <c r="AB864" s="16" t="e">
        <f>100/(SUM(I864:Z864))</f>
        <v>#DIV/0!</v>
      </c>
      <c r="AC864" s="259">
        <f>SUM(I864:AA864)</f>
        <v>0</v>
      </c>
      <c r="AD864" s="15"/>
      <c r="AE864" s="15"/>
      <c r="AF864" s="15"/>
      <c r="AG864" s="17" t="s">
        <v>127</v>
      </c>
      <c r="AH864" s="18"/>
      <c r="AI864" s="18"/>
      <c r="AJ864" s="18" t="s">
        <v>655</v>
      </c>
      <c r="AK864" s="13" t="s">
        <v>1949</v>
      </c>
      <c r="AL864" s="17">
        <f>(B864-DATE(1970,1,1))*86400</f>
        <v>1649635200</v>
      </c>
      <c r="AM864" s="17">
        <f>(C864-DATE(1970,1,1))*86400</f>
        <v>1649808000</v>
      </c>
      <c r="AN864" s="17">
        <f>AVERAGE(AL864:AM864)</f>
        <v>1649721600</v>
      </c>
    </row>
    <row r="865" spans="1:40" ht="15.75" customHeight="1" x14ac:dyDescent="0.2">
      <c r="A865" s="296" t="s">
        <v>133</v>
      </c>
      <c r="B865" s="100">
        <v>44659</v>
      </c>
      <c r="C865" s="100">
        <v>44664</v>
      </c>
      <c r="D865" s="99" t="s">
        <v>276</v>
      </c>
      <c r="E865" s="326" t="s">
        <v>125</v>
      </c>
      <c r="F865" s="99" t="s">
        <v>140</v>
      </c>
      <c r="G865" s="99" t="s">
        <v>126</v>
      </c>
      <c r="H865" s="326">
        <v>1850</v>
      </c>
      <c r="I865" s="101">
        <f>PRODUCT(100,998/1850)</f>
        <v>53.945945945945951</v>
      </c>
      <c r="J865" s="101"/>
      <c r="K865" s="101"/>
      <c r="L865" s="101"/>
      <c r="M865" s="101"/>
      <c r="N865" s="101"/>
      <c r="O865" s="101"/>
      <c r="P865" s="101"/>
      <c r="Q865" s="101"/>
      <c r="R865" s="101"/>
      <c r="S865" s="101"/>
      <c r="T865" s="101"/>
      <c r="U865" s="101"/>
      <c r="V865" s="101"/>
      <c r="W865" s="101"/>
      <c r="X865" s="101"/>
      <c r="Y865" s="101"/>
      <c r="Z865" s="101"/>
      <c r="AA865" s="101"/>
      <c r="AB865" s="102">
        <f>100/(SUM(I865:Z865))</f>
        <v>1.8537074148296591</v>
      </c>
      <c r="AC865" s="259">
        <f>SUM(I865:AA865)</f>
        <v>53.945945945945951</v>
      </c>
      <c r="AD865" s="101"/>
      <c r="AE865" s="101"/>
      <c r="AF865" s="101"/>
      <c r="AG865" s="103" t="s">
        <v>183</v>
      </c>
      <c r="AH865" s="104" t="s">
        <v>657</v>
      </c>
      <c r="AI865" s="104" t="s">
        <v>658</v>
      </c>
      <c r="AJ865" s="104"/>
      <c r="AK865" s="99" t="s">
        <v>659</v>
      </c>
      <c r="AL865" s="103">
        <f>(B865-DATE(1970,1,1))*86400</f>
        <v>1649376000</v>
      </c>
      <c r="AM865" s="103">
        <f>(C865-DATE(1970,1,1))*86400</f>
        <v>1649808000</v>
      </c>
      <c r="AN865" s="103">
        <f>AVERAGE(AL865:AM865)</f>
        <v>1649592000</v>
      </c>
    </row>
    <row r="866" spans="1:40" ht="15.75" customHeight="1" x14ac:dyDescent="0.2">
      <c r="A866" s="279" t="s">
        <v>123</v>
      </c>
      <c r="B866" s="14">
        <v>44655</v>
      </c>
      <c r="C866" s="14">
        <v>44657</v>
      </c>
      <c r="D866" s="13" t="s">
        <v>124</v>
      </c>
      <c r="E866" s="324" t="s">
        <v>125</v>
      </c>
      <c r="F866" s="13" t="s">
        <v>140</v>
      </c>
      <c r="G866" s="13" t="s">
        <v>126</v>
      </c>
      <c r="H866" s="349">
        <v>1000</v>
      </c>
      <c r="I866" s="15"/>
      <c r="J866" s="15"/>
      <c r="K866" s="15"/>
      <c r="L866" s="15"/>
      <c r="M866" s="15"/>
      <c r="N866" s="15"/>
      <c r="O866" s="15"/>
      <c r="P866" s="15"/>
      <c r="Q866" s="15"/>
      <c r="R866" s="15"/>
      <c r="S866" s="15"/>
      <c r="T866" s="15"/>
      <c r="U866" s="15"/>
      <c r="V866" s="15"/>
      <c r="W866" s="15"/>
      <c r="X866" s="15"/>
      <c r="Y866" s="15"/>
      <c r="Z866" s="15"/>
      <c r="AA866" s="15"/>
      <c r="AB866" s="16" t="e">
        <f>100/(SUM(I866:Z866))</f>
        <v>#DIV/0!</v>
      </c>
      <c r="AC866" s="259">
        <f>SUM(I866:AA866)</f>
        <v>0</v>
      </c>
      <c r="AD866" s="15"/>
      <c r="AE866" s="15"/>
      <c r="AF866" s="15"/>
      <c r="AG866" s="17" t="s">
        <v>127</v>
      </c>
      <c r="AH866" s="18"/>
      <c r="AI866" s="18"/>
      <c r="AJ866" s="18" t="s">
        <v>655</v>
      </c>
      <c r="AK866" s="13" t="s">
        <v>656</v>
      </c>
      <c r="AL866" s="17">
        <f>(B866-DATE(1970,1,1))*86400</f>
        <v>1649030400</v>
      </c>
      <c r="AM866" s="17">
        <f>(C866-DATE(1970,1,1))*86400</f>
        <v>1649203200</v>
      </c>
      <c r="AN866" s="17">
        <f>AVERAGE(AL866:AM866)</f>
        <v>1649116800</v>
      </c>
    </row>
    <row r="867" spans="1:40" ht="15.75" customHeight="1" x14ac:dyDescent="0.2">
      <c r="A867" s="292" t="s">
        <v>133</v>
      </c>
      <c r="B867" s="34">
        <v>44650</v>
      </c>
      <c r="C867" s="34">
        <v>44651</v>
      </c>
      <c r="D867" s="33" t="s">
        <v>143</v>
      </c>
      <c r="E867" s="319" t="s">
        <v>125</v>
      </c>
      <c r="F867" s="33" t="s">
        <v>390</v>
      </c>
      <c r="G867" s="33" t="s">
        <v>126</v>
      </c>
      <c r="H867" s="353">
        <v>1531</v>
      </c>
      <c r="I867" s="35">
        <v>49</v>
      </c>
      <c r="J867" s="35"/>
      <c r="K867" s="35"/>
      <c r="L867" s="35"/>
      <c r="M867" s="35"/>
      <c r="N867" s="35"/>
      <c r="O867" s="35"/>
      <c r="P867" s="35"/>
      <c r="Q867" s="35"/>
      <c r="R867" s="36"/>
      <c r="S867" s="35"/>
      <c r="T867" s="35"/>
      <c r="U867" s="35">
        <v>41</v>
      </c>
      <c r="V867" s="35">
        <v>4.5</v>
      </c>
      <c r="W867" s="35"/>
      <c r="X867" s="35">
        <v>4.5</v>
      </c>
      <c r="Y867" s="35"/>
      <c r="Z867" s="35">
        <v>1</v>
      </c>
      <c r="AA867" s="35">
        <v>0</v>
      </c>
      <c r="AB867" s="37">
        <f>100/(SUM(I867:Z867))</f>
        <v>1</v>
      </c>
      <c r="AC867" s="259">
        <f>SUM(I867:AA867)</f>
        <v>100</v>
      </c>
      <c r="AD867" s="35"/>
      <c r="AE867" s="35"/>
      <c r="AF867" s="35"/>
      <c r="AG867" s="33" t="s">
        <v>660</v>
      </c>
      <c r="AH867" s="39" t="s">
        <v>661</v>
      </c>
      <c r="AI867" s="33" t="s">
        <v>662</v>
      </c>
      <c r="AJ867" s="38" t="s">
        <v>663</v>
      </c>
      <c r="AK867" s="33"/>
      <c r="AL867" s="39">
        <f>(B867-DATE(1970,1,1))*86400</f>
        <v>1648598400</v>
      </c>
      <c r="AM867" s="39">
        <f>(C867-DATE(1970,1,1))*86400</f>
        <v>1648684800</v>
      </c>
      <c r="AN867" s="39">
        <f>AVERAGE(AL867:AM867)</f>
        <v>1648641600</v>
      </c>
    </row>
    <row r="868" spans="1:40" ht="15.75" customHeight="1" x14ac:dyDescent="0.2">
      <c r="A868" s="281" t="s">
        <v>133</v>
      </c>
      <c r="B868" s="54">
        <v>44649</v>
      </c>
      <c r="C868" s="54">
        <v>44651</v>
      </c>
      <c r="D868" s="53" t="s">
        <v>154</v>
      </c>
      <c r="E868" s="323" t="s">
        <v>125</v>
      </c>
      <c r="F868" s="53" t="s">
        <v>390</v>
      </c>
      <c r="G868" s="53" t="s">
        <v>126</v>
      </c>
      <c r="H868" s="357">
        <v>1025</v>
      </c>
      <c r="I868" s="55">
        <v>35</v>
      </c>
      <c r="J868" s="55"/>
      <c r="K868" s="55"/>
      <c r="L868" s="55"/>
      <c r="M868" s="55"/>
      <c r="N868" s="55"/>
      <c r="O868" s="55"/>
      <c r="P868" s="55"/>
      <c r="Q868" s="55"/>
      <c r="R868" s="56"/>
      <c r="S868" s="55"/>
      <c r="T868" s="55"/>
      <c r="U868" s="55">
        <v>33</v>
      </c>
      <c r="V868" s="55">
        <v>1</v>
      </c>
      <c r="W868" s="55"/>
      <c r="X868" s="55">
        <v>2</v>
      </c>
      <c r="Y868" s="55"/>
      <c r="Z868" s="55">
        <v>1</v>
      </c>
      <c r="AA868" s="55">
        <v>27</v>
      </c>
      <c r="AB868" s="57">
        <f>100/(SUM(I868:Z868))</f>
        <v>1.3888888888888888</v>
      </c>
      <c r="AC868" s="259">
        <f>SUM(I868:AA868)</f>
        <v>99</v>
      </c>
      <c r="AD868" s="55">
        <v>76</v>
      </c>
      <c r="AE868" s="55"/>
      <c r="AF868" s="55"/>
      <c r="AG868" s="58"/>
      <c r="AH868" s="59" t="s">
        <v>664</v>
      </c>
      <c r="AI868" s="59"/>
      <c r="AJ868" s="59"/>
      <c r="AK868" s="53"/>
      <c r="AL868" s="58">
        <f>(B868-DATE(1970,1,1))*86400</f>
        <v>1648512000</v>
      </c>
      <c r="AM868" s="58">
        <f>(C868-DATE(1970,1,1))*86400</f>
        <v>1648684800</v>
      </c>
      <c r="AN868" s="58">
        <f>AVERAGE(AL868:AM868)</f>
        <v>1648598400</v>
      </c>
    </row>
    <row r="869" spans="1:40" ht="15.75" customHeight="1" x14ac:dyDescent="0.2">
      <c r="A869" s="281" t="s">
        <v>123</v>
      </c>
      <c r="B869" s="54">
        <v>44649</v>
      </c>
      <c r="C869" s="54">
        <v>44651</v>
      </c>
      <c r="D869" s="53" t="s">
        <v>154</v>
      </c>
      <c r="E869" s="323" t="s">
        <v>125</v>
      </c>
      <c r="F869" s="53" t="s">
        <v>390</v>
      </c>
      <c r="G869" s="53" t="s">
        <v>126</v>
      </c>
      <c r="H869" s="357">
        <v>1025</v>
      </c>
      <c r="I869" s="55">
        <v>47</v>
      </c>
      <c r="J869" s="55"/>
      <c r="K869" s="55"/>
      <c r="L869" s="55"/>
      <c r="M869" s="55"/>
      <c r="N869" s="55"/>
      <c r="O869" s="55"/>
      <c r="P869" s="55"/>
      <c r="Q869" s="55"/>
      <c r="R869" s="56"/>
      <c r="S869" s="55"/>
      <c r="T869" s="55"/>
      <c r="U869" s="55">
        <v>47</v>
      </c>
      <c r="V869" s="55">
        <v>2</v>
      </c>
      <c r="W869" s="55"/>
      <c r="X869" s="55">
        <v>3</v>
      </c>
      <c r="Y869" s="55"/>
      <c r="Z869" s="55">
        <v>1</v>
      </c>
      <c r="AA869" s="55">
        <v>0</v>
      </c>
      <c r="AB869" s="57">
        <f>100/(SUM(I869:Z869))</f>
        <v>1</v>
      </c>
      <c r="AC869" s="259">
        <f>SUM(I869:AA869)</f>
        <v>100</v>
      </c>
      <c r="AD869" s="55"/>
      <c r="AE869" s="55"/>
      <c r="AF869" s="55"/>
      <c r="AG869" s="58"/>
      <c r="AH869" s="59" t="s">
        <v>664</v>
      </c>
      <c r="AI869" s="59"/>
      <c r="AJ869" s="59"/>
      <c r="AK869" s="53"/>
      <c r="AL869" s="58">
        <f>(B869-DATE(1970,1,1))*86400</f>
        <v>1648512000</v>
      </c>
      <c r="AM869" s="58">
        <f>(C869-DATE(1970,1,1))*86400</f>
        <v>1648684800</v>
      </c>
      <c r="AN869" s="58">
        <f>AVERAGE(AL869:AM869)</f>
        <v>1648598400</v>
      </c>
    </row>
    <row r="870" spans="1:40" ht="15.75" customHeight="1" x14ac:dyDescent="0.2">
      <c r="A870" s="291" t="s">
        <v>123</v>
      </c>
      <c r="B870" s="48">
        <v>44648</v>
      </c>
      <c r="C870" s="48">
        <v>44650</v>
      </c>
      <c r="D870" s="47" t="s">
        <v>152</v>
      </c>
      <c r="E870" s="337" t="s">
        <v>184</v>
      </c>
      <c r="F870" s="47" t="s">
        <v>390</v>
      </c>
      <c r="G870" s="47" t="s">
        <v>126</v>
      </c>
      <c r="H870" s="370">
        <v>1000</v>
      </c>
      <c r="I870" s="49">
        <v>50</v>
      </c>
      <c r="J870" s="49"/>
      <c r="K870" s="49"/>
      <c r="L870" s="49"/>
      <c r="M870" s="49"/>
      <c r="N870" s="49"/>
      <c r="O870" s="49"/>
      <c r="P870" s="49"/>
      <c r="Q870" s="49"/>
      <c r="R870" s="49"/>
      <c r="S870" s="49"/>
      <c r="T870" s="49"/>
      <c r="U870" s="49">
        <v>40</v>
      </c>
      <c r="V870" s="49">
        <v>4</v>
      </c>
      <c r="W870" s="49"/>
      <c r="X870" s="49">
        <v>6</v>
      </c>
      <c r="Y870" s="49"/>
      <c r="Z870" s="113">
        <v>0</v>
      </c>
      <c r="AA870" s="49">
        <v>0</v>
      </c>
      <c r="AB870" s="50">
        <f>100/(SUM(I870:Z870))</f>
        <v>1</v>
      </c>
      <c r="AC870" s="259">
        <f>SUM(I870:AA870)</f>
        <v>100</v>
      </c>
      <c r="AD870" s="49"/>
      <c r="AE870" s="113"/>
      <c r="AF870" s="49"/>
      <c r="AG870" s="51" t="s">
        <v>127</v>
      </c>
      <c r="AH870" s="52" t="s">
        <v>665</v>
      </c>
      <c r="AI870" s="52" t="s">
        <v>666</v>
      </c>
      <c r="AJ870" s="52"/>
      <c r="AK870" s="47"/>
      <c r="AL870" s="51">
        <f>(B870-DATE(1970,1,1))*86400</f>
        <v>1648425600</v>
      </c>
      <c r="AM870" s="51">
        <f>(C870-DATE(1970,1,1))*86400</f>
        <v>1648598400</v>
      </c>
      <c r="AN870" s="51">
        <f>AVERAGE(AL870:AM870)</f>
        <v>1648512000</v>
      </c>
    </row>
    <row r="871" spans="1:40" ht="15.75" customHeight="1" x14ac:dyDescent="0.2">
      <c r="A871" s="288" t="s">
        <v>133</v>
      </c>
      <c r="B871" s="60">
        <v>44646</v>
      </c>
      <c r="C871" s="60">
        <v>44649</v>
      </c>
      <c r="D871" s="61" t="s">
        <v>168</v>
      </c>
      <c r="E871" s="334" t="s">
        <v>125</v>
      </c>
      <c r="F871" s="61" t="s">
        <v>576</v>
      </c>
      <c r="G871" s="61" t="s">
        <v>126</v>
      </c>
      <c r="H871" s="334">
        <v>800</v>
      </c>
      <c r="I871" s="63">
        <v>35</v>
      </c>
      <c r="J871" s="63"/>
      <c r="K871" s="63"/>
      <c r="L871" s="63"/>
      <c r="M871" s="63"/>
      <c r="N871" s="63"/>
      <c r="O871" s="63"/>
      <c r="P871" s="63"/>
      <c r="Q871" s="63"/>
      <c r="R871" s="64"/>
      <c r="S871" s="63"/>
      <c r="T871" s="63"/>
      <c r="U871" s="63">
        <v>33</v>
      </c>
      <c r="V871" s="63"/>
      <c r="W871" s="63"/>
      <c r="X871" s="63"/>
      <c r="Y871" s="63"/>
      <c r="Z871" s="63">
        <v>3</v>
      </c>
      <c r="AA871" s="63">
        <v>29</v>
      </c>
      <c r="AB871" s="65">
        <f>100/(SUM(I871:Z871))</f>
        <v>1.408450704225352</v>
      </c>
      <c r="AC871" s="259">
        <f>SUM(I871:AA871)</f>
        <v>100</v>
      </c>
      <c r="AD871" s="63"/>
      <c r="AE871" s="64"/>
      <c r="AF871" s="64"/>
      <c r="AG871" s="66" t="s">
        <v>127</v>
      </c>
      <c r="AH871" s="67" t="s">
        <v>667</v>
      </c>
      <c r="AI871" s="67" t="s">
        <v>668</v>
      </c>
      <c r="AJ871" s="67"/>
      <c r="AK871" s="61" t="s">
        <v>669</v>
      </c>
      <c r="AL871" s="66">
        <f>(B871-DATE(1970,1,1))*86400</f>
        <v>1648252800</v>
      </c>
      <c r="AM871" s="66">
        <f>(C871-DATE(1970,1,1))*86400</f>
        <v>1648512000</v>
      </c>
      <c r="AN871" s="66">
        <f>AVERAGE(AL871:AM871)</f>
        <v>1648382400</v>
      </c>
    </row>
    <row r="872" spans="1:40" ht="15.75" customHeight="1" x14ac:dyDescent="0.2">
      <c r="A872" s="281" t="s">
        <v>133</v>
      </c>
      <c r="B872" s="54">
        <v>44645</v>
      </c>
      <c r="C872" s="54">
        <v>44649</v>
      </c>
      <c r="D872" s="53" t="s">
        <v>154</v>
      </c>
      <c r="E872" s="323" t="s">
        <v>125</v>
      </c>
      <c r="F872" s="53" t="s">
        <v>390</v>
      </c>
      <c r="G872" s="53" t="s">
        <v>126</v>
      </c>
      <c r="H872" s="357">
        <v>800</v>
      </c>
      <c r="I872" s="55">
        <v>35</v>
      </c>
      <c r="J872" s="55"/>
      <c r="K872" s="55"/>
      <c r="L872" s="55"/>
      <c r="M872" s="55"/>
      <c r="N872" s="55"/>
      <c r="O872" s="55"/>
      <c r="P872" s="55"/>
      <c r="Q872" s="55"/>
      <c r="R872" s="56"/>
      <c r="S872" s="55"/>
      <c r="T872" s="55"/>
      <c r="U872" s="55">
        <v>33</v>
      </c>
      <c r="V872" s="55">
        <v>1</v>
      </c>
      <c r="W872" s="55"/>
      <c r="X872" s="55">
        <v>2</v>
      </c>
      <c r="Y872" s="55"/>
      <c r="Z872" s="55">
        <v>1</v>
      </c>
      <c r="AA872" s="55">
        <v>28</v>
      </c>
      <c r="AB872" s="57">
        <f>100/(SUM(I872:Z872))</f>
        <v>1.3888888888888888</v>
      </c>
      <c r="AC872" s="259">
        <f>SUM(I872:AA872)</f>
        <v>100</v>
      </c>
      <c r="AD872" s="55"/>
      <c r="AE872" s="55"/>
      <c r="AF872" s="55"/>
      <c r="AG872" s="58" t="s">
        <v>136</v>
      </c>
      <c r="AH872" s="59" t="s">
        <v>670</v>
      </c>
      <c r="AI872" s="59"/>
      <c r="AJ872" s="59"/>
      <c r="AK872" s="53"/>
      <c r="AL872" s="58">
        <f>(B872-DATE(1970,1,1))*86400</f>
        <v>1648166400</v>
      </c>
      <c r="AM872" s="58">
        <f>(C872-DATE(1970,1,1))*86400</f>
        <v>1648512000</v>
      </c>
      <c r="AN872" s="58">
        <f>AVERAGE(AL872:AM872)</f>
        <v>1648339200</v>
      </c>
    </row>
    <row r="873" spans="1:40" ht="15.75" customHeight="1" x14ac:dyDescent="0.2">
      <c r="A873" s="280" t="s">
        <v>123</v>
      </c>
      <c r="B873" s="77">
        <v>44644</v>
      </c>
      <c r="C873" s="77">
        <v>44647</v>
      </c>
      <c r="D873" s="76" t="s">
        <v>200</v>
      </c>
      <c r="E873" s="320" t="s">
        <v>125</v>
      </c>
      <c r="F873" s="76" t="s">
        <v>390</v>
      </c>
      <c r="G873" s="76" t="s">
        <v>126</v>
      </c>
      <c r="H873" s="320">
        <v>1000</v>
      </c>
      <c r="I873" s="78">
        <v>49</v>
      </c>
      <c r="J873" s="78"/>
      <c r="K873" s="78"/>
      <c r="L873" s="78"/>
      <c r="M873" s="78"/>
      <c r="N873" s="78"/>
      <c r="O873" s="78"/>
      <c r="P873" s="78"/>
      <c r="Q873" s="78"/>
      <c r="R873" s="78"/>
      <c r="S873" s="78"/>
      <c r="T873" s="78"/>
      <c r="U873" s="78">
        <v>44</v>
      </c>
      <c r="V873" s="78">
        <v>3</v>
      </c>
      <c r="W873" s="78"/>
      <c r="X873" s="78">
        <v>3</v>
      </c>
      <c r="Y873" s="78"/>
      <c r="Z873" s="78">
        <v>1</v>
      </c>
      <c r="AA873" s="78">
        <v>0</v>
      </c>
      <c r="AB873" s="79">
        <f>100/(SUM(I873:Z873))</f>
        <v>1</v>
      </c>
      <c r="AC873" s="259">
        <f>SUM(I873:AA873)</f>
        <v>100</v>
      </c>
      <c r="AD873" s="78"/>
      <c r="AE873" s="78"/>
      <c r="AF873" s="78"/>
      <c r="AG873" s="80" t="s">
        <v>127</v>
      </c>
      <c r="AH873" s="195" t="s">
        <v>671</v>
      </c>
      <c r="AI873" s="195" t="s">
        <v>1914</v>
      </c>
      <c r="AJ873" s="81" t="s">
        <v>672</v>
      </c>
      <c r="AK873" s="76" t="s">
        <v>673</v>
      </c>
      <c r="AL873" s="80">
        <f>(B873-DATE(1970,1,1))*86400</f>
        <v>1648080000</v>
      </c>
      <c r="AM873" s="80">
        <f>(C873-DATE(1970,1,1))*86400</f>
        <v>1648339200</v>
      </c>
      <c r="AN873" s="80">
        <f>AVERAGE(AL873:AM873)</f>
        <v>1648209600</v>
      </c>
    </row>
    <row r="874" spans="1:40" ht="15.75" customHeight="1" x14ac:dyDescent="0.2">
      <c r="A874" s="284" t="s">
        <v>133</v>
      </c>
      <c r="B874" s="20">
        <v>44642</v>
      </c>
      <c r="C874" s="20">
        <v>44648</v>
      </c>
      <c r="D874" s="19" t="s">
        <v>134</v>
      </c>
      <c r="E874" s="332" t="s">
        <v>125</v>
      </c>
      <c r="F874" s="19" t="s">
        <v>390</v>
      </c>
      <c r="G874" s="19" t="s">
        <v>135</v>
      </c>
      <c r="H874" s="332">
        <v>1800</v>
      </c>
      <c r="I874" s="21">
        <v>41</v>
      </c>
      <c r="J874" s="21"/>
      <c r="K874" s="21"/>
      <c r="L874" s="21"/>
      <c r="M874" s="21"/>
      <c r="N874" s="21"/>
      <c r="O874" s="21"/>
      <c r="P874" s="21"/>
      <c r="Q874" s="21"/>
      <c r="R874" s="22"/>
      <c r="S874" s="21"/>
      <c r="T874" s="21"/>
      <c r="U874" s="21">
        <v>39</v>
      </c>
      <c r="V874" s="21">
        <v>2</v>
      </c>
      <c r="W874" s="21"/>
      <c r="X874" s="21">
        <v>3</v>
      </c>
      <c r="Y874" s="21"/>
      <c r="Z874" s="21">
        <v>1</v>
      </c>
      <c r="AA874" s="21">
        <v>14</v>
      </c>
      <c r="AB874" s="23">
        <f>100/(SUM(I874:Z874))</f>
        <v>1.1627906976744187</v>
      </c>
      <c r="AC874" s="259">
        <f>SUM(I874:AA874)</f>
        <v>100</v>
      </c>
      <c r="AD874" s="24"/>
      <c r="AE874" s="24"/>
      <c r="AF874" s="24"/>
      <c r="AG874" s="25" t="s">
        <v>127</v>
      </c>
      <c r="AH874" s="26" t="s">
        <v>678</v>
      </c>
      <c r="AI874" s="83"/>
      <c r="AJ874" s="83"/>
      <c r="AK874" s="19"/>
      <c r="AL874" s="25">
        <f>(B874-DATE(1970,1,1))*86400</f>
        <v>1647907200</v>
      </c>
      <c r="AM874" s="25">
        <f>(C874-DATE(1970,1,1))*86400</f>
        <v>1648425600</v>
      </c>
      <c r="AN874" s="25">
        <f>AVERAGE(AL874:AM874)</f>
        <v>1648166400</v>
      </c>
    </row>
    <row r="875" spans="1:40" ht="15.75" customHeight="1" x14ac:dyDescent="0.2">
      <c r="A875" s="284" t="s">
        <v>123</v>
      </c>
      <c r="B875" s="20">
        <v>44642</v>
      </c>
      <c r="C875" s="20">
        <v>44648</v>
      </c>
      <c r="D875" s="19" t="s">
        <v>134</v>
      </c>
      <c r="E875" s="332" t="s">
        <v>125</v>
      </c>
      <c r="F875" s="19" t="s">
        <v>390</v>
      </c>
      <c r="G875" s="19" t="s">
        <v>135</v>
      </c>
      <c r="H875" s="332">
        <v>1800</v>
      </c>
      <c r="I875" s="21">
        <v>50</v>
      </c>
      <c r="J875" s="21"/>
      <c r="K875" s="21"/>
      <c r="L875" s="21"/>
      <c r="M875" s="21"/>
      <c r="N875" s="21"/>
      <c r="O875" s="21"/>
      <c r="P875" s="21"/>
      <c r="Q875" s="21"/>
      <c r="R875" s="22"/>
      <c r="S875" s="21"/>
      <c r="T875" s="21"/>
      <c r="U875" s="21">
        <v>45</v>
      </c>
      <c r="V875" s="21">
        <v>2</v>
      </c>
      <c r="W875" s="21"/>
      <c r="X875" s="21">
        <v>3</v>
      </c>
      <c r="Y875" s="21"/>
      <c r="Z875" s="21">
        <v>0</v>
      </c>
      <c r="AA875" s="21">
        <v>0</v>
      </c>
      <c r="AB875" s="23">
        <f>100/(SUM(I875:Z875))</f>
        <v>1</v>
      </c>
      <c r="AC875" s="259">
        <f>SUM(I875:AA875)</f>
        <v>100</v>
      </c>
      <c r="AD875" s="24"/>
      <c r="AE875" s="24"/>
      <c r="AF875" s="24"/>
      <c r="AG875" s="25" t="s">
        <v>127</v>
      </c>
      <c r="AH875" s="26" t="s">
        <v>678</v>
      </c>
      <c r="AI875" s="83"/>
      <c r="AJ875" s="83"/>
      <c r="AK875" s="19"/>
      <c r="AL875" s="25">
        <f>(B875-DATE(1970,1,1))*86400</f>
        <v>1647907200</v>
      </c>
      <c r="AM875" s="25">
        <f>(C875-DATE(1970,1,1))*86400</f>
        <v>1648425600</v>
      </c>
      <c r="AN875" s="25">
        <f>AVERAGE(AL875:AM875)</f>
        <v>1648166400</v>
      </c>
    </row>
    <row r="876" spans="1:40" ht="15.75" customHeight="1" x14ac:dyDescent="0.2">
      <c r="A876" s="285" t="s">
        <v>133</v>
      </c>
      <c r="B876" s="34">
        <v>44644</v>
      </c>
      <c r="C876" s="34">
        <v>44646</v>
      </c>
      <c r="D876" s="33" t="s">
        <v>143</v>
      </c>
      <c r="E876" s="319" t="s">
        <v>125</v>
      </c>
      <c r="F876" s="33" t="s">
        <v>390</v>
      </c>
      <c r="G876" s="33" t="s">
        <v>126</v>
      </c>
      <c r="H876" s="353">
        <v>1096</v>
      </c>
      <c r="I876" s="35">
        <v>40</v>
      </c>
      <c r="J876" s="35"/>
      <c r="K876" s="35"/>
      <c r="L876" s="35"/>
      <c r="M876" s="35"/>
      <c r="N876" s="35"/>
      <c r="O876" s="35"/>
      <c r="P876" s="35"/>
      <c r="Q876" s="35"/>
      <c r="R876" s="36"/>
      <c r="S876" s="35"/>
      <c r="T876" s="35"/>
      <c r="U876" s="35">
        <v>32</v>
      </c>
      <c r="V876" s="35">
        <v>4</v>
      </c>
      <c r="W876" s="35"/>
      <c r="X876" s="35">
        <v>3</v>
      </c>
      <c r="Y876" s="35"/>
      <c r="Z876" s="35">
        <v>1</v>
      </c>
      <c r="AA876" s="35">
        <v>20</v>
      </c>
      <c r="AB876" s="37">
        <f>100/(SUM(I876:Z876))</f>
        <v>1.25</v>
      </c>
      <c r="AC876" s="259">
        <f>SUM(I876:AA876)</f>
        <v>100</v>
      </c>
      <c r="AD876" s="35">
        <v>80</v>
      </c>
      <c r="AE876" s="35">
        <v>12</v>
      </c>
      <c r="AF876" s="35">
        <v>16</v>
      </c>
      <c r="AG876" s="33" t="s">
        <v>144</v>
      </c>
      <c r="AH876" s="33" t="s">
        <v>165</v>
      </c>
      <c r="AI876" s="38" t="s">
        <v>674</v>
      </c>
      <c r="AJ876" s="38" t="s">
        <v>675</v>
      </c>
      <c r="AK876" s="33" t="s">
        <v>676</v>
      </c>
      <c r="AL876" s="39">
        <f>(B876-DATE(1970,1,1))*86400</f>
        <v>1648080000</v>
      </c>
      <c r="AM876" s="39">
        <f>(C876-DATE(1970,1,1))*86400</f>
        <v>1648252800</v>
      </c>
      <c r="AN876" s="39">
        <f>AVERAGE(AL876:AM876)</f>
        <v>1648166400</v>
      </c>
    </row>
    <row r="877" spans="1:40" ht="15.75" customHeight="1" x14ac:dyDescent="0.2">
      <c r="A877" s="285" t="s">
        <v>133</v>
      </c>
      <c r="B877" s="34">
        <v>44644</v>
      </c>
      <c r="C877" s="34">
        <v>44646</v>
      </c>
      <c r="D877" s="33" t="s">
        <v>143</v>
      </c>
      <c r="E877" s="319" t="s">
        <v>125</v>
      </c>
      <c r="F877" s="33" t="s">
        <v>390</v>
      </c>
      <c r="G877" s="33" t="s">
        <v>126</v>
      </c>
      <c r="H877" s="353">
        <v>1096</v>
      </c>
      <c r="I877" s="35">
        <v>50</v>
      </c>
      <c r="J877" s="35"/>
      <c r="K877" s="35"/>
      <c r="L877" s="35"/>
      <c r="M877" s="35"/>
      <c r="N877" s="35"/>
      <c r="O877" s="35"/>
      <c r="P877" s="35"/>
      <c r="Q877" s="35"/>
      <c r="R877" s="36"/>
      <c r="S877" s="35"/>
      <c r="T877" s="35"/>
      <c r="U877" s="35">
        <v>40</v>
      </c>
      <c r="V877" s="35">
        <v>4</v>
      </c>
      <c r="W877" s="35"/>
      <c r="X877" s="35">
        <v>4</v>
      </c>
      <c r="Y877" s="35"/>
      <c r="Z877" s="35">
        <v>2</v>
      </c>
      <c r="AA877" s="35">
        <v>0</v>
      </c>
      <c r="AB877" s="37">
        <f>100/(SUM(I877:Z877))</f>
        <v>1</v>
      </c>
      <c r="AC877" s="259">
        <f>SUM(I877:AA877)</f>
        <v>100</v>
      </c>
      <c r="AD877" s="35"/>
      <c r="AE877" s="35"/>
      <c r="AF877" s="35"/>
      <c r="AG877" s="33" t="s">
        <v>144</v>
      </c>
      <c r="AH877" s="33" t="s">
        <v>165</v>
      </c>
      <c r="AI877" s="38" t="s">
        <v>674</v>
      </c>
      <c r="AJ877" s="38" t="s">
        <v>675</v>
      </c>
      <c r="AK877" s="33" t="s">
        <v>677</v>
      </c>
      <c r="AL877" s="39">
        <f>(B877-DATE(1970,1,1))*86400</f>
        <v>1648080000</v>
      </c>
      <c r="AM877" s="39">
        <f>(C877-DATE(1970,1,1))*86400</f>
        <v>1648252800</v>
      </c>
      <c r="AN877" s="39">
        <f>AVERAGE(AL877:AM877)</f>
        <v>1648166400</v>
      </c>
    </row>
    <row r="878" spans="1:40" ht="15.75" customHeight="1" x14ac:dyDescent="0.2">
      <c r="A878" s="279" t="s">
        <v>123</v>
      </c>
      <c r="B878" s="14">
        <v>44643</v>
      </c>
      <c r="C878" s="14">
        <v>44645</v>
      </c>
      <c r="D878" s="13" t="s">
        <v>124</v>
      </c>
      <c r="E878" s="324" t="s">
        <v>125</v>
      </c>
      <c r="F878" s="13" t="s">
        <v>390</v>
      </c>
      <c r="G878" s="13" t="s">
        <v>126</v>
      </c>
      <c r="H878" s="349">
        <v>1000</v>
      </c>
      <c r="I878" s="15">
        <v>47</v>
      </c>
      <c r="J878" s="15"/>
      <c r="K878" s="15"/>
      <c r="L878" s="15"/>
      <c r="M878" s="15"/>
      <c r="N878" s="15"/>
      <c r="O878" s="15"/>
      <c r="P878" s="15"/>
      <c r="Q878" s="15"/>
      <c r="R878" s="15"/>
      <c r="S878" s="15"/>
      <c r="T878" s="15"/>
      <c r="U878" s="15">
        <v>42</v>
      </c>
      <c r="V878" s="15">
        <v>3</v>
      </c>
      <c r="W878" s="15"/>
      <c r="X878" s="15">
        <v>3</v>
      </c>
      <c r="Y878" s="15"/>
      <c r="Z878" s="15">
        <v>1</v>
      </c>
      <c r="AA878" s="15">
        <v>4</v>
      </c>
      <c r="AB878" s="16">
        <f>100/(SUM(I878:Z878))</f>
        <v>1.0416666666666667</v>
      </c>
      <c r="AC878" s="259">
        <f>SUM(I878:AA878)</f>
        <v>100</v>
      </c>
      <c r="AD878" s="15"/>
      <c r="AE878" s="15"/>
      <c r="AF878" s="15"/>
      <c r="AG878" s="17" t="s">
        <v>127</v>
      </c>
      <c r="AH878" s="201" t="s">
        <v>2629</v>
      </c>
      <c r="AI878" s="18" t="s">
        <v>672</v>
      </c>
      <c r="AJ878" s="18" t="s">
        <v>679</v>
      </c>
      <c r="AK878" s="13" t="s">
        <v>680</v>
      </c>
      <c r="AL878" s="17">
        <f>(B878-DATE(1970,1,1))*86400</f>
        <v>1647993600</v>
      </c>
      <c r="AM878" s="17">
        <f>(C878-DATE(1970,1,1))*86400</f>
        <v>1648166400</v>
      </c>
      <c r="AN878" s="17">
        <f>AVERAGE(AL878:AM878)</f>
        <v>1648080000</v>
      </c>
    </row>
    <row r="879" spans="1:40" ht="15.75" customHeight="1" x14ac:dyDescent="0.2">
      <c r="A879" s="279" t="s">
        <v>123</v>
      </c>
      <c r="B879" s="14">
        <v>44643</v>
      </c>
      <c r="C879" s="14">
        <v>44645</v>
      </c>
      <c r="D879" s="13" t="s">
        <v>124</v>
      </c>
      <c r="E879" s="324" t="s">
        <v>125</v>
      </c>
      <c r="F879" s="13" t="s">
        <v>390</v>
      </c>
      <c r="G879" s="13" t="s">
        <v>126</v>
      </c>
      <c r="H879" s="349">
        <v>1000</v>
      </c>
      <c r="I879" s="15">
        <v>49</v>
      </c>
      <c r="J879" s="15"/>
      <c r="K879" s="15"/>
      <c r="L879" s="15"/>
      <c r="M879" s="15"/>
      <c r="N879" s="15"/>
      <c r="O879" s="15"/>
      <c r="P879" s="15"/>
      <c r="Q879" s="15"/>
      <c r="R879" s="15"/>
      <c r="S879" s="15"/>
      <c r="T879" s="15"/>
      <c r="U879" s="15">
        <v>44</v>
      </c>
      <c r="V879" s="15">
        <v>3</v>
      </c>
      <c r="W879" s="15"/>
      <c r="X879" s="15">
        <v>3</v>
      </c>
      <c r="Y879" s="15"/>
      <c r="Z879" s="15">
        <v>1</v>
      </c>
      <c r="AA879" s="15">
        <v>0</v>
      </c>
      <c r="AB879" s="16">
        <f>100/(SUM(I879:Z879))</f>
        <v>1</v>
      </c>
      <c r="AC879" s="259">
        <f>SUM(I879:AA879)</f>
        <v>100</v>
      </c>
      <c r="AD879" s="15"/>
      <c r="AE879" s="15"/>
      <c r="AF879" s="15"/>
      <c r="AG879" s="17" t="s">
        <v>127</v>
      </c>
      <c r="AH879" s="201" t="s">
        <v>1793</v>
      </c>
      <c r="AI879" s="18" t="s">
        <v>672</v>
      </c>
      <c r="AJ879" s="18" t="s">
        <v>679</v>
      </c>
      <c r="AK879" s="13" t="s">
        <v>680</v>
      </c>
      <c r="AL879" s="17">
        <f>(B879-DATE(1970,1,1))*86400</f>
        <v>1647993600</v>
      </c>
      <c r="AM879" s="17">
        <f>(C879-DATE(1970,1,1))*86400</f>
        <v>1648166400</v>
      </c>
      <c r="AN879" s="17">
        <f>AVERAGE(AL879:AM879)</f>
        <v>1648080000</v>
      </c>
    </row>
    <row r="880" spans="1:40" ht="15.75" customHeight="1" x14ac:dyDescent="0.2">
      <c r="A880" s="286" t="s">
        <v>133</v>
      </c>
      <c r="B880" s="41">
        <v>44643</v>
      </c>
      <c r="C880" s="41">
        <v>44645</v>
      </c>
      <c r="D880" s="40" t="s">
        <v>148</v>
      </c>
      <c r="E880" s="325" t="s">
        <v>125</v>
      </c>
      <c r="F880" s="40" t="s">
        <v>390</v>
      </c>
      <c r="G880" s="40" t="s">
        <v>126</v>
      </c>
      <c r="H880" s="325">
        <v>800</v>
      </c>
      <c r="I880" s="42">
        <v>41</v>
      </c>
      <c r="J880" s="42"/>
      <c r="K880" s="42"/>
      <c r="L880" s="42"/>
      <c r="M880" s="42"/>
      <c r="N880" s="42"/>
      <c r="O880" s="42"/>
      <c r="P880" s="42"/>
      <c r="Q880" s="42"/>
      <c r="R880" s="43"/>
      <c r="S880" s="42"/>
      <c r="T880" s="42"/>
      <c r="U880" s="42">
        <v>39</v>
      </c>
      <c r="V880" s="42"/>
      <c r="W880" s="42"/>
      <c r="X880" s="42"/>
      <c r="Y880" s="42"/>
      <c r="Z880" s="42">
        <v>4</v>
      </c>
      <c r="AA880" s="42">
        <v>16</v>
      </c>
      <c r="AB880" s="44">
        <f>100/(SUM(I880:Z880))</f>
        <v>1.1904761904761905</v>
      </c>
      <c r="AC880" s="259">
        <f>SUM(I880:AA880)</f>
        <v>100</v>
      </c>
      <c r="AD880" s="42"/>
      <c r="AE880" s="43"/>
      <c r="AF880" s="43"/>
      <c r="AG880" s="45" t="s">
        <v>127</v>
      </c>
      <c r="AH880" s="42"/>
      <c r="AI880" s="46"/>
      <c r="AJ880" s="46" t="s">
        <v>681</v>
      </c>
      <c r="AK880" s="40" t="s">
        <v>682</v>
      </c>
      <c r="AL880" s="45">
        <f>(B880-DATE(1970,1,1))*86400</f>
        <v>1647993600</v>
      </c>
      <c r="AM880" s="45">
        <f>(C880-DATE(1970,1,1))*86400</f>
        <v>1648166400</v>
      </c>
      <c r="AN880" s="45">
        <f>AVERAGE(AL880:AM880)</f>
        <v>1648080000</v>
      </c>
    </row>
    <row r="881" spans="1:40" ht="15.75" customHeight="1" x14ac:dyDescent="0.2">
      <c r="A881" s="286" t="s">
        <v>133</v>
      </c>
      <c r="B881" s="41">
        <v>44641</v>
      </c>
      <c r="C881" s="106">
        <v>44646</v>
      </c>
      <c r="D881" s="40" t="s">
        <v>148</v>
      </c>
      <c r="E881" s="325" t="s">
        <v>125</v>
      </c>
      <c r="F881" s="40" t="s">
        <v>390</v>
      </c>
      <c r="G881" s="40" t="s">
        <v>149</v>
      </c>
      <c r="H881" s="325">
        <v>1000</v>
      </c>
      <c r="I881" s="42">
        <v>39</v>
      </c>
      <c r="J881" s="42"/>
      <c r="K881" s="42"/>
      <c r="L881" s="42"/>
      <c r="M881" s="42"/>
      <c r="N881" s="42"/>
      <c r="O881" s="42"/>
      <c r="P881" s="42"/>
      <c r="Q881" s="42"/>
      <c r="R881" s="43"/>
      <c r="S881" s="42"/>
      <c r="T881" s="42"/>
      <c r="U881" s="42">
        <v>36</v>
      </c>
      <c r="V881" s="42">
        <v>2</v>
      </c>
      <c r="W881" s="42"/>
      <c r="X881" s="42">
        <v>3</v>
      </c>
      <c r="Y881" s="42"/>
      <c r="Z881" s="42">
        <v>1</v>
      </c>
      <c r="AA881" s="42">
        <v>19</v>
      </c>
      <c r="AB881" s="44">
        <f>100/(SUM(I881:Z881))</f>
        <v>1.2345679012345678</v>
      </c>
      <c r="AC881" s="259">
        <f>SUM(I881:AA881)</f>
        <v>100</v>
      </c>
      <c r="AD881" s="42"/>
      <c r="AE881" s="43"/>
      <c r="AF881" s="43"/>
      <c r="AG881" s="45" t="s">
        <v>127</v>
      </c>
      <c r="AH881" s="42"/>
      <c r="AI881" s="46" t="s">
        <v>683</v>
      </c>
      <c r="AJ881" s="46" t="s">
        <v>684</v>
      </c>
      <c r="AK881" s="40" t="s">
        <v>1864</v>
      </c>
      <c r="AL881" s="45">
        <f>(B881-DATE(1970,1,1))*86400</f>
        <v>1647820800</v>
      </c>
      <c r="AM881" s="45">
        <f>(C881-DATE(1970,1,1))*86400</f>
        <v>1648252800</v>
      </c>
      <c r="AN881" s="45">
        <f>AVERAGE(AL881:AM881)</f>
        <v>1648036800</v>
      </c>
    </row>
    <row r="882" spans="1:40" ht="15.75" customHeight="1" x14ac:dyDescent="0.2">
      <c r="A882" s="286" t="s">
        <v>123</v>
      </c>
      <c r="B882" s="41">
        <v>44641</v>
      </c>
      <c r="C882" s="106">
        <v>44646</v>
      </c>
      <c r="D882" s="40" t="s">
        <v>148</v>
      </c>
      <c r="E882" s="325" t="s">
        <v>125</v>
      </c>
      <c r="F882" s="40" t="s">
        <v>390</v>
      </c>
      <c r="G882" s="40" t="s">
        <v>149</v>
      </c>
      <c r="H882" s="325">
        <v>1000</v>
      </c>
      <c r="I882" s="42">
        <v>50</v>
      </c>
      <c r="J882" s="42"/>
      <c r="K882" s="42"/>
      <c r="L882" s="42"/>
      <c r="M882" s="42"/>
      <c r="N882" s="42"/>
      <c r="O882" s="42"/>
      <c r="P882" s="42"/>
      <c r="Q882" s="42"/>
      <c r="R882" s="43"/>
      <c r="S882" s="42"/>
      <c r="T882" s="42"/>
      <c r="U882" s="42">
        <v>46</v>
      </c>
      <c r="V882" s="42">
        <v>1</v>
      </c>
      <c r="W882" s="42"/>
      <c r="X882" s="42">
        <v>3</v>
      </c>
      <c r="Y882" s="42"/>
      <c r="Z882" s="42">
        <v>0</v>
      </c>
      <c r="AA882" s="42">
        <v>0</v>
      </c>
      <c r="AB882" s="44">
        <f>100/(SUM(I882:Z882))</f>
        <v>1</v>
      </c>
      <c r="AC882" s="259">
        <f>SUM(I882:AA882)</f>
        <v>100</v>
      </c>
      <c r="AD882" s="42"/>
      <c r="AE882" s="43"/>
      <c r="AF882" s="43"/>
      <c r="AG882" s="45" t="s">
        <v>127</v>
      </c>
      <c r="AH882" s="42"/>
      <c r="AI882" s="46" t="s">
        <v>683</v>
      </c>
      <c r="AJ882" s="46" t="s">
        <v>684</v>
      </c>
      <c r="AK882" s="40" t="s">
        <v>1863</v>
      </c>
      <c r="AL882" s="45">
        <f>(B882-DATE(1970,1,1))*86400</f>
        <v>1647820800</v>
      </c>
      <c r="AM882" s="45">
        <f>(C882-DATE(1970,1,1))*86400</f>
        <v>1648252800</v>
      </c>
      <c r="AN882" s="45">
        <f>AVERAGE(AL882:AM882)</f>
        <v>1648036800</v>
      </c>
    </row>
    <row r="883" spans="1:40" ht="15.75" customHeight="1" x14ac:dyDescent="0.2">
      <c r="A883" s="281" t="s">
        <v>133</v>
      </c>
      <c r="B883" s="54">
        <v>44641</v>
      </c>
      <c r="C883" s="54">
        <v>44645</v>
      </c>
      <c r="D883" s="53" t="s">
        <v>154</v>
      </c>
      <c r="E883" s="323" t="s">
        <v>125</v>
      </c>
      <c r="F883" s="53" t="s">
        <v>390</v>
      </c>
      <c r="G883" s="53" t="s">
        <v>126</v>
      </c>
      <c r="H883" s="357">
        <v>1000</v>
      </c>
      <c r="I883" s="55">
        <v>34</v>
      </c>
      <c r="J883" s="55"/>
      <c r="K883" s="55"/>
      <c r="L883" s="55"/>
      <c r="M883" s="55"/>
      <c r="N883" s="55"/>
      <c r="O883" s="55"/>
      <c r="P883" s="55"/>
      <c r="Q883" s="55"/>
      <c r="R883" s="56"/>
      <c r="S883" s="55"/>
      <c r="T883" s="55"/>
      <c r="U883" s="55">
        <v>32</v>
      </c>
      <c r="V883" s="55">
        <v>1</v>
      </c>
      <c r="W883" s="55"/>
      <c r="X883" s="55">
        <v>2</v>
      </c>
      <c r="Y883" s="55"/>
      <c r="Z883" s="55">
        <v>1</v>
      </c>
      <c r="AA883" s="55">
        <v>30</v>
      </c>
      <c r="AB883" s="57">
        <f>100/(SUM(I883:Z883))</f>
        <v>1.4285714285714286</v>
      </c>
      <c r="AC883" s="259">
        <f>SUM(I883:AA883)</f>
        <v>100</v>
      </c>
      <c r="AD883" s="55"/>
      <c r="AE883" s="55"/>
      <c r="AF883" s="55"/>
      <c r="AG883" s="58" t="s">
        <v>136</v>
      </c>
      <c r="AH883" s="59" t="s">
        <v>687</v>
      </c>
      <c r="AI883" s="59" t="s">
        <v>1629</v>
      </c>
      <c r="AJ883" s="59"/>
      <c r="AK883" s="53"/>
      <c r="AL883" s="58">
        <f>(B883-DATE(1970,1,1))*86400</f>
        <v>1647820800</v>
      </c>
      <c r="AM883" s="58">
        <f>(C883-DATE(1970,1,1))*86400</f>
        <v>1648166400</v>
      </c>
      <c r="AN883" s="58">
        <f>AVERAGE(AL883:AM883)</f>
        <v>1647993600</v>
      </c>
    </row>
    <row r="884" spans="1:40" ht="15.75" customHeight="1" x14ac:dyDescent="0.2">
      <c r="A884" s="281" t="s">
        <v>123</v>
      </c>
      <c r="B884" s="54">
        <v>44641</v>
      </c>
      <c r="C884" s="54">
        <v>44645</v>
      </c>
      <c r="D884" s="53" t="s">
        <v>154</v>
      </c>
      <c r="E884" s="323" t="s">
        <v>125</v>
      </c>
      <c r="F884" s="53" t="s">
        <v>390</v>
      </c>
      <c r="G884" s="53" t="s">
        <v>126</v>
      </c>
      <c r="H884" s="357">
        <v>1000</v>
      </c>
      <c r="I884" s="55">
        <v>41</v>
      </c>
      <c r="J884" s="55"/>
      <c r="K884" s="55"/>
      <c r="L884" s="55"/>
      <c r="M884" s="55"/>
      <c r="N884" s="55"/>
      <c r="O884" s="55"/>
      <c r="P884" s="55"/>
      <c r="Q884" s="55"/>
      <c r="R884" s="56"/>
      <c r="S884" s="55"/>
      <c r="T884" s="55"/>
      <c r="U884" s="55">
        <v>39</v>
      </c>
      <c r="V884" s="55">
        <v>2</v>
      </c>
      <c r="W884" s="55"/>
      <c r="X884" s="55">
        <v>2</v>
      </c>
      <c r="Y884" s="55"/>
      <c r="Z884" s="55">
        <v>1</v>
      </c>
      <c r="AA884" s="55">
        <v>15</v>
      </c>
      <c r="AB884" s="57">
        <f>100/(SUM(I884:Z884))</f>
        <v>1.1764705882352942</v>
      </c>
      <c r="AC884" s="259">
        <f>SUM(I884:AA884)</f>
        <v>100</v>
      </c>
      <c r="AD884" s="55"/>
      <c r="AE884" s="55"/>
      <c r="AF884" s="55"/>
      <c r="AG884" s="58" t="s">
        <v>136</v>
      </c>
      <c r="AH884" s="59" t="s">
        <v>687</v>
      </c>
      <c r="AI884" s="59" t="s">
        <v>1629</v>
      </c>
      <c r="AJ884" s="59"/>
      <c r="AK884" s="53"/>
      <c r="AL884" s="58">
        <f>(B884-DATE(1970,1,1))*86400</f>
        <v>1647820800</v>
      </c>
      <c r="AM884" s="58">
        <f>(C884-DATE(1970,1,1))*86400</f>
        <v>1648166400</v>
      </c>
      <c r="AN884" s="58">
        <f>AVERAGE(AL884:AM884)</f>
        <v>1647993600</v>
      </c>
    </row>
    <row r="885" spans="1:40" ht="15.75" customHeight="1" x14ac:dyDescent="0.2">
      <c r="A885" s="283" t="s">
        <v>123</v>
      </c>
      <c r="B885" s="28">
        <v>44642</v>
      </c>
      <c r="C885" s="28">
        <v>44644</v>
      </c>
      <c r="D885" s="27" t="s">
        <v>139</v>
      </c>
      <c r="E885" s="331" t="s">
        <v>184</v>
      </c>
      <c r="F885" s="27" t="s">
        <v>390</v>
      </c>
      <c r="G885" s="27" t="s">
        <v>126</v>
      </c>
      <c r="H885" s="352">
        <v>1000</v>
      </c>
      <c r="I885" s="29">
        <v>49</v>
      </c>
      <c r="J885" s="29"/>
      <c r="K885" s="29"/>
      <c r="L885" s="29"/>
      <c r="M885" s="29"/>
      <c r="N885" s="29"/>
      <c r="O885" s="29"/>
      <c r="P885" s="29"/>
      <c r="Q885" s="29"/>
      <c r="R885" s="29"/>
      <c r="S885" s="29"/>
      <c r="T885" s="29"/>
      <c r="U885" s="29">
        <v>41</v>
      </c>
      <c r="V885" s="29">
        <v>3</v>
      </c>
      <c r="W885" s="29"/>
      <c r="X885" s="29">
        <v>5</v>
      </c>
      <c r="Y885" s="29"/>
      <c r="Z885" s="29">
        <v>2</v>
      </c>
      <c r="AA885" s="29">
        <v>0</v>
      </c>
      <c r="AB885" s="30">
        <f>100/(SUM(I885:Z885))</f>
        <v>1</v>
      </c>
      <c r="AC885" s="259">
        <f>SUM(I885:AA885)</f>
        <v>100</v>
      </c>
      <c r="AD885" s="29"/>
      <c r="AE885" s="29"/>
      <c r="AF885" s="29"/>
      <c r="AG885" s="31" t="s">
        <v>127</v>
      </c>
      <c r="AH885" s="198" t="s">
        <v>2563</v>
      </c>
      <c r="AI885" s="32" t="s">
        <v>685</v>
      </c>
      <c r="AJ885" s="198" t="s">
        <v>672</v>
      </c>
      <c r="AK885" s="27" t="s">
        <v>686</v>
      </c>
      <c r="AL885" s="31">
        <f>(B885-DATE(1970,1,1))*86400</f>
        <v>1647907200</v>
      </c>
      <c r="AM885" s="31">
        <f>(C885-DATE(1970,1,1))*86400</f>
        <v>1648080000</v>
      </c>
      <c r="AN885" s="31">
        <f>AVERAGE(AL885:AM885)</f>
        <v>1647993600</v>
      </c>
    </row>
    <row r="886" spans="1:40" ht="15.75" customHeight="1" x14ac:dyDescent="0.2">
      <c r="A886" s="304" t="s">
        <v>123</v>
      </c>
      <c r="B886" s="115">
        <v>44640</v>
      </c>
      <c r="C886" s="115">
        <v>44646</v>
      </c>
      <c r="D886" s="114" t="s">
        <v>688</v>
      </c>
      <c r="E886" s="344" t="s">
        <v>184</v>
      </c>
      <c r="F886" s="114" t="s">
        <v>689</v>
      </c>
      <c r="G886" s="114" t="s">
        <v>135</v>
      </c>
      <c r="H886" s="344">
        <v>2000</v>
      </c>
      <c r="I886" s="116">
        <v>37</v>
      </c>
      <c r="J886" s="116"/>
      <c r="K886" s="116"/>
      <c r="L886" s="116"/>
      <c r="M886" s="116"/>
      <c r="N886" s="116"/>
      <c r="O886" s="116"/>
      <c r="P886" s="116"/>
      <c r="Q886" s="116"/>
      <c r="R886" s="117"/>
      <c r="S886" s="116"/>
      <c r="T886" s="116"/>
      <c r="U886" s="116">
        <v>49</v>
      </c>
      <c r="V886" s="116"/>
      <c r="W886" s="116"/>
      <c r="X886" s="116"/>
      <c r="Y886" s="116"/>
      <c r="Z886" s="116"/>
      <c r="AA886" s="116"/>
      <c r="AB886" s="118">
        <f>100/(SUM(I886:Z886))</f>
        <v>1.1627906976744187</v>
      </c>
      <c r="AC886" s="259">
        <f>SUM(I886:AA886)</f>
        <v>86</v>
      </c>
      <c r="AD886" s="116">
        <v>70</v>
      </c>
      <c r="AE886" s="117"/>
      <c r="AF886" s="117"/>
      <c r="AG886" s="119" t="s">
        <v>690</v>
      </c>
      <c r="AH886" s="116" t="s">
        <v>691</v>
      </c>
      <c r="AI886" s="116" t="s">
        <v>692</v>
      </c>
      <c r="AJ886" s="120" t="s">
        <v>693</v>
      </c>
      <c r="AK886" s="114" t="s">
        <v>694</v>
      </c>
      <c r="AL886" s="119">
        <f>(B886-DATE(1970,1,1))*86400</f>
        <v>1647734400</v>
      </c>
      <c r="AM886" s="119">
        <f>(C886-DATE(1970,1,1))*86400</f>
        <v>1648252800</v>
      </c>
      <c r="AN886" s="119">
        <f>AVERAGE(AL886:AM886)</f>
        <v>1647993600</v>
      </c>
    </row>
    <row r="887" spans="1:40" ht="15.75" customHeight="1" x14ac:dyDescent="0.2">
      <c r="A887" s="291" t="s">
        <v>123</v>
      </c>
      <c r="B887" s="48">
        <v>44641</v>
      </c>
      <c r="C887" s="48">
        <v>44643</v>
      </c>
      <c r="D887" s="47" t="s">
        <v>152</v>
      </c>
      <c r="E887" s="337" t="s">
        <v>184</v>
      </c>
      <c r="F887" s="47" t="s">
        <v>390</v>
      </c>
      <c r="G887" s="47" t="s">
        <v>126</v>
      </c>
      <c r="H887" s="370">
        <v>1000</v>
      </c>
      <c r="I887" s="49">
        <v>52</v>
      </c>
      <c r="J887" s="49"/>
      <c r="K887" s="49"/>
      <c r="L887" s="49"/>
      <c r="M887" s="49"/>
      <c r="N887" s="49"/>
      <c r="O887" s="49"/>
      <c r="P887" s="49"/>
      <c r="Q887" s="49"/>
      <c r="R887" s="49"/>
      <c r="S887" s="49"/>
      <c r="T887" s="49"/>
      <c r="U887" s="49">
        <v>41</v>
      </c>
      <c r="V887" s="49">
        <v>3</v>
      </c>
      <c r="W887" s="49"/>
      <c r="X887" s="49">
        <v>3</v>
      </c>
      <c r="Y887" s="49"/>
      <c r="Z887" s="113">
        <v>1</v>
      </c>
      <c r="AA887" s="49">
        <v>0</v>
      </c>
      <c r="AB887" s="50">
        <f>100/(SUM(I887:Z887))</f>
        <v>1</v>
      </c>
      <c r="AC887" s="259">
        <f>SUM(I887:AA887)</f>
        <v>100</v>
      </c>
      <c r="AD887" s="49"/>
      <c r="AE887" s="113"/>
      <c r="AF887" s="49"/>
      <c r="AG887" s="51" t="s">
        <v>127</v>
      </c>
      <c r="AH887" s="52" t="s">
        <v>695</v>
      </c>
      <c r="AI887" s="52" t="s">
        <v>696</v>
      </c>
      <c r="AJ887" s="52"/>
      <c r="AK887" s="47" t="s">
        <v>2039</v>
      </c>
      <c r="AL887" s="51">
        <f>(B887-DATE(1970,1,1))*86400</f>
        <v>1647820800</v>
      </c>
      <c r="AM887" s="51">
        <f>(C887-DATE(1970,1,1))*86400</f>
        <v>1647993600</v>
      </c>
      <c r="AN887" s="51">
        <f>AVERAGE(AL887:AM887)</f>
        <v>1647907200</v>
      </c>
    </row>
    <row r="888" spans="1:40" ht="15.75" customHeight="1" x14ac:dyDescent="0.2">
      <c r="A888" s="279" t="s">
        <v>123</v>
      </c>
      <c r="B888" s="14">
        <v>44636</v>
      </c>
      <c r="C888" s="14">
        <v>44641</v>
      </c>
      <c r="D888" s="13" t="s">
        <v>124</v>
      </c>
      <c r="E888" s="324" t="s">
        <v>125</v>
      </c>
      <c r="F888" s="13" t="s">
        <v>390</v>
      </c>
      <c r="G888" s="13" t="s">
        <v>126</v>
      </c>
      <c r="H888" s="372">
        <v>1000</v>
      </c>
      <c r="I888" s="15">
        <v>49</v>
      </c>
      <c r="J888" s="15"/>
      <c r="K888" s="15"/>
      <c r="L888" s="15"/>
      <c r="M888" s="15"/>
      <c r="N888" s="15"/>
      <c r="O888" s="15"/>
      <c r="P888" s="15"/>
      <c r="Q888" s="15"/>
      <c r="R888" s="15"/>
      <c r="S888" s="15"/>
      <c r="T888" s="15"/>
      <c r="U888" s="15">
        <v>41</v>
      </c>
      <c r="V888" s="15">
        <v>3</v>
      </c>
      <c r="W888" s="15"/>
      <c r="X888" s="15">
        <v>2</v>
      </c>
      <c r="Y888" s="15"/>
      <c r="Z888" s="15">
        <v>1</v>
      </c>
      <c r="AA888" s="15">
        <v>5</v>
      </c>
      <c r="AB888" s="16">
        <f>100/(SUM(I888:Z888))</f>
        <v>1.0416666666666667</v>
      </c>
      <c r="AC888" s="259">
        <f>SUM(I888:AA888)</f>
        <v>101</v>
      </c>
      <c r="AD888" s="15"/>
      <c r="AE888" s="98"/>
      <c r="AF888" s="15"/>
      <c r="AG888" s="17" t="s">
        <v>127</v>
      </c>
      <c r="AH888" s="18" t="s">
        <v>697</v>
      </c>
      <c r="AI888" s="18"/>
      <c r="AJ888" s="18"/>
      <c r="AK888" s="13" t="s">
        <v>698</v>
      </c>
      <c r="AL888" s="17">
        <f>(B888-DATE(1970,1,1))*86400</f>
        <v>1647388800</v>
      </c>
      <c r="AM888" s="17">
        <f>(C888-DATE(1970,1,1))*86400</f>
        <v>1647820800</v>
      </c>
      <c r="AN888" s="17">
        <f>AVERAGE(AL888:AM888)</f>
        <v>1647604800</v>
      </c>
    </row>
    <row r="889" spans="1:40" ht="15.75" customHeight="1" x14ac:dyDescent="0.2">
      <c r="A889" s="302" t="s">
        <v>133</v>
      </c>
      <c r="B889" s="122">
        <v>44636</v>
      </c>
      <c r="C889" s="122">
        <v>44639</v>
      </c>
      <c r="D889" s="121" t="s">
        <v>718</v>
      </c>
      <c r="E889" s="322" t="s">
        <v>184</v>
      </c>
      <c r="F889" s="121"/>
      <c r="G889" s="121" t="s">
        <v>126</v>
      </c>
      <c r="H889" s="373">
        <v>1000</v>
      </c>
      <c r="I889" s="123">
        <v>43</v>
      </c>
      <c r="J889" s="123">
        <v>1</v>
      </c>
      <c r="K889" s="123">
        <v>2</v>
      </c>
      <c r="L889" s="123">
        <v>2</v>
      </c>
      <c r="M889" s="123">
        <v>12</v>
      </c>
      <c r="N889" s="123"/>
      <c r="O889" s="123">
        <v>2</v>
      </c>
      <c r="P889" s="123">
        <v>3</v>
      </c>
      <c r="Q889" s="123"/>
      <c r="R889" s="124"/>
      <c r="S889" s="123">
        <v>1</v>
      </c>
      <c r="T889" s="123"/>
      <c r="U889" s="123"/>
      <c r="V889" s="123">
        <v>4</v>
      </c>
      <c r="W889" s="123"/>
      <c r="X889" s="123">
        <v>3</v>
      </c>
      <c r="Y889" s="123"/>
      <c r="Z889" s="123">
        <v>0</v>
      </c>
      <c r="AA889" s="123">
        <v>26</v>
      </c>
      <c r="AB889" s="125">
        <f>100/(SUM(I889:Z889))</f>
        <v>1.3698630136986301</v>
      </c>
      <c r="AC889" s="259">
        <f>SUM(I889:AA889)</f>
        <v>99</v>
      </c>
      <c r="AD889" s="123"/>
      <c r="AE889" s="123"/>
      <c r="AF889" s="123"/>
      <c r="AG889" s="126" t="s">
        <v>719</v>
      </c>
      <c r="AH889" s="253" t="s">
        <v>1983</v>
      </c>
      <c r="AI889" s="127"/>
      <c r="AJ889" s="127"/>
      <c r="AK889" s="121" t="s">
        <v>1987</v>
      </c>
      <c r="AL889" s="126">
        <f>(B889-DATE(1970,1,1))*86400</f>
        <v>1647388800</v>
      </c>
      <c r="AM889" s="126">
        <f>(C889-DATE(1970,1,1))*86400</f>
        <v>1647648000</v>
      </c>
      <c r="AN889" s="126">
        <f>AVERAGE(AL889:AM889)</f>
        <v>1647518400</v>
      </c>
    </row>
    <row r="890" spans="1:40" ht="15.75" customHeight="1" x14ac:dyDescent="0.2">
      <c r="A890" s="302" t="s">
        <v>133</v>
      </c>
      <c r="B890" s="122">
        <v>44636</v>
      </c>
      <c r="C890" s="122">
        <v>44639</v>
      </c>
      <c r="D890" s="121" t="s">
        <v>718</v>
      </c>
      <c r="E890" s="322" t="s">
        <v>184</v>
      </c>
      <c r="F890" s="121" t="s">
        <v>390</v>
      </c>
      <c r="G890" s="121" t="s">
        <v>126</v>
      </c>
      <c r="H890" s="373">
        <v>1000</v>
      </c>
      <c r="I890" s="123">
        <v>43</v>
      </c>
      <c r="J890" s="123"/>
      <c r="K890" s="123"/>
      <c r="L890" s="123"/>
      <c r="M890" s="123"/>
      <c r="N890" s="123"/>
      <c r="O890" s="123"/>
      <c r="P890" s="123"/>
      <c r="Q890" s="123"/>
      <c r="R890" s="124"/>
      <c r="S890" s="123"/>
      <c r="T890" s="123"/>
      <c r="U890" s="123">
        <v>35</v>
      </c>
      <c r="V890" s="123">
        <v>2</v>
      </c>
      <c r="W890" s="123"/>
      <c r="X890" s="123">
        <v>4</v>
      </c>
      <c r="Y890" s="123"/>
      <c r="Z890" s="123">
        <v>1</v>
      </c>
      <c r="AA890" s="123">
        <v>14</v>
      </c>
      <c r="AB890" s="125">
        <f>100/(SUM(I890:Z890))</f>
        <v>1.1764705882352942</v>
      </c>
      <c r="AC890" s="259">
        <f>SUM(I890:AA890)</f>
        <v>99</v>
      </c>
      <c r="AD890" s="123">
        <v>65</v>
      </c>
      <c r="AE890" s="123"/>
      <c r="AF890" s="123"/>
      <c r="AG890" s="126" t="s">
        <v>719</v>
      </c>
      <c r="AH890" s="253" t="s">
        <v>1983</v>
      </c>
      <c r="AI890" s="127"/>
      <c r="AJ890" s="127"/>
      <c r="AK890" s="121" t="s">
        <v>1986</v>
      </c>
      <c r="AL890" s="126">
        <f>(B890-DATE(1970,1,1))*86400</f>
        <v>1647388800</v>
      </c>
      <c r="AM890" s="126">
        <f>(C890-DATE(1970,1,1))*86400</f>
        <v>1647648000</v>
      </c>
      <c r="AN890" s="126">
        <f>AVERAGE(AL890:AM890)</f>
        <v>1647518400</v>
      </c>
    </row>
    <row r="891" spans="1:40" ht="15.75" customHeight="1" x14ac:dyDescent="0.2">
      <c r="A891" s="302" t="s">
        <v>133</v>
      </c>
      <c r="B891" s="122">
        <v>44636</v>
      </c>
      <c r="C891" s="122">
        <v>44639</v>
      </c>
      <c r="D891" s="121" t="s">
        <v>718</v>
      </c>
      <c r="E891" s="322" t="s">
        <v>184</v>
      </c>
      <c r="F891" s="121" t="s">
        <v>390</v>
      </c>
      <c r="G891" s="121" t="s">
        <v>126</v>
      </c>
      <c r="H891" s="373">
        <v>1000</v>
      </c>
      <c r="I891" s="123">
        <v>44</v>
      </c>
      <c r="J891" s="123"/>
      <c r="K891" s="123"/>
      <c r="L891" s="123"/>
      <c r="M891" s="123"/>
      <c r="N891" s="123"/>
      <c r="O891" s="123"/>
      <c r="P891" s="123"/>
      <c r="Q891" s="123"/>
      <c r="R891" s="124"/>
      <c r="S891" s="123"/>
      <c r="T891" s="123"/>
      <c r="U891" s="123">
        <v>37</v>
      </c>
      <c r="V891" s="123">
        <v>2</v>
      </c>
      <c r="W891" s="123"/>
      <c r="X891" s="123">
        <v>4</v>
      </c>
      <c r="Y891" s="123"/>
      <c r="Z891" s="123">
        <v>1</v>
      </c>
      <c r="AA891" s="123">
        <v>11</v>
      </c>
      <c r="AB891" s="125">
        <f>100/(SUM(I891:Z891))</f>
        <v>1.1363636363636365</v>
      </c>
      <c r="AC891" s="259">
        <f>SUM(I891:AA891)</f>
        <v>99</v>
      </c>
      <c r="AD891" s="123"/>
      <c r="AE891" s="123"/>
      <c r="AF891" s="123"/>
      <c r="AG891" s="126" t="s">
        <v>719</v>
      </c>
      <c r="AH891" s="253" t="s">
        <v>1983</v>
      </c>
      <c r="AI891" s="127"/>
      <c r="AJ891" s="127"/>
      <c r="AK891" s="121" t="s">
        <v>1985</v>
      </c>
      <c r="AL891" s="126">
        <f>(B891-DATE(1970,1,1))*86400</f>
        <v>1647388800</v>
      </c>
      <c r="AM891" s="126">
        <f>(C891-DATE(1970,1,1))*86400</f>
        <v>1647648000</v>
      </c>
      <c r="AN891" s="126">
        <f>AVERAGE(AL891:AM891)</f>
        <v>1647518400</v>
      </c>
    </row>
    <row r="892" spans="1:40" ht="15.75" customHeight="1" x14ac:dyDescent="0.2">
      <c r="A892" s="302" t="s">
        <v>123</v>
      </c>
      <c r="B892" s="122">
        <v>44636</v>
      </c>
      <c r="C892" s="122">
        <v>44639</v>
      </c>
      <c r="D892" s="121" t="s">
        <v>718</v>
      </c>
      <c r="E892" s="322" t="s">
        <v>184</v>
      </c>
      <c r="F892" s="121" t="s">
        <v>390</v>
      </c>
      <c r="G892" s="121" t="s">
        <v>126</v>
      </c>
      <c r="H892" s="373">
        <v>1000</v>
      </c>
      <c r="I892" s="123">
        <v>50</v>
      </c>
      <c r="J892" s="123"/>
      <c r="K892" s="123"/>
      <c r="L892" s="123"/>
      <c r="M892" s="123"/>
      <c r="N892" s="123"/>
      <c r="O892" s="123"/>
      <c r="P892" s="123"/>
      <c r="Q892" s="123"/>
      <c r="R892" s="124"/>
      <c r="S892" s="123"/>
      <c r="T892" s="123"/>
      <c r="U892" s="123">
        <v>41</v>
      </c>
      <c r="V892" s="123">
        <v>2</v>
      </c>
      <c r="W892" s="123"/>
      <c r="X892" s="252">
        <v>5</v>
      </c>
      <c r="Y892" s="252"/>
      <c r="Z892" s="252">
        <v>1</v>
      </c>
      <c r="AA892" s="123">
        <v>0</v>
      </c>
      <c r="AB892" s="125">
        <f>100/(SUM(I892:Z892))</f>
        <v>1.0101010101010102</v>
      </c>
      <c r="AC892" s="259">
        <f>SUM(I892:AA892)</f>
        <v>99</v>
      </c>
      <c r="AD892" s="123"/>
      <c r="AE892" s="123"/>
      <c r="AF892" s="123"/>
      <c r="AG892" s="126" t="s">
        <v>719</v>
      </c>
      <c r="AH892" s="127" t="s">
        <v>1982</v>
      </c>
      <c r="AI892" s="127"/>
      <c r="AJ892" s="127"/>
      <c r="AK892" s="121" t="s">
        <v>1984</v>
      </c>
      <c r="AL892" s="126">
        <f>(B892-DATE(1970,1,1))*86400</f>
        <v>1647388800</v>
      </c>
      <c r="AM892" s="126">
        <f>(C892-DATE(1970,1,1))*86400</f>
        <v>1647648000</v>
      </c>
      <c r="AN892" s="126">
        <f>AVERAGE(AL892:AM892)</f>
        <v>1647518400</v>
      </c>
    </row>
    <row r="893" spans="1:40" ht="15.75" customHeight="1" x14ac:dyDescent="0.2">
      <c r="A893" s="281" t="s">
        <v>133</v>
      </c>
      <c r="B893" s="54">
        <v>44636</v>
      </c>
      <c r="C893" s="54">
        <v>44638</v>
      </c>
      <c r="D893" s="53" t="s">
        <v>154</v>
      </c>
      <c r="E893" s="323" t="s">
        <v>125</v>
      </c>
      <c r="F893" s="53" t="s">
        <v>2483</v>
      </c>
      <c r="G893" s="53" t="s">
        <v>126</v>
      </c>
      <c r="H893" s="357">
        <v>1000</v>
      </c>
      <c r="I893" s="55">
        <v>42</v>
      </c>
      <c r="J893" s="55"/>
      <c r="K893" s="55"/>
      <c r="L893" s="55"/>
      <c r="M893" s="55"/>
      <c r="N893" s="55"/>
      <c r="O893" s="55"/>
      <c r="P893" s="55"/>
      <c r="Q893" s="55"/>
      <c r="R893" s="56"/>
      <c r="S893" s="55"/>
      <c r="T893" s="55"/>
      <c r="U893" s="55">
        <v>43</v>
      </c>
      <c r="V893" s="55">
        <v>2</v>
      </c>
      <c r="W893" s="55"/>
      <c r="X893" s="55">
        <v>2</v>
      </c>
      <c r="Y893" s="55"/>
      <c r="Z893" s="55">
        <v>0</v>
      </c>
      <c r="AA893" s="55">
        <v>11</v>
      </c>
      <c r="AB893" s="57">
        <f>100/(SUM(I893:Z893))</f>
        <v>1.1235955056179776</v>
      </c>
      <c r="AC893" s="259">
        <f>SUM(I893:AA893)</f>
        <v>100</v>
      </c>
      <c r="AD893" s="55"/>
      <c r="AE893" s="55"/>
      <c r="AF893" s="55"/>
      <c r="AG893" s="58" t="s">
        <v>127</v>
      </c>
      <c r="AH893" s="266" t="s">
        <v>2070</v>
      </c>
      <c r="AI893" s="59" t="s">
        <v>699</v>
      </c>
      <c r="AJ893" s="59"/>
      <c r="AK893" s="53" t="s">
        <v>700</v>
      </c>
      <c r="AL893" s="58">
        <f>(B893-DATE(1970,1,1))*86400</f>
        <v>1647388800</v>
      </c>
      <c r="AM893" s="58">
        <f>(C893-DATE(1970,1,1))*86400</f>
        <v>1647561600</v>
      </c>
      <c r="AN893" s="58">
        <f>AVERAGE(AL893:AM893)</f>
        <v>1647475200</v>
      </c>
    </row>
    <row r="894" spans="1:40" ht="15.75" customHeight="1" x14ac:dyDescent="0.2">
      <c r="A894" s="288" t="s">
        <v>133</v>
      </c>
      <c r="B894" s="60">
        <v>44636</v>
      </c>
      <c r="C894" s="60">
        <v>44638</v>
      </c>
      <c r="D894" s="61" t="s">
        <v>168</v>
      </c>
      <c r="E894" s="334" t="s">
        <v>125</v>
      </c>
      <c r="F894" s="61" t="s">
        <v>390</v>
      </c>
      <c r="G894" s="61" t="s">
        <v>126</v>
      </c>
      <c r="H894" s="334">
        <v>1000</v>
      </c>
      <c r="I894" s="63">
        <v>41</v>
      </c>
      <c r="J894" s="63"/>
      <c r="K894" s="63"/>
      <c r="L894" s="63"/>
      <c r="M894" s="63"/>
      <c r="N894" s="63"/>
      <c r="O894" s="63"/>
      <c r="P894" s="63"/>
      <c r="Q894" s="63"/>
      <c r="R894" s="64"/>
      <c r="S894" s="63"/>
      <c r="T894" s="63"/>
      <c r="U894" s="63">
        <v>39</v>
      </c>
      <c r="V894" s="63">
        <v>1</v>
      </c>
      <c r="W894" s="63"/>
      <c r="X894" s="63">
        <v>3</v>
      </c>
      <c r="Y894" s="63"/>
      <c r="Z894" s="63">
        <v>0</v>
      </c>
      <c r="AA894" s="63">
        <v>16</v>
      </c>
      <c r="AB894" s="65">
        <f>100/(SUM(I894:Z894))</f>
        <v>1.1904761904761905</v>
      </c>
      <c r="AC894" s="259">
        <f>SUM(I894:AA894)</f>
        <v>100</v>
      </c>
      <c r="AD894" s="63"/>
      <c r="AE894" s="64"/>
      <c r="AF894" s="64"/>
      <c r="AG894" s="66" t="s">
        <v>127</v>
      </c>
      <c r="AH894" s="67" t="s">
        <v>701</v>
      </c>
      <c r="AI894" s="67" t="s">
        <v>702</v>
      </c>
      <c r="AJ894" s="67"/>
      <c r="AK894" s="61"/>
      <c r="AL894" s="66">
        <f>(B894-DATE(1970,1,1))*86400</f>
        <v>1647388800</v>
      </c>
      <c r="AM894" s="66">
        <f>(C894-DATE(1970,1,1))*86400</f>
        <v>1647561600</v>
      </c>
      <c r="AN894" s="66">
        <f>AVERAGE(AL894:AM894)</f>
        <v>1647475200</v>
      </c>
    </row>
    <row r="895" spans="1:40" ht="15.75" customHeight="1" x14ac:dyDescent="0.2">
      <c r="A895" s="288" t="s">
        <v>133</v>
      </c>
      <c r="B895" s="60">
        <v>44636</v>
      </c>
      <c r="C895" s="60">
        <v>44638</v>
      </c>
      <c r="D895" s="61" t="s">
        <v>168</v>
      </c>
      <c r="E895" s="334" t="s">
        <v>125</v>
      </c>
      <c r="F895" s="61" t="s">
        <v>390</v>
      </c>
      <c r="G895" s="61" t="s">
        <v>126</v>
      </c>
      <c r="H895" s="334">
        <v>1000</v>
      </c>
      <c r="I895" s="63">
        <v>49</v>
      </c>
      <c r="J895" s="63"/>
      <c r="K895" s="63"/>
      <c r="L895" s="63"/>
      <c r="M895" s="63"/>
      <c r="N895" s="63"/>
      <c r="O895" s="63"/>
      <c r="P895" s="63"/>
      <c r="Q895" s="63"/>
      <c r="R895" s="64"/>
      <c r="S895" s="63"/>
      <c r="T895" s="63"/>
      <c r="U895" s="63">
        <v>46</v>
      </c>
      <c r="V895" s="63">
        <v>2</v>
      </c>
      <c r="W895" s="63"/>
      <c r="X895" s="63">
        <v>3</v>
      </c>
      <c r="Y895" s="63"/>
      <c r="Z895" s="63">
        <v>0</v>
      </c>
      <c r="AA895" s="63">
        <v>0</v>
      </c>
      <c r="AB895" s="65">
        <f>100/(SUM(I895:Z895))</f>
        <v>1</v>
      </c>
      <c r="AC895" s="259">
        <f>SUM(I895:AA895)</f>
        <v>100</v>
      </c>
      <c r="AD895" s="63"/>
      <c r="AE895" s="63"/>
      <c r="AF895" s="63"/>
      <c r="AG895" s="66" t="s">
        <v>127</v>
      </c>
      <c r="AH895" s="67" t="s">
        <v>701</v>
      </c>
      <c r="AI895" s="67" t="s">
        <v>702</v>
      </c>
      <c r="AJ895" s="67"/>
      <c r="AK895" s="61"/>
      <c r="AL895" s="66">
        <f>(B895-DATE(1970,1,1))*86400</f>
        <v>1647388800</v>
      </c>
      <c r="AM895" s="66">
        <f>(C895-DATE(1970,1,1))*86400</f>
        <v>1647561600</v>
      </c>
      <c r="AN895" s="66">
        <f>AVERAGE(AL895:AM895)</f>
        <v>1647475200</v>
      </c>
    </row>
    <row r="896" spans="1:40" ht="15.75" customHeight="1" x14ac:dyDescent="0.2">
      <c r="A896" s="281" t="s">
        <v>133</v>
      </c>
      <c r="B896" s="54">
        <v>44627</v>
      </c>
      <c r="C896" s="54">
        <v>44631</v>
      </c>
      <c r="D896" s="53" t="s">
        <v>154</v>
      </c>
      <c r="E896" s="323" t="s">
        <v>125</v>
      </c>
      <c r="F896" s="53" t="s">
        <v>390</v>
      </c>
      <c r="G896" s="53" t="s">
        <v>126</v>
      </c>
      <c r="H896" s="357">
        <v>1001</v>
      </c>
      <c r="I896" s="55">
        <v>33</v>
      </c>
      <c r="J896" s="55"/>
      <c r="K896" s="55"/>
      <c r="L896" s="55"/>
      <c r="M896" s="55"/>
      <c r="N896" s="55"/>
      <c r="O896" s="55"/>
      <c r="P896" s="55"/>
      <c r="Q896" s="55"/>
      <c r="R896" s="56"/>
      <c r="S896" s="55"/>
      <c r="T896" s="55"/>
      <c r="U896" s="55">
        <v>31</v>
      </c>
      <c r="V896" s="55">
        <v>1</v>
      </c>
      <c r="W896" s="55"/>
      <c r="X896" s="55">
        <v>2</v>
      </c>
      <c r="Y896" s="55"/>
      <c r="Z896" s="55">
        <v>1</v>
      </c>
      <c r="AA896" s="55">
        <v>32</v>
      </c>
      <c r="AB896" s="57">
        <f>100/(SUM(I896:Z896))</f>
        <v>1.4705882352941178</v>
      </c>
      <c r="AC896" s="259">
        <f>SUM(I896:AA896)</f>
        <v>100</v>
      </c>
      <c r="AD896" s="55"/>
      <c r="AE896" s="55"/>
      <c r="AF896" s="55"/>
      <c r="AG896" s="58" t="s">
        <v>155</v>
      </c>
      <c r="AH896" s="59" t="s">
        <v>703</v>
      </c>
      <c r="AI896" s="59" t="s">
        <v>704</v>
      </c>
      <c r="AJ896" s="59" t="s">
        <v>705</v>
      </c>
      <c r="AK896" s="53"/>
      <c r="AL896" s="58">
        <f>(B896-DATE(1970,1,1))*86400</f>
        <v>1646611200</v>
      </c>
      <c r="AM896" s="58">
        <f>(C896-DATE(1970,1,1))*86400</f>
        <v>1646956800</v>
      </c>
      <c r="AN896" s="58">
        <f>AVERAGE(AL896:AM896)</f>
        <v>1646784000</v>
      </c>
    </row>
    <row r="897" spans="1:40" ht="15.75" customHeight="1" x14ac:dyDescent="0.2">
      <c r="A897" s="279" t="s">
        <v>123</v>
      </c>
      <c r="B897" s="14">
        <v>44627</v>
      </c>
      <c r="C897" s="14">
        <v>44629</v>
      </c>
      <c r="D897" s="13" t="s">
        <v>124</v>
      </c>
      <c r="E897" s="324" t="s">
        <v>125</v>
      </c>
      <c r="F897" s="13" t="s">
        <v>140</v>
      </c>
      <c r="G897" s="13" t="s">
        <v>126</v>
      </c>
      <c r="H897" s="372">
        <v>1000</v>
      </c>
      <c r="I897" s="15"/>
      <c r="J897" s="15"/>
      <c r="K897" s="15"/>
      <c r="L897" s="15"/>
      <c r="M897" s="15"/>
      <c r="N897" s="15"/>
      <c r="O897" s="15"/>
      <c r="P897" s="15"/>
      <c r="Q897" s="15"/>
      <c r="R897" s="15"/>
      <c r="S897" s="15"/>
      <c r="T897" s="15"/>
      <c r="U897" s="15"/>
      <c r="V897" s="15"/>
      <c r="W897" s="15"/>
      <c r="X897" s="15"/>
      <c r="Y897" s="15"/>
      <c r="Z897" s="15"/>
      <c r="AA897" s="15"/>
      <c r="AB897" s="16" t="e">
        <f>100/(SUM(I897:Z897))</f>
        <v>#DIV/0!</v>
      </c>
      <c r="AC897" s="259">
        <f>SUM(I897:AA897)</f>
        <v>0</v>
      </c>
      <c r="AD897" s="15"/>
      <c r="AE897" s="98"/>
      <c r="AF897" s="15"/>
      <c r="AG897" s="17" t="s">
        <v>127</v>
      </c>
      <c r="AH897" s="18"/>
      <c r="AI897" s="18"/>
      <c r="AJ897" s="18" t="s">
        <v>706</v>
      </c>
      <c r="AK897" s="13"/>
      <c r="AL897" s="17">
        <f>(B897-DATE(1970,1,1))*86400</f>
        <v>1646611200</v>
      </c>
      <c r="AM897" s="17">
        <f>(C897-DATE(1970,1,1))*86400</f>
        <v>1646784000</v>
      </c>
      <c r="AN897" s="17">
        <f>AVERAGE(AL897:AM897)</f>
        <v>1646697600</v>
      </c>
    </row>
    <row r="898" spans="1:40" ht="15.75" customHeight="1" x14ac:dyDescent="0.2">
      <c r="A898" s="296" t="s">
        <v>133</v>
      </c>
      <c r="B898" s="100">
        <v>44627</v>
      </c>
      <c r="C898" s="100">
        <v>44628</v>
      </c>
      <c r="D898" s="99" t="s">
        <v>276</v>
      </c>
      <c r="E898" s="326" t="s">
        <v>125</v>
      </c>
      <c r="F898" s="99" t="s">
        <v>2528</v>
      </c>
      <c r="G898" s="99" t="s">
        <v>126</v>
      </c>
      <c r="H898" s="326">
        <v>800</v>
      </c>
      <c r="I898" s="101">
        <v>38</v>
      </c>
      <c r="J898" s="101"/>
      <c r="K898" s="101"/>
      <c r="L898" s="101"/>
      <c r="M898" s="101"/>
      <c r="N898" s="101"/>
      <c r="O898" s="101"/>
      <c r="P898" s="101"/>
      <c r="Q898" s="101"/>
      <c r="R898" s="101"/>
      <c r="S898" s="101"/>
      <c r="T898" s="101"/>
      <c r="U898" s="101">
        <v>42</v>
      </c>
      <c r="V898" s="101">
        <v>9</v>
      </c>
      <c r="W898" s="101"/>
      <c r="X898" s="101">
        <v>0</v>
      </c>
      <c r="Y898" s="101"/>
      <c r="Z898" s="101">
        <v>2</v>
      </c>
      <c r="AA898" s="101">
        <v>9</v>
      </c>
      <c r="AB898" s="102">
        <f>100/(SUM(I898:Z898))</f>
        <v>1.098901098901099</v>
      </c>
      <c r="AC898" s="259">
        <f>SUM(I898:AA898)</f>
        <v>100</v>
      </c>
      <c r="AD898" s="101"/>
      <c r="AE898" s="101"/>
      <c r="AF898" s="101"/>
      <c r="AG898" s="103" t="s">
        <v>707</v>
      </c>
      <c r="AH898" s="104" t="s">
        <v>708</v>
      </c>
      <c r="AI898" s="104" t="s">
        <v>709</v>
      </c>
      <c r="AJ898" s="99"/>
      <c r="AK898" s="99" t="s">
        <v>710</v>
      </c>
      <c r="AL898" s="103">
        <f>(B898-DATE(1970,1,1))*86400</f>
        <v>1646611200</v>
      </c>
      <c r="AM898" s="103">
        <f>(C898-DATE(1970,1,1))*86400</f>
        <v>1646697600</v>
      </c>
      <c r="AN898" s="103">
        <f>AVERAGE(AL898:AM898)</f>
        <v>1646654400</v>
      </c>
    </row>
    <row r="899" spans="1:40" ht="15.75" customHeight="1" x14ac:dyDescent="0.2">
      <c r="A899" s="284" t="s">
        <v>133</v>
      </c>
      <c r="B899" s="20">
        <v>44622</v>
      </c>
      <c r="C899" s="20">
        <v>44631</v>
      </c>
      <c r="D899" s="19" t="s">
        <v>134</v>
      </c>
      <c r="E899" s="332" t="s">
        <v>125</v>
      </c>
      <c r="F899" s="19"/>
      <c r="G899" s="19" t="s">
        <v>135</v>
      </c>
      <c r="H899" s="332">
        <v>2000</v>
      </c>
      <c r="I899" s="21">
        <v>38</v>
      </c>
      <c r="J899" s="21">
        <v>3</v>
      </c>
      <c r="K899" s="21">
        <v>10</v>
      </c>
      <c r="L899" s="21">
        <v>1</v>
      </c>
      <c r="M899" s="21">
        <v>12</v>
      </c>
      <c r="N899" s="21"/>
      <c r="O899" s="21">
        <v>2</v>
      </c>
      <c r="P899" s="21">
        <v>5</v>
      </c>
      <c r="Q899" s="21"/>
      <c r="R899" s="22"/>
      <c r="S899" s="21"/>
      <c r="T899" s="21"/>
      <c r="U899" s="21"/>
      <c r="V899" s="21">
        <v>3</v>
      </c>
      <c r="W899" s="21"/>
      <c r="X899" s="21">
        <v>3</v>
      </c>
      <c r="Y899" s="21"/>
      <c r="Z899" s="21">
        <v>0</v>
      </c>
      <c r="AA899" s="21">
        <v>23</v>
      </c>
      <c r="AB899" s="23">
        <f>100/(SUM(I899:Z899))</f>
        <v>1.2987012987012987</v>
      </c>
      <c r="AC899" s="259">
        <f>SUM(I899:AA899)</f>
        <v>100</v>
      </c>
      <c r="AD899" s="24"/>
      <c r="AE899" s="24"/>
      <c r="AF899" s="24"/>
      <c r="AG899" s="25" t="s">
        <v>127</v>
      </c>
      <c r="AH899" s="26" t="s">
        <v>711</v>
      </c>
      <c r="AI899" s="83" t="s">
        <v>713</v>
      </c>
      <c r="AJ899" s="83"/>
      <c r="AK899" s="19"/>
      <c r="AL899" s="25">
        <f>(B899-DATE(1970,1,1))*86400</f>
        <v>1646179200</v>
      </c>
      <c r="AM899" s="25">
        <f>(C899-DATE(1970,1,1))*86400</f>
        <v>1646956800</v>
      </c>
      <c r="AN899" s="25">
        <f>AVERAGE(AL899:AM899)</f>
        <v>1646568000</v>
      </c>
    </row>
    <row r="900" spans="1:40" ht="15.75" customHeight="1" x14ac:dyDescent="0.2">
      <c r="A900" s="284" t="s">
        <v>133</v>
      </c>
      <c r="B900" s="20">
        <v>44622</v>
      </c>
      <c r="C900" s="20">
        <v>44631</v>
      </c>
      <c r="D900" s="19" t="s">
        <v>134</v>
      </c>
      <c r="E900" s="332" t="s">
        <v>125</v>
      </c>
      <c r="F900" s="19" t="s">
        <v>390</v>
      </c>
      <c r="G900" s="19" t="s">
        <v>135</v>
      </c>
      <c r="H900" s="332">
        <v>2000</v>
      </c>
      <c r="I900" s="21">
        <v>40</v>
      </c>
      <c r="J900" s="21"/>
      <c r="K900" s="21"/>
      <c r="L900" s="21"/>
      <c r="M900" s="21"/>
      <c r="N900" s="21"/>
      <c r="O900" s="21"/>
      <c r="P900" s="21"/>
      <c r="Q900" s="21"/>
      <c r="R900" s="22"/>
      <c r="S900" s="21"/>
      <c r="T900" s="21"/>
      <c r="U900" s="21">
        <v>37</v>
      </c>
      <c r="V900" s="21">
        <v>2</v>
      </c>
      <c r="W900" s="21"/>
      <c r="X900" s="21">
        <v>3</v>
      </c>
      <c r="Y900" s="21"/>
      <c r="Z900" s="21">
        <v>1</v>
      </c>
      <c r="AA900" s="21">
        <v>17</v>
      </c>
      <c r="AB900" s="23">
        <f>100/(SUM(I900:Z900))</f>
        <v>1.2048192771084338</v>
      </c>
      <c r="AC900" s="259">
        <f>SUM(I900:AA900)</f>
        <v>100</v>
      </c>
      <c r="AD900" s="24"/>
      <c r="AE900" s="24"/>
      <c r="AF900" s="24"/>
      <c r="AG900" s="25" t="s">
        <v>127</v>
      </c>
      <c r="AH900" s="26" t="s">
        <v>711</v>
      </c>
      <c r="AI900" s="83" t="s">
        <v>712</v>
      </c>
      <c r="AJ900" s="83"/>
      <c r="AK900" s="19"/>
      <c r="AL900" s="25">
        <f>(B900-DATE(1970,1,1))*86400</f>
        <v>1646179200</v>
      </c>
      <c r="AM900" s="25">
        <f>(C900-DATE(1970,1,1))*86400</f>
        <v>1646956800</v>
      </c>
      <c r="AN900" s="25">
        <f>AVERAGE(AL900:AM900)</f>
        <v>1646568000</v>
      </c>
    </row>
    <row r="901" spans="1:40" ht="15.75" customHeight="1" x14ac:dyDescent="0.2">
      <c r="A901" s="284" t="s">
        <v>123</v>
      </c>
      <c r="B901" s="20">
        <v>44622</v>
      </c>
      <c r="C901" s="20">
        <v>44631</v>
      </c>
      <c r="D901" s="19" t="s">
        <v>134</v>
      </c>
      <c r="E901" s="332" t="s">
        <v>125</v>
      </c>
      <c r="F901" s="19" t="s">
        <v>390</v>
      </c>
      <c r="G901" s="19" t="s">
        <v>135</v>
      </c>
      <c r="H901" s="332">
        <v>2000</v>
      </c>
      <c r="I901" s="21">
        <v>50</v>
      </c>
      <c r="J901" s="21"/>
      <c r="K901" s="21"/>
      <c r="L901" s="21"/>
      <c r="M901" s="21"/>
      <c r="N901" s="21"/>
      <c r="O901" s="21"/>
      <c r="P901" s="21"/>
      <c r="Q901" s="21"/>
      <c r="R901" s="22"/>
      <c r="S901" s="21"/>
      <c r="T901" s="21"/>
      <c r="U901" s="21">
        <v>43</v>
      </c>
      <c r="V901" s="21">
        <v>3</v>
      </c>
      <c r="W901" s="21"/>
      <c r="X901" s="21">
        <v>4</v>
      </c>
      <c r="Y901" s="21"/>
      <c r="Z901" s="21">
        <v>0</v>
      </c>
      <c r="AA901" s="21">
        <v>0</v>
      </c>
      <c r="AB901" s="23">
        <f>100/(SUM(I901:Z901))</f>
        <v>1</v>
      </c>
      <c r="AC901" s="259">
        <f>SUM(I901:AA901)</f>
        <v>100</v>
      </c>
      <c r="AD901" s="24"/>
      <c r="AE901" s="24"/>
      <c r="AF901" s="24"/>
      <c r="AG901" s="25" t="s">
        <v>127</v>
      </c>
      <c r="AH901" s="26" t="s">
        <v>711</v>
      </c>
      <c r="AI901" s="83" t="s">
        <v>712</v>
      </c>
      <c r="AJ901" s="83"/>
      <c r="AK901" s="19"/>
      <c r="AL901" s="25">
        <f>(B901-DATE(1970,1,1))*86400</f>
        <v>1646179200</v>
      </c>
      <c r="AM901" s="25">
        <f>(C901-DATE(1970,1,1))*86400</f>
        <v>1646956800</v>
      </c>
      <c r="AN901" s="25">
        <f>AVERAGE(AL901:AM901)</f>
        <v>1646568000</v>
      </c>
    </row>
    <row r="902" spans="1:40" ht="15.75" customHeight="1" x14ac:dyDescent="0.2">
      <c r="A902" s="284" t="s">
        <v>123</v>
      </c>
      <c r="B902" s="20">
        <v>44622</v>
      </c>
      <c r="C902" s="20">
        <v>44631</v>
      </c>
      <c r="D902" s="19" t="s">
        <v>134</v>
      </c>
      <c r="E902" s="332" t="s">
        <v>125</v>
      </c>
      <c r="F902" s="19"/>
      <c r="G902" s="19" t="s">
        <v>135</v>
      </c>
      <c r="H902" s="332">
        <v>2000</v>
      </c>
      <c r="I902" s="21">
        <v>50</v>
      </c>
      <c r="J902" s="21">
        <v>4</v>
      </c>
      <c r="K902" s="21">
        <v>12</v>
      </c>
      <c r="L902" s="21">
        <v>1</v>
      </c>
      <c r="M902" s="21">
        <v>17</v>
      </c>
      <c r="N902" s="21"/>
      <c r="O902" s="21">
        <v>2</v>
      </c>
      <c r="P902" s="21">
        <v>7</v>
      </c>
      <c r="Q902" s="21"/>
      <c r="R902" s="22"/>
      <c r="S902" s="21"/>
      <c r="T902" s="21"/>
      <c r="U902" s="21"/>
      <c r="V902" s="21">
        <v>3</v>
      </c>
      <c r="W902" s="21"/>
      <c r="X902" s="21">
        <v>3</v>
      </c>
      <c r="Y902" s="21"/>
      <c r="Z902" s="21">
        <v>1</v>
      </c>
      <c r="AA902" s="21">
        <v>0</v>
      </c>
      <c r="AB902" s="23">
        <f>100/(SUM(I902:Z902))</f>
        <v>1</v>
      </c>
      <c r="AC902" s="259">
        <f>SUM(I902:AA902)</f>
        <v>100</v>
      </c>
      <c r="AD902" s="24"/>
      <c r="AE902" s="24"/>
      <c r="AF902" s="24"/>
      <c r="AG902" s="25" t="s">
        <v>127</v>
      </c>
      <c r="AH902" s="26" t="s">
        <v>711</v>
      </c>
      <c r="AI902" s="83" t="s">
        <v>713</v>
      </c>
      <c r="AJ902" s="83"/>
      <c r="AK902" s="19"/>
      <c r="AL902" s="25">
        <f>(B902-DATE(1970,1,1))*86400</f>
        <v>1646179200</v>
      </c>
      <c r="AM902" s="25">
        <f>(C902-DATE(1970,1,1))*86400</f>
        <v>1646956800</v>
      </c>
      <c r="AN902" s="25">
        <f>AVERAGE(AL902:AM902)</f>
        <v>1646568000</v>
      </c>
    </row>
    <row r="903" spans="1:40" ht="15.75" customHeight="1" x14ac:dyDescent="0.2">
      <c r="A903" s="291" t="s">
        <v>133</v>
      </c>
      <c r="B903" s="48">
        <v>44621</v>
      </c>
      <c r="C903" s="48">
        <v>44623</v>
      </c>
      <c r="D903" s="47" t="s">
        <v>152</v>
      </c>
      <c r="E903" s="337" t="s">
        <v>184</v>
      </c>
      <c r="F903" s="47" t="s">
        <v>140</v>
      </c>
      <c r="G903" s="47" t="s">
        <v>126</v>
      </c>
      <c r="H903" s="370">
        <v>1000</v>
      </c>
      <c r="I903" s="49"/>
      <c r="J903" s="49"/>
      <c r="K903" s="49"/>
      <c r="L903" s="49"/>
      <c r="M903" s="49"/>
      <c r="N903" s="49"/>
      <c r="O903" s="49"/>
      <c r="P903" s="49"/>
      <c r="Q903" s="49"/>
      <c r="R903" s="49"/>
      <c r="S903" s="49"/>
      <c r="T903" s="49"/>
      <c r="U903" s="49"/>
      <c r="V903" s="49"/>
      <c r="W903" s="49"/>
      <c r="X903" s="49"/>
      <c r="Y903" s="49"/>
      <c r="Z903" s="113"/>
      <c r="AA903" s="49"/>
      <c r="AB903" s="50" t="e">
        <f>100/(SUM(I903:Z903))</f>
        <v>#DIV/0!</v>
      </c>
      <c r="AC903" s="259">
        <f>SUM(I903:AA903)</f>
        <v>0</v>
      </c>
      <c r="AD903" s="49"/>
      <c r="AE903" s="113"/>
      <c r="AF903" s="49"/>
      <c r="AG903" s="51" t="s">
        <v>127</v>
      </c>
      <c r="AH903" s="52"/>
      <c r="AI903" s="52"/>
      <c r="AJ903" s="52" t="s">
        <v>714</v>
      </c>
      <c r="AK903" s="47" t="s">
        <v>715</v>
      </c>
      <c r="AL903" s="51">
        <f>(B903-DATE(1970,1,1))*86400</f>
        <v>1646092800</v>
      </c>
      <c r="AM903" s="51">
        <f>(C903-DATE(1970,1,1))*86400</f>
        <v>1646265600</v>
      </c>
      <c r="AN903" s="51">
        <f>AVERAGE(AL903:AM903)</f>
        <v>1646179200</v>
      </c>
    </row>
    <row r="904" spans="1:40" ht="15.75" customHeight="1" x14ac:dyDescent="0.2">
      <c r="A904" s="302" t="s">
        <v>133</v>
      </c>
      <c r="B904" s="122">
        <v>44618</v>
      </c>
      <c r="C904" s="122">
        <v>44625</v>
      </c>
      <c r="D904" s="121" t="s">
        <v>718</v>
      </c>
      <c r="E904" s="322" t="s">
        <v>184</v>
      </c>
      <c r="F904" s="121"/>
      <c r="G904" s="121" t="s">
        <v>126</v>
      </c>
      <c r="H904" s="369">
        <v>1000</v>
      </c>
      <c r="I904" s="123">
        <v>43</v>
      </c>
      <c r="J904" s="123">
        <v>2</v>
      </c>
      <c r="K904" s="123">
        <v>3</v>
      </c>
      <c r="L904" s="123">
        <v>1</v>
      </c>
      <c r="M904" s="123">
        <v>10</v>
      </c>
      <c r="N904" s="123"/>
      <c r="O904" s="123">
        <v>0</v>
      </c>
      <c r="P904" s="123">
        <v>4</v>
      </c>
      <c r="Q904" s="123"/>
      <c r="R904" s="124"/>
      <c r="S904" s="123">
        <v>3</v>
      </c>
      <c r="T904" s="123"/>
      <c r="U904" s="123"/>
      <c r="V904" s="123">
        <v>2</v>
      </c>
      <c r="W904" s="123"/>
      <c r="X904" s="123">
        <v>3</v>
      </c>
      <c r="Y904" s="123"/>
      <c r="Z904" s="123">
        <v>2</v>
      </c>
      <c r="AA904" s="123">
        <v>26</v>
      </c>
      <c r="AB904" s="125">
        <f>100/(SUM(I904:Z904))</f>
        <v>1.3698630136986301</v>
      </c>
      <c r="AC904" s="259">
        <f>SUM(I904:AA904)</f>
        <v>99</v>
      </c>
      <c r="AD904" s="123"/>
      <c r="AE904" s="123"/>
      <c r="AF904" s="123"/>
      <c r="AG904" s="126" t="s">
        <v>719</v>
      </c>
      <c r="AH904" s="127" t="s">
        <v>720</v>
      </c>
      <c r="AI904" s="127"/>
      <c r="AJ904" s="127"/>
      <c r="AK904" s="121" t="s">
        <v>1989</v>
      </c>
      <c r="AL904" s="126">
        <f>(B904-DATE(1970,1,1))*86400</f>
        <v>1645833600</v>
      </c>
      <c r="AM904" s="126">
        <f>(C904-DATE(1970,1,1))*86400</f>
        <v>1646438400</v>
      </c>
      <c r="AN904" s="126">
        <f>AVERAGE(AL904:AM904)</f>
        <v>1646136000</v>
      </c>
    </row>
    <row r="905" spans="1:40" ht="15.75" customHeight="1" x14ac:dyDescent="0.2">
      <c r="A905" s="302" t="s">
        <v>133</v>
      </c>
      <c r="B905" s="122">
        <v>44618</v>
      </c>
      <c r="C905" s="122">
        <v>44625</v>
      </c>
      <c r="D905" s="121" t="s">
        <v>718</v>
      </c>
      <c r="E905" s="322" t="s">
        <v>184</v>
      </c>
      <c r="F905" s="121" t="s">
        <v>2049</v>
      </c>
      <c r="G905" s="121" t="s">
        <v>126</v>
      </c>
      <c r="H905" s="369">
        <v>1000</v>
      </c>
      <c r="I905" s="123">
        <v>42</v>
      </c>
      <c r="J905" s="123"/>
      <c r="K905" s="123"/>
      <c r="L905" s="123"/>
      <c r="M905" s="123"/>
      <c r="N905" s="123"/>
      <c r="O905" s="123"/>
      <c r="P905" s="123"/>
      <c r="Q905" s="123"/>
      <c r="R905" s="124"/>
      <c r="S905" s="123"/>
      <c r="T905" s="123"/>
      <c r="U905" s="123">
        <v>36</v>
      </c>
      <c r="V905" s="123"/>
      <c r="W905" s="123"/>
      <c r="X905" s="123"/>
      <c r="Y905" s="123"/>
      <c r="Z905" s="123"/>
      <c r="AA905" s="123">
        <v>22</v>
      </c>
      <c r="AB905" s="125">
        <f>100/(SUM(I905:Z905))</f>
        <v>1.2820512820512822</v>
      </c>
      <c r="AC905" s="259">
        <f>SUM(I905:AA905)</f>
        <v>100</v>
      </c>
      <c r="AD905" s="123">
        <v>55</v>
      </c>
      <c r="AE905" s="123"/>
      <c r="AF905" s="123"/>
      <c r="AG905" s="126" t="s">
        <v>719</v>
      </c>
      <c r="AH905" s="127" t="s">
        <v>720</v>
      </c>
      <c r="AI905" s="127"/>
      <c r="AJ905" s="127"/>
      <c r="AK905" s="121"/>
      <c r="AL905" s="126">
        <f>(B905-DATE(1970,1,1))*86400</f>
        <v>1645833600</v>
      </c>
      <c r="AM905" s="126">
        <f>(C905-DATE(1970,1,1))*86400</f>
        <v>1646438400</v>
      </c>
      <c r="AN905" s="126">
        <f>AVERAGE(AL905:AM905)</f>
        <v>1646136000</v>
      </c>
    </row>
    <row r="906" spans="1:40" ht="15.75" customHeight="1" x14ac:dyDescent="0.2">
      <c r="A906" s="302" t="s">
        <v>123</v>
      </c>
      <c r="B906" s="122">
        <v>44618</v>
      </c>
      <c r="C906" s="122">
        <v>44625</v>
      </c>
      <c r="D906" s="121" t="s">
        <v>718</v>
      </c>
      <c r="E906" s="322" t="s">
        <v>184</v>
      </c>
      <c r="F906" s="121" t="s">
        <v>2049</v>
      </c>
      <c r="G906" s="121" t="s">
        <v>126</v>
      </c>
      <c r="H906" s="369">
        <v>1000</v>
      </c>
      <c r="I906" s="123">
        <v>46</v>
      </c>
      <c r="J906" s="123"/>
      <c r="K906" s="123"/>
      <c r="L906" s="123"/>
      <c r="M906" s="123"/>
      <c r="N906" s="123"/>
      <c r="O906" s="123"/>
      <c r="P906" s="123"/>
      <c r="Q906" s="123"/>
      <c r="R906" s="124"/>
      <c r="S906" s="123"/>
      <c r="T906" s="123"/>
      <c r="U906" s="123">
        <v>39</v>
      </c>
      <c r="V906" s="123"/>
      <c r="W906" s="123"/>
      <c r="X906" s="123"/>
      <c r="Y906" s="123"/>
      <c r="Z906" s="123"/>
      <c r="AA906" s="123">
        <v>15</v>
      </c>
      <c r="AB906" s="125">
        <f>100/(SUM(I906:Z906))</f>
        <v>1.1764705882352942</v>
      </c>
      <c r="AC906" s="259">
        <f>SUM(I906:AA906)</f>
        <v>100</v>
      </c>
      <c r="AD906" s="123"/>
      <c r="AE906" s="123"/>
      <c r="AF906" s="123"/>
      <c r="AG906" s="126" t="s">
        <v>719</v>
      </c>
      <c r="AH906" s="127" t="s">
        <v>720</v>
      </c>
      <c r="AI906" s="127"/>
      <c r="AJ906" s="127"/>
      <c r="AK906" s="121" t="s">
        <v>1988</v>
      </c>
      <c r="AL906" s="126">
        <f>(B906-DATE(1970,1,1))*86400</f>
        <v>1645833600</v>
      </c>
      <c r="AM906" s="126">
        <f>(C906-DATE(1970,1,1))*86400</f>
        <v>1646438400</v>
      </c>
      <c r="AN906" s="126">
        <f>AVERAGE(AL906:AM906)</f>
        <v>1646136000</v>
      </c>
    </row>
    <row r="907" spans="1:40" ht="15.75" customHeight="1" x14ac:dyDescent="0.2">
      <c r="A907" s="302" t="s">
        <v>123</v>
      </c>
      <c r="B907" s="122">
        <v>44618</v>
      </c>
      <c r="C907" s="122">
        <v>44625</v>
      </c>
      <c r="D907" s="121" t="s">
        <v>718</v>
      </c>
      <c r="E907" s="322" t="s">
        <v>184</v>
      </c>
      <c r="F907" s="121" t="s">
        <v>2049</v>
      </c>
      <c r="G907" s="121" t="s">
        <v>126</v>
      </c>
      <c r="H907" s="369">
        <v>1000</v>
      </c>
      <c r="I907" s="123">
        <v>54</v>
      </c>
      <c r="J907" s="123"/>
      <c r="K907" s="123"/>
      <c r="L907" s="123"/>
      <c r="M907" s="123"/>
      <c r="N907" s="123"/>
      <c r="O907" s="123"/>
      <c r="P907" s="123"/>
      <c r="Q907" s="123"/>
      <c r="R907" s="124"/>
      <c r="S907" s="123"/>
      <c r="T907" s="123"/>
      <c r="U907" s="123">
        <v>46</v>
      </c>
      <c r="V907" s="123"/>
      <c r="W907" s="123"/>
      <c r="X907" s="123"/>
      <c r="Y907" s="123"/>
      <c r="Z907" s="123"/>
      <c r="AA907" s="123">
        <v>0</v>
      </c>
      <c r="AB907" s="125">
        <f>100/(SUM(I907:Z907))</f>
        <v>1</v>
      </c>
      <c r="AC907" s="259">
        <f>SUM(I907:AA907)</f>
        <v>100</v>
      </c>
      <c r="AD907" s="123"/>
      <c r="AE907" s="123"/>
      <c r="AF907" s="123"/>
      <c r="AG907" s="126" t="s">
        <v>719</v>
      </c>
      <c r="AH907" s="127" t="s">
        <v>720</v>
      </c>
      <c r="AI907" s="127"/>
      <c r="AJ907" s="127"/>
      <c r="AK907" s="121" t="s">
        <v>1988</v>
      </c>
      <c r="AL907" s="126">
        <f>(B907-DATE(1970,1,1))*86400</f>
        <v>1645833600</v>
      </c>
      <c r="AM907" s="126">
        <f>(C907-DATE(1970,1,1))*86400</f>
        <v>1646438400</v>
      </c>
      <c r="AN907" s="126">
        <f>AVERAGE(AL907:AM907)</f>
        <v>1646136000</v>
      </c>
    </row>
    <row r="908" spans="1:40" ht="15.75" customHeight="1" x14ac:dyDescent="0.2">
      <c r="A908" s="281" t="s">
        <v>133</v>
      </c>
      <c r="B908" s="54">
        <v>44620</v>
      </c>
      <c r="C908" s="54">
        <v>44623</v>
      </c>
      <c r="D908" s="53" t="s">
        <v>154</v>
      </c>
      <c r="E908" s="323" t="s">
        <v>125</v>
      </c>
      <c r="F908" s="53" t="s">
        <v>390</v>
      </c>
      <c r="G908" s="53" t="s">
        <v>126</v>
      </c>
      <c r="H908" s="357">
        <v>802</v>
      </c>
      <c r="I908" s="55">
        <v>35</v>
      </c>
      <c r="J908" s="55"/>
      <c r="K908" s="55"/>
      <c r="L908" s="55"/>
      <c r="M908" s="55"/>
      <c r="N908" s="55"/>
      <c r="O908" s="55"/>
      <c r="P908" s="55"/>
      <c r="Q908" s="55"/>
      <c r="R908" s="56"/>
      <c r="S908" s="55"/>
      <c r="T908" s="55"/>
      <c r="U908" s="55">
        <v>30</v>
      </c>
      <c r="V908" s="56">
        <v>1</v>
      </c>
      <c r="W908" s="56"/>
      <c r="X908" s="56">
        <v>2</v>
      </c>
      <c r="Y908" s="56"/>
      <c r="Z908" s="56">
        <v>1</v>
      </c>
      <c r="AA908" s="56">
        <v>31</v>
      </c>
      <c r="AB908" s="57">
        <f>100/(SUM(I908:Z908))</f>
        <v>1.4492753623188406</v>
      </c>
      <c r="AC908" s="259">
        <f>SUM(I908:AA908)</f>
        <v>100</v>
      </c>
      <c r="AD908" s="55"/>
      <c r="AE908" s="55"/>
      <c r="AF908" s="55"/>
      <c r="AG908" s="58" t="s">
        <v>155</v>
      </c>
      <c r="AH908" s="59" t="s">
        <v>703</v>
      </c>
      <c r="AI908" s="59"/>
      <c r="AJ908" s="59" t="s">
        <v>716</v>
      </c>
      <c r="AK908" s="53" t="s">
        <v>717</v>
      </c>
      <c r="AL908" s="58">
        <f>(B908-DATE(1970,1,1))*86400</f>
        <v>1646006400</v>
      </c>
      <c r="AM908" s="58">
        <f>(C908-DATE(1970,1,1))*86400</f>
        <v>1646265600</v>
      </c>
      <c r="AN908" s="58">
        <f>AVERAGE(AL908:AM908)</f>
        <v>1646136000</v>
      </c>
    </row>
    <row r="909" spans="1:40" ht="15.75" customHeight="1" x14ac:dyDescent="0.2">
      <c r="A909" s="279" t="s">
        <v>123</v>
      </c>
      <c r="B909" s="14">
        <v>44620</v>
      </c>
      <c r="C909" s="14">
        <v>44622</v>
      </c>
      <c r="D909" s="13" t="s">
        <v>124</v>
      </c>
      <c r="E909" s="324" t="s">
        <v>125</v>
      </c>
      <c r="F909" s="13" t="s">
        <v>140</v>
      </c>
      <c r="G909" s="13" t="s">
        <v>126</v>
      </c>
      <c r="H909" s="372">
        <v>1000</v>
      </c>
      <c r="I909" s="15"/>
      <c r="J909" s="15"/>
      <c r="K909" s="15"/>
      <c r="L909" s="15"/>
      <c r="M909" s="15"/>
      <c r="N909" s="15"/>
      <c r="O909" s="15"/>
      <c r="P909" s="15"/>
      <c r="Q909" s="15"/>
      <c r="R909" s="15"/>
      <c r="S909" s="15"/>
      <c r="T909" s="15"/>
      <c r="U909" s="15"/>
      <c r="V909" s="15"/>
      <c r="W909" s="15"/>
      <c r="X909" s="15"/>
      <c r="Y909" s="15"/>
      <c r="Z909" s="15"/>
      <c r="AA909" s="15"/>
      <c r="AB909" s="16" t="e">
        <f>100/(SUM(I909:Z909))</f>
        <v>#DIV/0!</v>
      </c>
      <c r="AC909" s="259">
        <f>SUM(I909:AA909)</f>
        <v>0</v>
      </c>
      <c r="AD909" s="15"/>
      <c r="AE909" s="98"/>
      <c r="AF909" s="15"/>
      <c r="AG909" s="17" t="s">
        <v>127</v>
      </c>
      <c r="AH909" s="18"/>
      <c r="AI909" s="18"/>
      <c r="AJ909" s="18" t="s">
        <v>722</v>
      </c>
      <c r="AK909" s="13"/>
      <c r="AL909" s="17">
        <f>(B909-DATE(1970,1,1))*86400</f>
        <v>1646006400</v>
      </c>
      <c r="AM909" s="17">
        <f>(C909-DATE(1970,1,1))*86400</f>
        <v>1646179200</v>
      </c>
      <c r="AN909" s="17">
        <f>AVERAGE(AL909:AM909)</f>
        <v>1646092800</v>
      </c>
    </row>
    <row r="910" spans="1:40" ht="15.75" customHeight="1" x14ac:dyDescent="0.2">
      <c r="A910" s="286" t="s">
        <v>133</v>
      </c>
      <c r="B910" s="41">
        <v>44614</v>
      </c>
      <c r="C910" s="41">
        <v>44624</v>
      </c>
      <c r="D910" s="40" t="s">
        <v>148</v>
      </c>
      <c r="E910" s="325" t="s">
        <v>125</v>
      </c>
      <c r="F910" s="40" t="s">
        <v>140</v>
      </c>
      <c r="G910" s="40" t="s">
        <v>149</v>
      </c>
      <c r="H910" s="325">
        <v>1000</v>
      </c>
      <c r="I910" s="42"/>
      <c r="J910" s="42"/>
      <c r="K910" s="42"/>
      <c r="L910" s="42"/>
      <c r="M910" s="42"/>
      <c r="N910" s="42"/>
      <c r="O910" s="42"/>
      <c r="P910" s="42"/>
      <c r="Q910" s="42"/>
      <c r="R910" s="43"/>
      <c r="S910" s="42"/>
      <c r="T910" s="42"/>
      <c r="U910" s="42"/>
      <c r="V910" s="42"/>
      <c r="W910" s="42"/>
      <c r="X910" s="42"/>
      <c r="Y910" s="42"/>
      <c r="Z910" s="42"/>
      <c r="AA910" s="42"/>
      <c r="AB910" s="44" t="e">
        <f>100/(SUM(I910:Z910))</f>
        <v>#DIV/0!</v>
      </c>
      <c r="AC910" s="259">
        <f>SUM(I910:AA910)</f>
        <v>0</v>
      </c>
      <c r="AD910" s="42"/>
      <c r="AE910" s="43"/>
      <c r="AF910" s="43"/>
      <c r="AG910" s="45" t="s">
        <v>723</v>
      </c>
      <c r="AH910" s="42"/>
      <c r="AI910" s="46"/>
      <c r="AJ910" s="46" t="s">
        <v>724</v>
      </c>
      <c r="AK910" s="40"/>
      <c r="AL910" s="45">
        <f>(B910-DATE(1970,1,1))*86400</f>
        <v>1645488000</v>
      </c>
      <c r="AM910" s="45">
        <f>(C910-DATE(1970,1,1))*86400</f>
        <v>1646352000</v>
      </c>
      <c r="AN910" s="45">
        <f>AVERAGE(AL910:AM910)</f>
        <v>1645920000</v>
      </c>
    </row>
    <row r="911" spans="1:40" ht="15.75" customHeight="1" x14ac:dyDescent="0.2">
      <c r="A911" s="285" t="s">
        <v>133</v>
      </c>
      <c r="B911" s="34">
        <v>44614</v>
      </c>
      <c r="C911" s="34">
        <v>44618</v>
      </c>
      <c r="D911" s="33" t="s">
        <v>143</v>
      </c>
      <c r="E911" s="319" t="s">
        <v>125</v>
      </c>
      <c r="F911" s="33" t="s">
        <v>390</v>
      </c>
      <c r="G911" s="33" t="s">
        <v>126</v>
      </c>
      <c r="H911" s="353">
        <v>1100</v>
      </c>
      <c r="I911" s="35">
        <v>39</v>
      </c>
      <c r="J911" s="35"/>
      <c r="K911" s="35"/>
      <c r="L911" s="35"/>
      <c r="M911" s="35"/>
      <c r="N911" s="35"/>
      <c r="O911" s="35"/>
      <c r="P911" s="35"/>
      <c r="Q911" s="35"/>
      <c r="R911" s="36"/>
      <c r="S911" s="35"/>
      <c r="T911" s="35"/>
      <c r="U911" s="35">
        <v>32</v>
      </c>
      <c r="V911" s="35">
        <v>3</v>
      </c>
      <c r="W911" s="35"/>
      <c r="X911" s="35">
        <v>4</v>
      </c>
      <c r="Y911" s="35"/>
      <c r="Z911" s="35">
        <v>2</v>
      </c>
      <c r="AA911" s="35">
        <v>20</v>
      </c>
      <c r="AB911" s="37">
        <f>100/(SUM(I911:Z911))</f>
        <v>1.25</v>
      </c>
      <c r="AC911" s="259">
        <f>SUM(I911:AA911)</f>
        <v>100</v>
      </c>
      <c r="AD911" s="35">
        <v>75</v>
      </c>
      <c r="AE911" s="35"/>
      <c r="AF911" s="35"/>
      <c r="AG911" s="33" t="s">
        <v>144</v>
      </c>
      <c r="AH911" s="33" t="s">
        <v>165</v>
      </c>
      <c r="AI911" s="38" t="s">
        <v>725</v>
      </c>
      <c r="AJ911" s="38" t="s">
        <v>726</v>
      </c>
      <c r="AK911" s="33" t="s">
        <v>727</v>
      </c>
      <c r="AL911" s="39">
        <f>(B911-DATE(1970,1,1))*86400</f>
        <v>1645488000</v>
      </c>
      <c r="AM911" s="39">
        <f>(C911-DATE(1970,1,1))*86400</f>
        <v>1645833600</v>
      </c>
      <c r="AN911" s="39">
        <f>AVERAGE(AL911:AM911)</f>
        <v>1645660800</v>
      </c>
    </row>
    <row r="912" spans="1:40" ht="15.75" customHeight="1" x14ac:dyDescent="0.2">
      <c r="A912" s="285" t="s">
        <v>133</v>
      </c>
      <c r="B912" s="34">
        <v>44614</v>
      </c>
      <c r="C912" s="34">
        <v>44618</v>
      </c>
      <c r="D912" s="33" t="s">
        <v>143</v>
      </c>
      <c r="E912" s="319" t="s">
        <v>125</v>
      </c>
      <c r="F912" s="33" t="s">
        <v>390</v>
      </c>
      <c r="G912" s="33" t="s">
        <v>126</v>
      </c>
      <c r="H912" s="353">
        <v>1100</v>
      </c>
      <c r="I912" s="35">
        <v>50</v>
      </c>
      <c r="J912" s="35"/>
      <c r="K912" s="35"/>
      <c r="L912" s="35"/>
      <c r="M912" s="35"/>
      <c r="N912" s="35"/>
      <c r="O912" s="35"/>
      <c r="P912" s="35"/>
      <c r="Q912" s="35"/>
      <c r="R912" s="36"/>
      <c r="S912" s="35"/>
      <c r="T912" s="35"/>
      <c r="U912" s="35">
        <v>40</v>
      </c>
      <c r="V912" s="35">
        <v>3</v>
      </c>
      <c r="W912" s="35"/>
      <c r="X912" s="35">
        <v>5</v>
      </c>
      <c r="Y912" s="35"/>
      <c r="Z912" s="35">
        <v>2</v>
      </c>
      <c r="AA912" s="35">
        <v>0</v>
      </c>
      <c r="AB912" s="37">
        <f>100/(SUM(I912:Z912))</f>
        <v>1</v>
      </c>
      <c r="AC912" s="259">
        <f>SUM(I912:AA912)</f>
        <v>100</v>
      </c>
      <c r="AD912" s="35"/>
      <c r="AE912" s="35"/>
      <c r="AF912" s="35"/>
      <c r="AG912" s="33" t="s">
        <v>144</v>
      </c>
      <c r="AH912" s="33" t="s">
        <v>165</v>
      </c>
      <c r="AI912" s="38" t="s">
        <v>725</v>
      </c>
      <c r="AJ912" s="38" t="s">
        <v>728</v>
      </c>
      <c r="AK912" s="33" t="s">
        <v>729</v>
      </c>
      <c r="AL912" s="39">
        <f>(B912-DATE(1970,1,1))*86400</f>
        <v>1645488000</v>
      </c>
      <c r="AM912" s="39">
        <f>(C912-DATE(1970,1,1))*86400</f>
        <v>1645833600</v>
      </c>
      <c r="AN912" s="39">
        <f>AVERAGE(AL912:AM912)</f>
        <v>1645660800</v>
      </c>
    </row>
    <row r="913" spans="1:40" ht="15.75" customHeight="1" x14ac:dyDescent="0.2">
      <c r="A913" s="285" t="s">
        <v>123</v>
      </c>
      <c r="B913" s="34">
        <v>44614</v>
      </c>
      <c r="C913" s="34">
        <v>44618</v>
      </c>
      <c r="D913" s="33" t="s">
        <v>143</v>
      </c>
      <c r="E913" s="319" t="s">
        <v>125</v>
      </c>
      <c r="F913" s="33" t="s">
        <v>390</v>
      </c>
      <c r="G913" s="33" t="s">
        <v>126</v>
      </c>
      <c r="H913" s="353">
        <v>1100</v>
      </c>
      <c r="I913" s="35">
        <v>49</v>
      </c>
      <c r="J913" s="35"/>
      <c r="K913" s="35"/>
      <c r="L913" s="35"/>
      <c r="M913" s="35"/>
      <c r="N913" s="35"/>
      <c r="O913" s="35"/>
      <c r="P913" s="35"/>
      <c r="Q913" s="35"/>
      <c r="R913" s="36"/>
      <c r="S913" s="35"/>
      <c r="T913" s="35"/>
      <c r="U913" s="35">
        <v>43</v>
      </c>
      <c r="V913" s="35">
        <v>3</v>
      </c>
      <c r="W913" s="35"/>
      <c r="X913" s="35">
        <v>4</v>
      </c>
      <c r="Y913" s="35"/>
      <c r="Z913" s="35">
        <v>1</v>
      </c>
      <c r="AA913" s="35">
        <v>0</v>
      </c>
      <c r="AB913" s="37">
        <f>100/(SUM(I913:Z913))</f>
        <v>1</v>
      </c>
      <c r="AC913" s="259">
        <f>SUM(I913:AA913)</f>
        <v>100</v>
      </c>
      <c r="AD913" s="35"/>
      <c r="AE913" s="35"/>
      <c r="AF913" s="35"/>
      <c r="AG913" s="33" t="s">
        <v>144</v>
      </c>
      <c r="AH913" s="33" t="s">
        <v>165</v>
      </c>
      <c r="AI913" s="38" t="s">
        <v>725</v>
      </c>
      <c r="AJ913" s="33"/>
      <c r="AK913" s="33" t="s">
        <v>729</v>
      </c>
      <c r="AL913" s="39">
        <f>(B913-DATE(1970,1,1))*86400</f>
        <v>1645488000</v>
      </c>
      <c r="AM913" s="39">
        <f>(C913-DATE(1970,1,1))*86400</f>
        <v>1645833600</v>
      </c>
      <c r="AN913" s="39">
        <f>AVERAGE(AL913:AM913)</f>
        <v>1645660800</v>
      </c>
    </row>
    <row r="914" spans="1:40" ht="15.75" customHeight="1" x14ac:dyDescent="0.2">
      <c r="A914" s="288" t="s">
        <v>133</v>
      </c>
      <c r="B914" s="60">
        <v>44610</v>
      </c>
      <c r="C914" s="60">
        <v>44616</v>
      </c>
      <c r="D914" s="61" t="s">
        <v>168</v>
      </c>
      <c r="E914" s="334" t="s">
        <v>125</v>
      </c>
      <c r="F914" s="61" t="s">
        <v>390</v>
      </c>
      <c r="G914" s="61" t="s">
        <v>126</v>
      </c>
      <c r="H914" s="334">
        <v>1000</v>
      </c>
      <c r="I914" s="63">
        <v>40</v>
      </c>
      <c r="J914" s="63"/>
      <c r="K914" s="63"/>
      <c r="L914" s="63"/>
      <c r="M914" s="63"/>
      <c r="N914" s="63"/>
      <c r="O914" s="63"/>
      <c r="P914" s="63"/>
      <c r="Q914" s="63"/>
      <c r="R914" s="64"/>
      <c r="S914" s="63"/>
      <c r="T914" s="63"/>
      <c r="U914" s="63">
        <v>39</v>
      </c>
      <c r="V914" s="63">
        <v>2</v>
      </c>
      <c r="W914" s="63"/>
      <c r="X914" s="63">
        <v>3</v>
      </c>
      <c r="Y914" s="63"/>
      <c r="Z914" s="63">
        <v>0</v>
      </c>
      <c r="AA914" s="63">
        <v>16</v>
      </c>
      <c r="AB914" s="65">
        <f>100/(SUM(I914:Z914))</f>
        <v>1.1904761904761905</v>
      </c>
      <c r="AC914" s="259">
        <f>SUM(I914:AA914)</f>
        <v>100</v>
      </c>
      <c r="AD914" s="63"/>
      <c r="AE914" s="64"/>
      <c r="AF914" s="64"/>
      <c r="AG914" s="66" t="s">
        <v>127</v>
      </c>
      <c r="AH914" s="67" t="s">
        <v>730</v>
      </c>
      <c r="AI914" s="67" t="s">
        <v>731</v>
      </c>
      <c r="AJ914" s="67" t="s">
        <v>732</v>
      </c>
      <c r="AK914" s="61"/>
      <c r="AL914" s="66">
        <f>(B914-DATE(1970,1,1))*86400</f>
        <v>1645142400</v>
      </c>
      <c r="AM914" s="66">
        <f>(C914-DATE(1970,1,1))*86400</f>
        <v>1645660800</v>
      </c>
      <c r="AN914" s="66">
        <f>AVERAGE(AL914:AM914)</f>
        <v>1645401600</v>
      </c>
    </row>
    <row r="915" spans="1:40" ht="15.75" customHeight="1" x14ac:dyDescent="0.2">
      <c r="A915" s="288" t="s">
        <v>133</v>
      </c>
      <c r="B915" s="60">
        <v>44610</v>
      </c>
      <c r="C915" s="60">
        <v>44616</v>
      </c>
      <c r="D915" s="61" t="s">
        <v>168</v>
      </c>
      <c r="E915" s="334" t="s">
        <v>125</v>
      </c>
      <c r="F915" s="61" t="s">
        <v>390</v>
      </c>
      <c r="G915" s="61" t="s">
        <v>126</v>
      </c>
      <c r="H915" s="334">
        <v>1000</v>
      </c>
      <c r="I915" s="63">
        <v>48</v>
      </c>
      <c r="J915" s="63"/>
      <c r="K915" s="63"/>
      <c r="L915" s="63"/>
      <c r="M915" s="63"/>
      <c r="N915" s="63"/>
      <c r="O915" s="63"/>
      <c r="P915" s="63"/>
      <c r="Q915" s="63"/>
      <c r="R915" s="64"/>
      <c r="S915" s="63"/>
      <c r="T915" s="63"/>
      <c r="U915" s="63">
        <v>46</v>
      </c>
      <c r="V915" s="63">
        <v>3</v>
      </c>
      <c r="W915" s="63"/>
      <c r="X915" s="63">
        <v>3</v>
      </c>
      <c r="Y915" s="63"/>
      <c r="Z915" s="63">
        <v>0</v>
      </c>
      <c r="AA915" s="63">
        <v>0</v>
      </c>
      <c r="AB915" s="65">
        <f>100/(SUM(I915:Z915))</f>
        <v>1</v>
      </c>
      <c r="AC915" s="259">
        <f>SUM(I915:AA915)</f>
        <v>100</v>
      </c>
      <c r="AD915" s="63"/>
      <c r="AE915" s="63"/>
      <c r="AF915" s="63"/>
      <c r="AG915" s="66" t="s">
        <v>127</v>
      </c>
      <c r="AH915" s="67" t="s">
        <v>730</v>
      </c>
      <c r="AI915" s="67" t="s">
        <v>731</v>
      </c>
      <c r="AJ915" s="67" t="s">
        <v>732</v>
      </c>
      <c r="AK915" s="61"/>
      <c r="AL915" s="66">
        <f>(B915-DATE(1970,1,1))*86400</f>
        <v>1645142400</v>
      </c>
      <c r="AM915" s="66">
        <f>(C915-DATE(1970,1,1))*86400</f>
        <v>1645660800</v>
      </c>
      <c r="AN915" s="66">
        <f>AVERAGE(AL915:AM915)</f>
        <v>1645401600</v>
      </c>
    </row>
    <row r="916" spans="1:40" ht="15.75" customHeight="1" x14ac:dyDescent="0.2">
      <c r="A916" s="286" t="s">
        <v>133</v>
      </c>
      <c r="B916" s="41">
        <v>44609</v>
      </c>
      <c r="C916" s="41">
        <v>44615</v>
      </c>
      <c r="D916" s="40" t="s">
        <v>148</v>
      </c>
      <c r="E916" s="325" t="s">
        <v>125</v>
      </c>
      <c r="F916" s="40" t="s">
        <v>140</v>
      </c>
      <c r="G916" s="40" t="s">
        <v>126</v>
      </c>
      <c r="H916" s="325">
        <v>1000</v>
      </c>
      <c r="I916" s="42"/>
      <c r="J916" s="42"/>
      <c r="K916" s="42"/>
      <c r="L916" s="42"/>
      <c r="M916" s="42"/>
      <c r="N916" s="42"/>
      <c r="O916" s="42"/>
      <c r="P916" s="42"/>
      <c r="Q916" s="42"/>
      <c r="R916" s="43"/>
      <c r="S916" s="42"/>
      <c r="T916" s="42"/>
      <c r="U916" s="42"/>
      <c r="V916" s="42"/>
      <c r="W916" s="42"/>
      <c r="X916" s="42"/>
      <c r="Y916" s="42"/>
      <c r="Z916" s="42"/>
      <c r="AA916" s="42"/>
      <c r="AB916" s="44" t="e">
        <f>100/(SUM(I916:Z916))</f>
        <v>#DIV/0!</v>
      </c>
      <c r="AC916" s="259">
        <f>SUM(I916:AA916)</f>
        <v>0</v>
      </c>
      <c r="AD916" s="42"/>
      <c r="AE916" s="43"/>
      <c r="AF916" s="43"/>
      <c r="AG916" s="45" t="s">
        <v>237</v>
      </c>
      <c r="AH916" s="46" t="s">
        <v>733</v>
      </c>
      <c r="AI916" s="46" t="s">
        <v>734</v>
      </c>
      <c r="AJ916" s="46" t="s">
        <v>735</v>
      </c>
      <c r="AK916" s="40"/>
      <c r="AL916" s="45">
        <f>(B916-DATE(1970,1,1))*86400</f>
        <v>1645056000</v>
      </c>
      <c r="AM916" s="45">
        <f>(C916-DATE(1970,1,1))*86400</f>
        <v>1645574400</v>
      </c>
      <c r="AN916" s="45">
        <f>AVERAGE(AL916:AM916)</f>
        <v>1645315200</v>
      </c>
    </row>
    <row r="917" spans="1:40" ht="15.75" customHeight="1" x14ac:dyDescent="0.2">
      <c r="A917" s="281" t="s">
        <v>133</v>
      </c>
      <c r="B917" s="54">
        <v>44607</v>
      </c>
      <c r="C917" s="54">
        <v>44611</v>
      </c>
      <c r="D917" s="53" t="s">
        <v>154</v>
      </c>
      <c r="E917" s="323" t="s">
        <v>125</v>
      </c>
      <c r="F917" s="53" t="s">
        <v>2503</v>
      </c>
      <c r="G917" s="53" t="s">
        <v>126</v>
      </c>
      <c r="H917" s="357">
        <v>1001</v>
      </c>
      <c r="I917" s="55">
        <v>38</v>
      </c>
      <c r="J917" s="55"/>
      <c r="K917" s="55"/>
      <c r="L917" s="55"/>
      <c r="M917" s="55"/>
      <c r="N917" s="55"/>
      <c r="O917" s="55"/>
      <c r="P917" s="55"/>
      <c r="Q917" s="55"/>
      <c r="R917" s="56"/>
      <c r="S917" s="55"/>
      <c r="T917" s="55"/>
      <c r="U917" s="55">
        <v>31</v>
      </c>
      <c r="V917" s="55">
        <v>1</v>
      </c>
      <c r="W917" s="55"/>
      <c r="X917" s="55">
        <v>2</v>
      </c>
      <c r="Y917" s="55"/>
      <c r="Z917" s="55">
        <v>0</v>
      </c>
      <c r="AA917" s="55">
        <v>28</v>
      </c>
      <c r="AB917" s="57">
        <f>100/(SUM(I917:Z917))</f>
        <v>1.3888888888888888</v>
      </c>
      <c r="AC917" s="259">
        <f>SUM(I917:AA917)</f>
        <v>100</v>
      </c>
      <c r="AD917" s="55"/>
      <c r="AE917" s="55"/>
      <c r="AF917" s="55"/>
      <c r="AG917" s="58" t="s">
        <v>127</v>
      </c>
      <c r="AH917" s="59" t="s">
        <v>739</v>
      </c>
      <c r="AI917" s="59"/>
      <c r="AJ917" s="59"/>
      <c r="AK917" s="53" t="s">
        <v>738</v>
      </c>
      <c r="AL917" s="58">
        <f>(B917-DATE(1970,1,1))*86400</f>
        <v>1644883200</v>
      </c>
      <c r="AM917" s="58">
        <f>(C917-DATE(1970,1,1))*86400</f>
        <v>1645228800</v>
      </c>
      <c r="AN917" s="58">
        <f>AVERAGE(AL917:AM917)</f>
        <v>1645056000</v>
      </c>
    </row>
    <row r="918" spans="1:40" ht="15.75" customHeight="1" x14ac:dyDescent="0.2">
      <c r="A918" s="281" t="s">
        <v>133</v>
      </c>
      <c r="B918" s="54">
        <v>44607</v>
      </c>
      <c r="C918" s="54">
        <v>44611</v>
      </c>
      <c r="D918" s="53" t="s">
        <v>154</v>
      </c>
      <c r="E918" s="323" t="s">
        <v>125</v>
      </c>
      <c r="F918" s="53" t="s">
        <v>2503</v>
      </c>
      <c r="G918" s="53" t="s">
        <v>126</v>
      </c>
      <c r="H918" s="357">
        <v>1001</v>
      </c>
      <c r="I918" s="55">
        <v>40</v>
      </c>
      <c r="J918" s="55"/>
      <c r="K918" s="55"/>
      <c r="L918" s="55"/>
      <c r="M918" s="55"/>
      <c r="N918" s="55"/>
      <c r="O918" s="55"/>
      <c r="P918" s="55"/>
      <c r="Q918" s="55"/>
      <c r="R918" s="56"/>
      <c r="S918" s="55"/>
      <c r="T918" s="55"/>
      <c r="U918" s="55">
        <v>38</v>
      </c>
      <c r="V918" s="55">
        <v>0</v>
      </c>
      <c r="W918" s="55"/>
      <c r="X918" s="55">
        <v>1</v>
      </c>
      <c r="Y918" s="55"/>
      <c r="Z918" s="55">
        <v>0</v>
      </c>
      <c r="AA918" s="55">
        <v>21</v>
      </c>
      <c r="AB918" s="57">
        <f>100/(SUM(I918:Z918))</f>
        <v>1.2658227848101267</v>
      </c>
      <c r="AC918" s="259">
        <f>SUM(I918:AA918)</f>
        <v>100</v>
      </c>
      <c r="AD918" s="55"/>
      <c r="AE918" s="55"/>
      <c r="AF918" s="55"/>
      <c r="AG918" s="58" t="s">
        <v>127</v>
      </c>
      <c r="AH918" s="59" t="s">
        <v>739</v>
      </c>
      <c r="AI918" s="59"/>
      <c r="AJ918" s="59"/>
      <c r="AK918" s="53" t="s">
        <v>740</v>
      </c>
      <c r="AL918" s="58">
        <f>(B918-DATE(1970,1,1))*86400</f>
        <v>1644883200</v>
      </c>
      <c r="AM918" s="58">
        <f>(C918-DATE(1970,1,1))*86400</f>
        <v>1645228800</v>
      </c>
      <c r="AN918" s="58">
        <f>AVERAGE(AL918:AM918)</f>
        <v>1645056000</v>
      </c>
    </row>
    <row r="919" spans="1:40" ht="15.75" customHeight="1" x14ac:dyDescent="0.2">
      <c r="A919" s="281" t="s">
        <v>133</v>
      </c>
      <c r="B919" s="54">
        <v>44607</v>
      </c>
      <c r="C919" s="54">
        <v>44611</v>
      </c>
      <c r="D919" s="53" t="s">
        <v>154</v>
      </c>
      <c r="E919" s="323" t="s">
        <v>125</v>
      </c>
      <c r="F919" s="53" t="s">
        <v>2483</v>
      </c>
      <c r="G919" s="53" t="s">
        <v>126</v>
      </c>
      <c r="H919" s="357">
        <v>1013</v>
      </c>
      <c r="I919" s="55">
        <v>42</v>
      </c>
      <c r="J919" s="55"/>
      <c r="K919" s="55"/>
      <c r="L919" s="55"/>
      <c r="M919" s="55"/>
      <c r="N919" s="55"/>
      <c r="O919" s="55"/>
      <c r="P919" s="55"/>
      <c r="Q919" s="55"/>
      <c r="R919" s="56"/>
      <c r="S919" s="55"/>
      <c r="T919" s="55"/>
      <c r="U919" s="55">
        <v>43</v>
      </c>
      <c r="V919" s="55">
        <v>0</v>
      </c>
      <c r="W919" s="55"/>
      <c r="X919" s="55">
        <v>1</v>
      </c>
      <c r="Y919" s="55"/>
      <c r="Z919" s="55">
        <v>0</v>
      </c>
      <c r="AA919" s="55">
        <v>14</v>
      </c>
      <c r="AB919" s="57">
        <f>100/(SUM(I919:Z919))</f>
        <v>1.1627906976744187</v>
      </c>
      <c r="AC919" s="259">
        <f>SUM(I919:AA919)</f>
        <v>100</v>
      </c>
      <c r="AD919" s="55"/>
      <c r="AE919" s="55"/>
      <c r="AF919" s="55"/>
      <c r="AG919" s="58" t="s">
        <v>127</v>
      </c>
      <c r="AH919" s="59" t="s">
        <v>736</v>
      </c>
      <c r="AI919" s="59"/>
      <c r="AJ919" s="59"/>
      <c r="AK919" s="53" t="s">
        <v>738</v>
      </c>
      <c r="AL919" s="58">
        <f>(B919-DATE(1970,1,1))*86400</f>
        <v>1644883200</v>
      </c>
      <c r="AM919" s="58">
        <f>(C919-DATE(1970,1,1))*86400</f>
        <v>1645228800</v>
      </c>
      <c r="AN919" s="58">
        <f>AVERAGE(AL919:AM919)</f>
        <v>1645056000</v>
      </c>
    </row>
    <row r="920" spans="1:40" ht="15.75" customHeight="1" x14ac:dyDescent="0.2">
      <c r="A920" s="281" t="s">
        <v>133</v>
      </c>
      <c r="B920" s="54">
        <v>44607</v>
      </c>
      <c r="C920" s="54">
        <v>44611</v>
      </c>
      <c r="D920" s="53" t="s">
        <v>154</v>
      </c>
      <c r="E920" s="323" t="s">
        <v>125</v>
      </c>
      <c r="F920" s="53" t="s">
        <v>2483</v>
      </c>
      <c r="G920" s="53" t="s">
        <v>126</v>
      </c>
      <c r="H920" s="357">
        <v>1013</v>
      </c>
      <c r="I920" s="55">
        <v>42</v>
      </c>
      <c r="J920" s="55"/>
      <c r="K920" s="55"/>
      <c r="L920" s="55"/>
      <c r="M920" s="55"/>
      <c r="N920" s="55"/>
      <c r="O920" s="55"/>
      <c r="P920" s="55"/>
      <c r="Q920" s="55"/>
      <c r="R920" s="56"/>
      <c r="S920" s="55"/>
      <c r="T920" s="55"/>
      <c r="U920" s="55">
        <v>42</v>
      </c>
      <c r="V920" s="55">
        <v>4</v>
      </c>
      <c r="W920" s="55"/>
      <c r="X920" s="55">
        <v>3</v>
      </c>
      <c r="Y920" s="55"/>
      <c r="Z920" s="55">
        <v>0</v>
      </c>
      <c r="AA920" s="55">
        <v>9</v>
      </c>
      <c r="AB920" s="57">
        <f>100/(SUM(I920:Z920))</f>
        <v>1.098901098901099</v>
      </c>
      <c r="AC920" s="259">
        <f>SUM(I920:AA920)</f>
        <v>100</v>
      </c>
      <c r="AD920" s="55"/>
      <c r="AE920" s="55"/>
      <c r="AF920" s="55"/>
      <c r="AG920" s="58" t="s">
        <v>127</v>
      </c>
      <c r="AH920" s="59" t="s">
        <v>736</v>
      </c>
      <c r="AI920" s="59"/>
      <c r="AJ920" s="59"/>
      <c r="AK920" s="53" t="s">
        <v>737</v>
      </c>
      <c r="AL920" s="58">
        <f>(B920-DATE(1970,1,1))*86400</f>
        <v>1644883200</v>
      </c>
      <c r="AM920" s="58">
        <f>(C920-DATE(1970,1,1))*86400</f>
        <v>1645228800</v>
      </c>
      <c r="AN920" s="58">
        <f>AVERAGE(AL920:AM920)</f>
        <v>1645056000</v>
      </c>
    </row>
    <row r="921" spans="1:40" ht="15.75" customHeight="1" x14ac:dyDescent="0.2">
      <c r="A921" s="279" t="s">
        <v>123</v>
      </c>
      <c r="B921" s="14">
        <v>44606</v>
      </c>
      <c r="C921" s="14">
        <v>44608</v>
      </c>
      <c r="D921" s="13" t="s">
        <v>124</v>
      </c>
      <c r="E921" s="324" t="s">
        <v>125</v>
      </c>
      <c r="F921" s="13" t="s">
        <v>390</v>
      </c>
      <c r="G921" s="13" t="s">
        <v>126</v>
      </c>
      <c r="H921" s="372">
        <v>1000</v>
      </c>
      <c r="I921" s="15">
        <v>50</v>
      </c>
      <c r="J921" s="15"/>
      <c r="K921" s="15"/>
      <c r="L921" s="15"/>
      <c r="M921" s="15"/>
      <c r="N921" s="15"/>
      <c r="O921" s="15"/>
      <c r="P921" s="15"/>
      <c r="Q921" s="15"/>
      <c r="R921" s="15"/>
      <c r="S921" s="15"/>
      <c r="T921" s="15"/>
      <c r="U921" s="15">
        <v>43</v>
      </c>
      <c r="V921" s="15">
        <v>3</v>
      </c>
      <c r="W921" s="15"/>
      <c r="X921" s="15">
        <v>3</v>
      </c>
      <c r="Y921" s="15"/>
      <c r="Z921" s="15">
        <v>1</v>
      </c>
      <c r="AA921" s="15">
        <v>0</v>
      </c>
      <c r="AB921" s="16">
        <f>100/(SUM(I921:Z921))</f>
        <v>1</v>
      </c>
      <c r="AC921" s="259">
        <f>SUM(I921:AA921)</f>
        <v>100</v>
      </c>
      <c r="AD921" s="15"/>
      <c r="AE921" s="98"/>
      <c r="AF921" s="15"/>
      <c r="AG921" s="17" t="s">
        <v>127</v>
      </c>
      <c r="AH921" s="18" t="s">
        <v>741</v>
      </c>
      <c r="AI921" s="18" t="s">
        <v>742</v>
      </c>
      <c r="AJ921" s="18" t="s">
        <v>743</v>
      </c>
      <c r="AK921" s="13" t="s">
        <v>744</v>
      </c>
      <c r="AL921" s="17">
        <f>(B921-DATE(1970,1,1))*86400</f>
        <v>1644796800</v>
      </c>
      <c r="AM921" s="17">
        <f>(C921-DATE(1970,1,1))*86400</f>
        <v>1644969600</v>
      </c>
      <c r="AN921" s="17">
        <f>AVERAGE(AL921:AM921)</f>
        <v>1644883200</v>
      </c>
    </row>
    <row r="922" spans="1:40" ht="15.75" customHeight="1" x14ac:dyDescent="0.2">
      <c r="A922" s="281" t="s">
        <v>133</v>
      </c>
      <c r="B922" s="54">
        <v>44602</v>
      </c>
      <c r="C922" s="54">
        <v>44606</v>
      </c>
      <c r="D922" s="53" t="s">
        <v>154</v>
      </c>
      <c r="E922" s="323" t="s">
        <v>125</v>
      </c>
      <c r="F922" s="53" t="s">
        <v>390</v>
      </c>
      <c r="G922" s="53" t="s">
        <v>126</v>
      </c>
      <c r="H922" s="357">
        <v>1000</v>
      </c>
      <c r="I922" s="55">
        <v>32</v>
      </c>
      <c r="J922" s="55"/>
      <c r="K922" s="55"/>
      <c r="L922" s="55"/>
      <c r="M922" s="55"/>
      <c r="N922" s="55"/>
      <c r="O922" s="55"/>
      <c r="P922" s="55"/>
      <c r="Q922" s="55"/>
      <c r="R922" s="56"/>
      <c r="S922" s="55"/>
      <c r="T922" s="55"/>
      <c r="U922" s="55">
        <v>34</v>
      </c>
      <c r="V922" s="55">
        <v>1</v>
      </c>
      <c r="W922" s="55"/>
      <c r="X922" s="55">
        <v>2</v>
      </c>
      <c r="Y922" s="55"/>
      <c r="Z922" s="55">
        <v>1</v>
      </c>
      <c r="AA922" s="55">
        <v>30</v>
      </c>
      <c r="AB922" s="57">
        <f>100/(SUM(I922:Z922))</f>
        <v>1.4285714285714286</v>
      </c>
      <c r="AC922" s="259">
        <f>SUM(I922:AA922)</f>
        <v>100</v>
      </c>
      <c r="AD922" s="55">
        <v>73</v>
      </c>
      <c r="AE922" s="55"/>
      <c r="AF922" s="55"/>
      <c r="AG922" s="58" t="s">
        <v>155</v>
      </c>
      <c r="AH922" s="59" t="s">
        <v>745</v>
      </c>
      <c r="AI922" s="59"/>
      <c r="AJ922" s="59"/>
      <c r="AK922" s="53" t="s">
        <v>746</v>
      </c>
      <c r="AL922" s="58">
        <f>(B922-DATE(1970,1,1))*86400</f>
        <v>1644451200</v>
      </c>
      <c r="AM922" s="58">
        <f>(C922-DATE(1970,1,1))*86400</f>
        <v>1644796800</v>
      </c>
      <c r="AN922" s="58">
        <f>AVERAGE(AL922:AM922)</f>
        <v>1644624000</v>
      </c>
    </row>
    <row r="923" spans="1:40" ht="15.75" customHeight="1" x14ac:dyDescent="0.2">
      <c r="A923" s="283" t="s">
        <v>123</v>
      </c>
      <c r="B923" s="28">
        <v>44601</v>
      </c>
      <c r="C923" s="28">
        <v>44603</v>
      </c>
      <c r="D923" s="27" t="s">
        <v>139</v>
      </c>
      <c r="E923" s="331" t="s">
        <v>184</v>
      </c>
      <c r="F923" s="27" t="s">
        <v>390</v>
      </c>
      <c r="G923" s="27" t="s">
        <v>126</v>
      </c>
      <c r="H923" s="374">
        <v>1000</v>
      </c>
      <c r="I923" s="29">
        <v>54</v>
      </c>
      <c r="J923" s="29"/>
      <c r="K923" s="29"/>
      <c r="L923" s="29"/>
      <c r="M923" s="29"/>
      <c r="N923" s="29"/>
      <c r="O923" s="29"/>
      <c r="P923" s="29"/>
      <c r="Q923" s="29"/>
      <c r="R923" s="29"/>
      <c r="S923" s="29"/>
      <c r="T923" s="29"/>
      <c r="U923" s="29">
        <v>41</v>
      </c>
      <c r="V923" s="29">
        <v>2</v>
      </c>
      <c r="W923" s="29"/>
      <c r="X923" s="29">
        <v>3</v>
      </c>
      <c r="Y923" s="29"/>
      <c r="Z923" s="29">
        <v>0</v>
      </c>
      <c r="AA923" s="29">
        <v>0</v>
      </c>
      <c r="AB923" s="30">
        <f>100/(SUM(I923:Z923))</f>
        <v>1</v>
      </c>
      <c r="AC923" s="259">
        <f>SUM(I923:AA923)</f>
        <v>100</v>
      </c>
      <c r="AD923" s="29"/>
      <c r="AE923" s="29">
        <v>7</v>
      </c>
      <c r="AF923" s="29">
        <v>12</v>
      </c>
      <c r="AG923" s="31" t="s">
        <v>127</v>
      </c>
      <c r="AH923" s="32" t="s">
        <v>747</v>
      </c>
      <c r="AI923" s="32" t="s">
        <v>748</v>
      </c>
      <c r="AJ923" s="32"/>
      <c r="AK923" s="27" t="s">
        <v>2241</v>
      </c>
      <c r="AL923" s="31">
        <f>(B923-DATE(1970,1,1))*86400</f>
        <v>1644364800</v>
      </c>
      <c r="AM923" s="31">
        <f>(C923-DATE(1970,1,1))*86400</f>
        <v>1644537600</v>
      </c>
      <c r="AN923" s="31">
        <f>AVERAGE(AL923:AM923)</f>
        <v>1644451200</v>
      </c>
    </row>
    <row r="924" spans="1:40" ht="15.75" customHeight="1" x14ac:dyDescent="0.2">
      <c r="A924" s="281" t="s">
        <v>133</v>
      </c>
      <c r="B924" s="54">
        <v>44595</v>
      </c>
      <c r="C924" s="54">
        <v>44606</v>
      </c>
      <c r="D924" s="53" t="s">
        <v>154</v>
      </c>
      <c r="E924" s="323" t="s">
        <v>125</v>
      </c>
      <c r="F924" s="53" t="s">
        <v>140</v>
      </c>
      <c r="G924" s="53" t="s">
        <v>126</v>
      </c>
      <c r="H924" s="357">
        <v>2006</v>
      </c>
      <c r="I924" s="55"/>
      <c r="J924" s="55"/>
      <c r="K924" s="55"/>
      <c r="L924" s="55"/>
      <c r="M924" s="55"/>
      <c r="N924" s="55"/>
      <c r="O924" s="55"/>
      <c r="P924" s="55"/>
      <c r="Q924" s="55"/>
      <c r="R924" s="56"/>
      <c r="S924" s="55"/>
      <c r="T924" s="55"/>
      <c r="U924" s="55"/>
      <c r="V924" s="55"/>
      <c r="W924" s="55"/>
      <c r="X924" s="55"/>
      <c r="Y924" s="55"/>
      <c r="Z924" s="55"/>
      <c r="AA924" s="55"/>
      <c r="AB924" s="57" t="e">
        <f>100/(SUM(I924:Z924))</f>
        <v>#DIV/0!</v>
      </c>
      <c r="AC924" s="259">
        <f>SUM(I924:AA924)</f>
        <v>0</v>
      </c>
      <c r="AD924" s="55"/>
      <c r="AE924" s="55"/>
      <c r="AF924" s="55"/>
      <c r="AG924" s="58" t="s">
        <v>749</v>
      </c>
      <c r="AH924" s="59"/>
      <c r="AI924" s="59"/>
      <c r="AJ924" s="59" t="s">
        <v>750</v>
      </c>
      <c r="AK924" s="53"/>
      <c r="AL924" s="58">
        <f>(B924-DATE(1970,1,1))*86400</f>
        <v>1643846400</v>
      </c>
      <c r="AM924" s="58">
        <f>(C924-DATE(1970,1,1))*86400</f>
        <v>1644796800</v>
      </c>
      <c r="AN924" s="58">
        <f>AVERAGE(AL924:AM924)</f>
        <v>1644321600</v>
      </c>
    </row>
    <row r="925" spans="1:40" ht="15.75" customHeight="1" x14ac:dyDescent="0.2">
      <c r="A925" s="279" t="s">
        <v>123</v>
      </c>
      <c r="B925" s="14">
        <v>44599</v>
      </c>
      <c r="C925" s="14">
        <v>44601</v>
      </c>
      <c r="D925" s="13" t="s">
        <v>124</v>
      </c>
      <c r="E925" s="324" t="s">
        <v>125</v>
      </c>
      <c r="F925" s="13" t="s">
        <v>140</v>
      </c>
      <c r="G925" s="13" t="s">
        <v>126</v>
      </c>
      <c r="H925" s="372">
        <v>1000</v>
      </c>
      <c r="I925" s="98">
        <v>52</v>
      </c>
      <c r="J925" s="98"/>
      <c r="K925" s="98"/>
      <c r="L925" s="98"/>
      <c r="M925" s="98"/>
      <c r="N925" s="98"/>
      <c r="O925" s="98"/>
      <c r="P925" s="98"/>
      <c r="Q925" s="98"/>
      <c r="R925" s="98"/>
      <c r="S925" s="98"/>
      <c r="T925" s="98"/>
      <c r="U925" s="98">
        <v>41</v>
      </c>
      <c r="V925" s="15"/>
      <c r="W925" s="15"/>
      <c r="X925" s="15"/>
      <c r="Y925" s="15"/>
      <c r="Z925" s="98"/>
      <c r="AA925" s="15"/>
      <c r="AB925" s="16">
        <f>100/(SUM(I925:Z925))</f>
        <v>1.075268817204301</v>
      </c>
      <c r="AC925" s="259">
        <f>SUM(I925:AA925)</f>
        <v>93</v>
      </c>
      <c r="AD925" s="15"/>
      <c r="AE925" s="98"/>
      <c r="AF925" s="15"/>
      <c r="AG925" s="17" t="s">
        <v>127</v>
      </c>
      <c r="AH925" s="18"/>
      <c r="AI925" s="18"/>
      <c r="AJ925" s="18" t="s">
        <v>751</v>
      </c>
      <c r="AK925" s="13" t="s">
        <v>752</v>
      </c>
      <c r="AL925" s="17">
        <f>(B925-DATE(1970,1,1))*86400</f>
        <v>1644192000</v>
      </c>
      <c r="AM925" s="17">
        <f>(C925-DATE(1970,1,1))*86400</f>
        <v>1644364800</v>
      </c>
      <c r="AN925" s="17">
        <f>AVERAGE(AL925:AM925)</f>
        <v>1644278400</v>
      </c>
    </row>
    <row r="926" spans="1:40" ht="15.75" customHeight="1" x14ac:dyDescent="0.2">
      <c r="A926" s="302" t="s">
        <v>133</v>
      </c>
      <c r="B926" s="122">
        <v>44594</v>
      </c>
      <c r="C926" s="122">
        <v>44605</v>
      </c>
      <c r="D926" s="121" t="s">
        <v>718</v>
      </c>
      <c r="E926" s="322" t="s">
        <v>184</v>
      </c>
      <c r="F926" s="121" t="s">
        <v>2049</v>
      </c>
      <c r="G926" s="121" t="s">
        <v>126</v>
      </c>
      <c r="H926" s="369">
        <v>1000</v>
      </c>
      <c r="I926" s="123">
        <v>47</v>
      </c>
      <c r="J926" s="123"/>
      <c r="K926" s="123"/>
      <c r="L926" s="123"/>
      <c r="M926" s="123"/>
      <c r="N926" s="123"/>
      <c r="O926" s="123"/>
      <c r="P926" s="123"/>
      <c r="Q926" s="123"/>
      <c r="R926" s="124"/>
      <c r="S926" s="123"/>
      <c r="T926" s="123"/>
      <c r="U926" s="123">
        <v>31</v>
      </c>
      <c r="V926" s="123"/>
      <c r="W926" s="123"/>
      <c r="X926" s="123"/>
      <c r="Y926" s="123"/>
      <c r="Z926" s="123"/>
      <c r="AA926" s="123">
        <v>23</v>
      </c>
      <c r="AB926" s="125">
        <f>100/(SUM(I926:Z926))</f>
        <v>1.2820512820512822</v>
      </c>
      <c r="AC926" s="259">
        <f>SUM(I926:AA926)</f>
        <v>101</v>
      </c>
      <c r="AD926" s="123">
        <v>62</v>
      </c>
      <c r="AE926" s="123"/>
      <c r="AF926" s="123"/>
      <c r="AG926" s="126" t="s">
        <v>719</v>
      </c>
      <c r="AH926" s="253" t="s">
        <v>1990</v>
      </c>
      <c r="AI926" s="127"/>
      <c r="AJ926" s="127"/>
      <c r="AK926" s="121" t="s">
        <v>1995</v>
      </c>
      <c r="AL926" s="126">
        <f>(B926-DATE(1970,1,1))*86400</f>
        <v>1643760000</v>
      </c>
      <c r="AM926" s="126">
        <f>(C926-DATE(1970,1,1))*86400</f>
        <v>1644710400</v>
      </c>
      <c r="AN926" s="126">
        <f>AVERAGE(AL926:AM926)</f>
        <v>1644235200</v>
      </c>
    </row>
    <row r="927" spans="1:40" ht="15.75" customHeight="1" x14ac:dyDescent="0.2">
      <c r="A927" s="302" t="s">
        <v>133</v>
      </c>
      <c r="B927" s="122">
        <v>44594</v>
      </c>
      <c r="C927" s="122">
        <v>44605</v>
      </c>
      <c r="D927" s="121" t="s">
        <v>718</v>
      </c>
      <c r="E927" s="322" t="s">
        <v>184</v>
      </c>
      <c r="F927" s="121"/>
      <c r="G927" s="121" t="s">
        <v>126</v>
      </c>
      <c r="H927" s="369">
        <v>1000</v>
      </c>
      <c r="I927" s="123">
        <v>50</v>
      </c>
      <c r="J927" s="123">
        <v>1</v>
      </c>
      <c r="K927" s="123">
        <v>2</v>
      </c>
      <c r="L927" s="123">
        <v>1</v>
      </c>
      <c r="M927" s="123">
        <v>12</v>
      </c>
      <c r="N927" s="123"/>
      <c r="O927" s="123"/>
      <c r="P927" s="123">
        <v>3</v>
      </c>
      <c r="Q927" s="123"/>
      <c r="R927" s="124"/>
      <c r="S927" s="123">
        <v>1</v>
      </c>
      <c r="T927" s="123"/>
      <c r="U927" s="123"/>
      <c r="V927" s="123">
        <v>3</v>
      </c>
      <c r="W927" s="123"/>
      <c r="X927" s="123">
        <v>3</v>
      </c>
      <c r="Y927" s="123"/>
      <c r="Z927" s="123">
        <v>1</v>
      </c>
      <c r="AA927" s="123">
        <v>23</v>
      </c>
      <c r="AB927" s="125">
        <f>100/(SUM(I927:Z927))</f>
        <v>1.2987012987012987</v>
      </c>
      <c r="AC927" s="259">
        <f>SUM(I927:AA927)</f>
        <v>100</v>
      </c>
      <c r="AD927" s="123"/>
      <c r="AE927" s="123"/>
      <c r="AF927" s="123"/>
      <c r="AG927" s="126" t="s">
        <v>719</v>
      </c>
      <c r="AH927" s="253" t="s">
        <v>1990</v>
      </c>
      <c r="AI927" s="127"/>
      <c r="AJ927" s="127"/>
      <c r="AK927" s="121" t="s">
        <v>1994</v>
      </c>
      <c r="AL927" s="126">
        <f>(B927-DATE(1970,1,1))*86400</f>
        <v>1643760000</v>
      </c>
      <c r="AM927" s="126">
        <f>(C927-DATE(1970,1,1))*86400</f>
        <v>1644710400</v>
      </c>
      <c r="AN927" s="126">
        <f>AVERAGE(AL927:AM927)</f>
        <v>1644235200</v>
      </c>
    </row>
    <row r="928" spans="1:40" ht="15.75" customHeight="1" x14ac:dyDescent="0.2">
      <c r="A928" s="281" t="s">
        <v>133</v>
      </c>
      <c r="B928" s="54">
        <v>44595</v>
      </c>
      <c r="C928" s="54">
        <v>44601</v>
      </c>
      <c r="D928" s="53" t="s">
        <v>154</v>
      </c>
      <c r="E928" s="323" t="s">
        <v>125</v>
      </c>
      <c r="F928" s="53" t="s">
        <v>140</v>
      </c>
      <c r="G928" s="53" t="s">
        <v>126</v>
      </c>
      <c r="H928" s="357">
        <v>1003</v>
      </c>
      <c r="I928" s="55"/>
      <c r="J928" s="55"/>
      <c r="K928" s="55"/>
      <c r="L928" s="55"/>
      <c r="M928" s="55"/>
      <c r="N928" s="55"/>
      <c r="O928" s="55"/>
      <c r="P928" s="55"/>
      <c r="Q928" s="55"/>
      <c r="R928" s="56"/>
      <c r="S928" s="55"/>
      <c r="T928" s="55"/>
      <c r="U928" s="55"/>
      <c r="V928" s="55"/>
      <c r="W928" s="55"/>
      <c r="X928" s="55"/>
      <c r="Y928" s="55"/>
      <c r="Z928" s="55"/>
      <c r="AA928" s="55"/>
      <c r="AB928" s="57" t="e">
        <f>100/(SUM(I928:Z928))</f>
        <v>#DIV/0!</v>
      </c>
      <c r="AC928" s="259">
        <f>SUM(I928:AA928)</f>
        <v>0</v>
      </c>
      <c r="AD928" s="55"/>
      <c r="AE928" s="55"/>
      <c r="AF928" s="55"/>
      <c r="AG928" s="58" t="s">
        <v>155</v>
      </c>
      <c r="AH928" s="59"/>
      <c r="AI928" s="59" t="s">
        <v>753</v>
      </c>
      <c r="AJ928" s="59" t="s">
        <v>754</v>
      </c>
      <c r="AK928" s="53"/>
      <c r="AL928" s="58">
        <f>(B928-DATE(1970,1,1))*86400</f>
        <v>1643846400</v>
      </c>
      <c r="AM928" s="58">
        <f>(C928-DATE(1970,1,1))*86400</f>
        <v>1644364800</v>
      </c>
      <c r="AN928" s="58">
        <f>AVERAGE(AL928:AM928)</f>
        <v>1644105600</v>
      </c>
    </row>
    <row r="929" spans="1:65" ht="15.75" customHeight="1" x14ac:dyDescent="0.2">
      <c r="A929" s="286" t="s">
        <v>133</v>
      </c>
      <c r="B929" s="41">
        <v>44594</v>
      </c>
      <c r="C929" s="41">
        <v>44602</v>
      </c>
      <c r="D929" s="40" t="s">
        <v>148</v>
      </c>
      <c r="E929" s="325" t="s">
        <v>125</v>
      </c>
      <c r="F929" s="40"/>
      <c r="G929" s="40" t="s">
        <v>149</v>
      </c>
      <c r="H929" s="325">
        <v>1000</v>
      </c>
      <c r="I929" s="42">
        <v>38</v>
      </c>
      <c r="J929" s="42">
        <v>5</v>
      </c>
      <c r="K929" s="42">
        <v>8</v>
      </c>
      <c r="L929" s="42">
        <v>2</v>
      </c>
      <c r="M929" s="42">
        <v>12</v>
      </c>
      <c r="N929" s="42"/>
      <c r="O929" s="42">
        <v>2</v>
      </c>
      <c r="P929" s="42">
        <v>4</v>
      </c>
      <c r="Q929" s="42"/>
      <c r="R929" s="43"/>
      <c r="S929" s="42"/>
      <c r="T929" s="42"/>
      <c r="U929" s="42"/>
      <c r="V929" s="42">
        <v>2</v>
      </c>
      <c r="W929" s="42"/>
      <c r="X929" s="42">
        <v>3</v>
      </c>
      <c r="Y929" s="42"/>
      <c r="Z929" s="43">
        <v>1</v>
      </c>
      <c r="AA929" s="43">
        <v>22</v>
      </c>
      <c r="AB929" s="44">
        <f>100/(SUM(I929:Z929))</f>
        <v>1.2987012987012987</v>
      </c>
      <c r="AC929" s="259">
        <f>SUM(I929:AA929)</f>
        <v>99</v>
      </c>
      <c r="AD929" s="42"/>
      <c r="AE929" s="42"/>
      <c r="AF929" s="42"/>
      <c r="AG929" s="45" t="s">
        <v>127</v>
      </c>
      <c r="AH929" s="42"/>
      <c r="AI929" s="46" t="s">
        <v>755</v>
      </c>
      <c r="AJ929" s="46" t="s">
        <v>756</v>
      </c>
      <c r="AK929" s="40" t="s">
        <v>758</v>
      </c>
      <c r="AL929" s="45">
        <f>(B929-DATE(1970,1,1))*86400</f>
        <v>1643760000</v>
      </c>
      <c r="AM929" s="45">
        <f>(C929-DATE(1970,1,1))*86400</f>
        <v>1644451200</v>
      </c>
      <c r="AN929" s="45">
        <f>AVERAGE(AL929:AM929)</f>
        <v>1644105600</v>
      </c>
    </row>
    <row r="930" spans="1:65" ht="15.75" customHeight="1" x14ac:dyDescent="0.2">
      <c r="A930" s="286" t="s">
        <v>133</v>
      </c>
      <c r="B930" s="41">
        <v>44594</v>
      </c>
      <c r="C930" s="41">
        <v>44602</v>
      </c>
      <c r="D930" s="40" t="s">
        <v>148</v>
      </c>
      <c r="E930" s="325" t="s">
        <v>125</v>
      </c>
      <c r="F930" s="40" t="s">
        <v>390</v>
      </c>
      <c r="G930" s="40" t="s">
        <v>149</v>
      </c>
      <c r="H930" s="325">
        <v>1000</v>
      </c>
      <c r="I930" s="42">
        <v>38</v>
      </c>
      <c r="J930" s="42"/>
      <c r="K930" s="42"/>
      <c r="L930" s="42"/>
      <c r="M930" s="42"/>
      <c r="N930" s="42"/>
      <c r="O930" s="42"/>
      <c r="P930" s="42"/>
      <c r="Q930" s="42"/>
      <c r="R930" s="43"/>
      <c r="S930" s="42"/>
      <c r="T930" s="42"/>
      <c r="U930" s="42">
        <v>36</v>
      </c>
      <c r="V930" s="42">
        <v>2</v>
      </c>
      <c r="W930" s="42"/>
      <c r="X930" s="42">
        <v>3</v>
      </c>
      <c r="Y930" s="42"/>
      <c r="Z930" s="42">
        <v>1</v>
      </c>
      <c r="AA930" s="42">
        <v>20</v>
      </c>
      <c r="AB930" s="44">
        <f>100/(SUM(I930:Z930))</f>
        <v>1.25</v>
      </c>
      <c r="AC930" s="259">
        <f>SUM(I930:AA930)</f>
        <v>100</v>
      </c>
      <c r="AD930" s="42"/>
      <c r="AE930" s="43">
        <v>11</v>
      </c>
      <c r="AF930" s="43">
        <v>16</v>
      </c>
      <c r="AG930" s="45" t="s">
        <v>127</v>
      </c>
      <c r="AH930" s="42"/>
      <c r="AI930" s="46" t="s">
        <v>755</v>
      </c>
      <c r="AJ930" s="46" t="s">
        <v>756</v>
      </c>
      <c r="AK930" s="40"/>
      <c r="AL930" s="45">
        <f>(B930-DATE(1970,1,1))*86400</f>
        <v>1643760000</v>
      </c>
      <c r="AM930" s="45">
        <f>(C930-DATE(1970,1,1))*86400</f>
        <v>1644451200</v>
      </c>
      <c r="AN930" s="45">
        <f>AVERAGE(AL930:AM930)</f>
        <v>1644105600</v>
      </c>
    </row>
    <row r="931" spans="1:65" ht="15.75" customHeight="1" x14ac:dyDescent="0.2">
      <c r="A931" s="286" t="s">
        <v>123</v>
      </c>
      <c r="B931" s="41">
        <v>44594</v>
      </c>
      <c r="C931" s="41">
        <v>44602</v>
      </c>
      <c r="D931" s="40" t="s">
        <v>148</v>
      </c>
      <c r="E931" s="325" t="s">
        <v>125</v>
      </c>
      <c r="F931" s="40" t="s">
        <v>390</v>
      </c>
      <c r="G931" s="40" t="s">
        <v>149</v>
      </c>
      <c r="H931" s="325">
        <v>1000</v>
      </c>
      <c r="I931" s="42">
        <v>49</v>
      </c>
      <c r="J931" s="42"/>
      <c r="K931" s="42"/>
      <c r="L931" s="42"/>
      <c r="M931" s="42"/>
      <c r="N931" s="42"/>
      <c r="O931" s="42"/>
      <c r="P931" s="42"/>
      <c r="Q931" s="42"/>
      <c r="R931" s="43"/>
      <c r="S931" s="42"/>
      <c r="T931" s="42"/>
      <c r="U931" s="42">
        <v>46</v>
      </c>
      <c r="V931" s="42">
        <v>2</v>
      </c>
      <c r="W931" s="42"/>
      <c r="X931" s="42">
        <v>3</v>
      </c>
      <c r="Y931" s="42"/>
      <c r="Z931" s="42">
        <v>0</v>
      </c>
      <c r="AA931" s="42">
        <v>0</v>
      </c>
      <c r="AB931" s="44">
        <f>100/(SUM(I931:Z931))</f>
        <v>1</v>
      </c>
      <c r="AC931" s="259">
        <f>SUM(I931:AA931)</f>
        <v>100</v>
      </c>
      <c r="AD931" s="42"/>
      <c r="AE931" s="42"/>
      <c r="AF931" s="42"/>
      <c r="AG931" s="45" t="s">
        <v>127</v>
      </c>
      <c r="AH931" s="42"/>
      <c r="AI931" s="46" t="s">
        <v>755</v>
      </c>
      <c r="AJ931" s="46" t="s">
        <v>756</v>
      </c>
      <c r="AK931" s="40" t="s">
        <v>757</v>
      </c>
      <c r="AL931" s="45">
        <f>(B931-DATE(1970,1,1))*86400</f>
        <v>1643760000</v>
      </c>
      <c r="AM931" s="45">
        <f>(C931-DATE(1970,1,1))*86400</f>
        <v>1644451200</v>
      </c>
      <c r="AN931" s="45">
        <f>AVERAGE(AL931:AM931)</f>
        <v>1644105600</v>
      </c>
    </row>
    <row r="932" spans="1:65" ht="15.75" customHeight="1" x14ac:dyDescent="0.2">
      <c r="A932" s="286" t="s">
        <v>123</v>
      </c>
      <c r="B932" s="41">
        <v>44594</v>
      </c>
      <c r="C932" s="41">
        <v>44602</v>
      </c>
      <c r="D932" s="40" t="s">
        <v>148</v>
      </c>
      <c r="E932" s="325" t="s">
        <v>125</v>
      </c>
      <c r="F932" s="40"/>
      <c r="G932" s="40" t="s">
        <v>149</v>
      </c>
      <c r="H932" s="325">
        <v>1000</v>
      </c>
      <c r="I932" s="42">
        <v>50</v>
      </c>
      <c r="J932" s="42">
        <v>6</v>
      </c>
      <c r="K932" s="42">
        <v>11</v>
      </c>
      <c r="L932" s="42">
        <v>2</v>
      </c>
      <c r="M932" s="42">
        <v>17</v>
      </c>
      <c r="N932" s="42"/>
      <c r="O932" s="42">
        <v>3</v>
      </c>
      <c r="P932" s="42">
        <v>5</v>
      </c>
      <c r="Q932" s="42"/>
      <c r="R932" s="43"/>
      <c r="S932" s="42"/>
      <c r="T932" s="42"/>
      <c r="U932" s="42"/>
      <c r="V932" s="42">
        <v>2</v>
      </c>
      <c r="W932" s="42"/>
      <c r="X932" s="42">
        <v>4</v>
      </c>
      <c r="Y932" s="42"/>
      <c r="Z932" s="42"/>
      <c r="AA932" s="42">
        <v>0</v>
      </c>
      <c r="AB932" s="44">
        <f>100/(SUM(I932:Z932))</f>
        <v>1</v>
      </c>
      <c r="AC932" s="259">
        <f>SUM(I932:AA932)</f>
        <v>100</v>
      </c>
      <c r="AD932" s="42"/>
      <c r="AE932" s="42"/>
      <c r="AF932" s="42"/>
      <c r="AG932" s="45" t="s">
        <v>127</v>
      </c>
      <c r="AH932" s="42"/>
      <c r="AI932" s="46" t="s">
        <v>755</v>
      </c>
      <c r="AJ932" s="46" t="s">
        <v>756</v>
      </c>
      <c r="AK932" s="40"/>
      <c r="AL932" s="45">
        <f>(B932-DATE(1970,1,1))*86400</f>
        <v>1643760000</v>
      </c>
      <c r="AM932" s="45">
        <f>(C932-DATE(1970,1,1))*86400</f>
        <v>1644451200</v>
      </c>
      <c r="AN932" s="45">
        <f>AVERAGE(AL932:AM932)</f>
        <v>1644105600</v>
      </c>
    </row>
    <row r="933" spans="1:65" ht="15.75" customHeight="1" x14ac:dyDescent="0.2">
      <c r="A933" s="284" t="s">
        <v>133</v>
      </c>
      <c r="B933" s="20">
        <v>44592</v>
      </c>
      <c r="C933" s="20">
        <v>44601</v>
      </c>
      <c r="D933" s="19" t="s">
        <v>134</v>
      </c>
      <c r="E933" s="332" t="s">
        <v>125</v>
      </c>
      <c r="F933" s="19"/>
      <c r="G933" s="19" t="s">
        <v>135</v>
      </c>
      <c r="H933" s="332">
        <v>2000</v>
      </c>
      <c r="I933" s="21">
        <v>37</v>
      </c>
      <c r="J933" s="21">
        <v>3</v>
      </c>
      <c r="K933" s="21">
        <v>9</v>
      </c>
      <c r="L933" s="21">
        <v>1</v>
      </c>
      <c r="M933" s="21">
        <v>11</v>
      </c>
      <c r="N933" s="21"/>
      <c r="O933" s="21">
        <v>2</v>
      </c>
      <c r="P933" s="21">
        <v>6</v>
      </c>
      <c r="Q933" s="21"/>
      <c r="R933" s="22"/>
      <c r="S933" s="21"/>
      <c r="T933" s="21"/>
      <c r="U933" s="21"/>
      <c r="V933" s="21">
        <v>3</v>
      </c>
      <c r="W933" s="21"/>
      <c r="X933" s="21">
        <v>4</v>
      </c>
      <c r="Y933" s="21"/>
      <c r="Z933" s="21">
        <v>0</v>
      </c>
      <c r="AA933" s="21">
        <v>24</v>
      </c>
      <c r="AB933" s="23">
        <f>100/(SUM(I933:Z933))</f>
        <v>1.3157894736842106</v>
      </c>
      <c r="AC933" s="259">
        <f>SUM(I933:AA933)</f>
        <v>100</v>
      </c>
      <c r="AD933" s="24"/>
      <c r="AE933" s="24"/>
      <c r="AF933" s="24"/>
      <c r="AG933" s="25" t="s">
        <v>127</v>
      </c>
      <c r="AH933" s="26" t="s">
        <v>759</v>
      </c>
      <c r="AI933" s="83" t="s">
        <v>713</v>
      </c>
      <c r="AJ933" s="83"/>
      <c r="AK933" s="19"/>
      <c r="AL933" s="25">
        <f>(B933-DATE(1970,1,1))*86400</f>
        <v>1643587200</v>
      </c>
      <c r="AM933" s="25">
        <f>(C933-DATE(1970,1,1))*86400</f>
        <v>1644364800</v>
      </c>
      <c r="AN933" s="25">
        <f>AVERAGE(AL933:AM933)</f>
        <v>1643976000</v>
      </c>
    </row>
    <row r="934" spans="1:65" ht="15.75" customHeight="1" x14ac:dyDescent="0.2">
      <c r="A934" s="284" t="s">
        <v>133</v>
      </c>
      <c r="B934" s="20">
        <v>44592</v>
      </c>
      <c r="C934" s="20">
        <v>44601</v>
      </c>
      <c r="D934" s="19" t="s">
        <v>134</v>
      </c>
      <c r="E934" s="332" t="s">
        <v>125</v>
      </c>
      <c r="F934" s="19" t="s">
        <v>390</v>
      </c>
      <c r="G934" s="19" t="s">
        <v>135</v>
      </c>
      <c r="H934" s="332">
        <v>2000</v>
      </c>
      <c r="I934" s="21">
        <v>38</v>
      </c>
      <c r="J934" s="21"/>
      <c r="K934" s="21"/>
      <c r="L934" s="21"/>
      <c r="M934" s="21"/>
      <c r="N934" s="21"/>
      <c r="O934" s="21"/>
      <c r="P934" s="21"/>
      <c r="Q934" s="21"/>
      <c r="R934" s="22"/>
      <c r="S934" s="21"/>
      <c r="T934" s="21"/>
      <c r="U934" s="21">
        <v>34</v>
      </c>
      <c r="V934" s="21">
        <v>2</v>
      </c>
      <c r="W934" s="21"/>
      <c r="X934" s="21">
        <v>5</v>
      </c>
      <c r="Y934" s="21"/>
      <c r="Z934" s="21">
        <v>1</v>
      </c>
      <c r="AA934" s="21">
        <v>20</v>
      </c>
      <c r="AB934" s="23">
        <f>100/(SUM(I934:Z934))</f>
        <v>1.25</v>
      </c>
      <c r="AC934" s="259">
        <f>SUM(I934:AA934)</f>
        <v>100</v>
      </c>
      <c r="AD934" s="24"/>
      <c r="AE934" s="24"/>
      <c r="AF934" s="24"/>
      <c r="AG934" s="25" t="s">
        <v>127</v>
      </c>
      <c r="AH934" s="26" t="s">
        <v>759</v>
      </c>
      <c r="AI934" s="83" t="s">
        <v>713</v>
      </c>
      <c r="AJ934" s="83"/>
      <c r="AK934" s="19"/>
      <c r="AL934" s="25">
        <f>(B934-DATE(1970,1,1))*86400</f>
        <v>1643587200</v>
      </c>
      <c r="AM934" s="25">
        <f>(C934-DATE(1970,1,1))*86400</f>
        <v>1644364800</v>
      </c>
      <c r="AN934" s="25">
        <f>AVERAGE(AL934:AM934)</f>
        <v>1643976000</v>
      </c>
    </row>
    <row r="935" spans="1:65" ht="15.75" customHeight="1" x14ac:dyDescent="0.2">
      <c r="A935" s="284" t="s">
        <v>123</v>
      </c>
      <c r="B935" s="20">
        <v>44592</v>
      </c>
      <c r="C935" s="20">
        <v>44601</v>
      </c>
      <c r="D935" s="19" t="s">
        <v>134</v>
      </c>
      <c r="E935" s="332" t="s">
        <v>125</v>
      </c>
      <c r="F935" s="19" t="s">
        <v>390</v>
      </c>
      <c r="G935" s="19" t="s">
        <v>135</v>
      </c>
      <c r="H935" s="332">
        <v>2000</v>
      </c>
      <c r="I935" s="21">
        <v>49</v>
      </c>
      <c r="J935" s="21"/>
      <c r="K935" s="21"/>
      <c r="L935" s="21"/>
      <c r="M935" s="21"/>
      <c r="N935" s="21"/>
      <c r="O935" s="21"/>
      <c r="P935" s="21"/>
      <c r="Q935" s="21"/>
      <c r="R935" s="22"/>
      <c r="S935" s="21"/>
      <c r="T935" s="21"/>
      <c r="U935" s="21">
        <v>44</v>
      </c>
      <c r="V935" s="21">
        <v>3</v>
      </c>
      <c r="W935" s="21"/>
      <c r="X935" s="21">
        <v>4</v>
      </c>
      <c r="Y935" s="21"/>
      <c r="Z935" s="21">
        <v>0</v>
      </c>
      <c r="AA935" s="21">
        <v>0</v>
      </c>
      <c r="AB935" s="23">
        <f>100/(SUM(I935:Z935))</f>
        <v>1</v>
      </c>
      <c r="AC935" s="259">
        <f>SUM(I935:AA935)</f>
        <v>100</v>
      </c>
      <c r="AD935" s="24"/>
      <c r="AE935" s="24"/>
      <c r="AF935" s="24"/>
      <c r="AG935" s="25" t="s">
        <v>127</v>
      </c>
      <c r="AH935" s="26" t="s">
        <v>759</v>
      </c>
      <c r="AI935" s="83" t="s">
        <v>713</v>
      </c>
      <c r="AJ935" s="83"/>
      <c r="AK935" s="19"/>
      <c r="AL935" s="25">
        <f>(B935-DATE(1970,1,1))*86400</f>
        <v>1643587200</v>
      </c>
      <c r="AM935" s="25">
        <f>(C935-DATE(1970,1,1))*86400</f>
        <v>1644364800</v>
      </c>
      <c r="AN935" s="25">
        <f>AVERAGE(AL935:AM935)</f>
        <v>1643976000</v>
      </c>
    </row>
    <row r="936" spans="1:65" ht="15.75" customHeight="1" x14ac:dyDescent="0.2">
      <c r="A936" s="284" t="s">
        <v>123</v>
      </c>
      <c r="B936" s="20">
        <v>44592</v>
      </c>
      <c r="C936" s="20">
        <v>44601</v>
      </c>
      <c r="D936" s="19" t="s">
        <v>134</v>
      </c>
      <c r="E936" s="332" t="s">
        <v>125</v>
      </c>
      <c r="F936" s="19"/>
      <c r="G936" s="19" t="s">
        <v>135</v>
      </c>
      <c r="H936" s="332">
        <v>2000</v>
      </c>
      <c r="I936" s="21">
        <v>49</v>
      </c>
      <c r="J936" s="21">
        <v>4</v>
      </c>
      <c r="K936" s="21">
        <v>11</v>
      </c>
      <c r="L936" s="21">
        <v>1</v>
      </c>
      <c r="M936" s="21">
        <v>17</v>
      </c>
      <c r="N936" s="21"/>
      <c r="O936" s="21">
        <v>2</v>
      </c>
      <c r="P936" s="21">
        <v>8</v>
      </c>
      <c r="Q936" s="21"/>
      <c r="R936" s="22"/>
      <c r="S936" s="21"/>
      <c r="T936" s="21"/>
      <c r="U936" s="21"/>
      <c r="V936" s="21">
        <v>3</v>
      </c>
      <c r="W936" s="21"/>
      <c r="X936" s="21">
        <v>4</v>
      </c>
      <c r="Y936" s="21"/>
      <c r="Z936" s="21">
        <v>1</v>
      </c>
      <c r="AA936" s="21">
        <v>0</v>
      </c>
      <c r="AB936" s="23">
        <f>100/(SUM(I936:Z936))</f>
        <v>1</v>
      </c>
      <c r="AC936" s="259">
        <f>SUM(I936:AA936)</f>
        <v>100</v>
      </c>
      <c r="AD936" s="24"/>
      <c r="AE936" s="24"/>
      <c r="AF936" s="24"/>
      <c r="AG936" s="25" t="s">
        <v>127</v>
      </c>
      <c r="AH936" s="26" t="s">
        <v>759</v>
      </c>
      <c r="AI936" s="83" t="s">
        <v>713</v>
      </c>
      <c r="AJ936" s="83"/>
      <c r="AK936" s="19"/>
      <c r="AL936" s="25">
        <f>(B936-DATE(1970,1,1))*86400</f>
        <v>1643587200</v>
      </c>
      <c r="AM936" s="25">
        <f>(C936-DATE(1970,1,1))*86400</f>
        <v>1644364800</v>
      </c>
      <c r="AN936" s="25">
        <f>AVERAGE(AL936:AM936)</f>
        <v>1643976000</v>
      </c>
    </row>
    <row r="937" spans="1:65" ht="15.75" customHeight="1" x14ac:dyDescent="0.2">
      <c r="A937" s="279" t="s">
        <v>123</v>
      </c>
      <c r="B937" s="14">
        <v>44592</v>
      </c>
      <c r="C937" s="14">
        <v>44594</v>
      </c>
      <c r="D937" s="13" t="s">
        <v>124</v>
      </c>
      <c r="E937" s="324" t="s">
        <v>125</v>
      </c>
      <c r="F937" s="13" t="s">
        <v>140</v>
      </c>
      <c r="G937" s="13" t="s">
        <v>126</v>
      </c>
      <c r="H937" s="372">
        <v>1000</v>
      </c>
      <c r="I937" s="15"/>
      <c r="J937" s="15"/>
      <c r="K937" s="15"/>
      <c r="L937" s="15"/>
      <c r="M937" s="15"/>
      <c r="N937" s="15"/>
      <c r="O937" s="15"/>
      <c r="P937" s="15"/>
      <c r="Q937" s="15"/>
      <c r="R937" s="15"/>
      <c r="S937" s="15"/>
      <c r="T937" s="15"/>
      <c r="U937" s="15"/>
      <c r="V937" s="15"/>
      <c r="W937" s="15"/>
      <c r="X937" s="15"/>
      <c r="Y937" s="15"/>
      <c r="Z937" s="98"/>
      <c r="AA937" s="15"/>
      <c r="AB937" s="16" t="e">
        <f>100/(SUM(I937:Z937))</f>
        <v>#DIV/0!</v>
      </c>
      <c r="AC937" s="259">
        <f>SUM(I937:AA937)</f>
        <v>0</v>
      </c>
      <c r="AD937" s="15"/>
      <c r="AE937" s="98"/>
      <c r="AF937" s="15"/>
      <c r="AG937" s="17" t="s">
        <v>127</v>
      </c>
      <c r="AH937" s="18"/>
      <c r="AI937" s="18"/>
      <c r="AJ937" s="18" t="s">
        <v>760</v>
      </c>
      <c r="AK937" s="13"/>
      <c r="AL937" s="17">
        <f>(B937-DATE(1970,1,1))*86400</f>
        <v>1643587200</v>
      </c>
      <c r="AM937" s="17">
        <f>(C937-DATE(1970,1,1))*86400</f>
        <v>1643760000</v>
      </c>
      <c r="AN937" s="17">
        <f>AVERAGE(AL937:AM937)</f>
        <v>1643673600</v>
      </c>
    </row>
    <row r="938" spans="1:65" ht="15.75" customHeight="1" x14ac:dyDescent="0.2">
      <c r="A938" s="291" t="s">
        <v>123</v>
      </c>
      <c r="B938" s="48">
        <v>44585</v>
      </c>
      <c r="C938" s="48">
        <v>44587</v>
      </c>
      <c r="D938" s="47" t="s">
        <v>152</v>
      </c>
      <c r="E938" s="337" t="s">
        <v>184</v>
      </c>
      <c r="F938" s="47" t="s">
        <v>390</v>
      </c>
      <c r="G938" s="47" t="s">
        <v>126</v>
      </c>
      <c r="H938" s="370">
        <v>1000</v>
      </c>
      <c r="I938" s="49">
        <v>51</v>
      </c>
      <c r="J938" s="49"/>
      <c r="K938" s="49"/>
      <c r="L938" s="49"/>
      <c r="M938" s="49"/>
      <c r="N938" s="49"/>
      <c r="O938" s="49"/>
      <c r="P938" s="49"/>
      <c r="Q938" s="49"/>
      <c r="R938" s="49"/>
      <c r="S938" s="49"/>
      <c r="T938" s="49"/>
      <c r="U938" s="49">
        <v>43</v>
      </c>
      <c r="V938" s="49">
        <v>3</v>
      </c>
      <c r="W938" s="49"/>
      <c r="X938" s="49">
        <v>3</v>
      </c>
      <c r="Y938" s="49"/>
      <c r="Z938" s="113">
        <v>0</v>
      </c>
      <c r="AA938" s="49">
        <v>0</v>
      </c>
      <c r="AB938" s="50">
        <f>100/(SUM(I938:Z938))</f>
        <v>1</v>
      </c>
      <c r="AC938" s="259">
        <f>SUM(I938:AA938)</f>
        <v>100</v>
      </c>
      <c r="AD938" s="49"/>
      <c r="AE938" s="113"/>
      <c r="AF938" s="49"/>
      <c r="AG938" s="51" t="s">
        <v>127</v>
      </c>
      <c r="AH938" s="52" t="s">
        <v>761</v>
      </c>
      <c r="AI938" s="52" t="s">
        <v>762</v>
      </c>
      <c r="AJ938" s="52"/>
      <c r="AK938" s="47" t="s">
        <v>715</v>
      </c>
      <c r="AL938" s="51">
        <f>(B938-DATE(1970,1,1))*86400</f>
        <v>1642982400</v>
      </c>
      <c r="AM938" s="51">
        <f>(C938-DATE(1970,1,1))*86400</f>
        <v>1643155200</v>
      </c>
      <c r="AN938" s="51">
        <f>AVERAGE(AL938:AM938)</f>
        <v>1643068800</v>
      </c>
    </row>
    <row r="939" spans="1:65" ht="15.75" customHeight="1" x14ac:dyDescent="0.2">
      <c r="A939" s="288" t="s">
        <v>133</v>
      </c>
      <c r="B939" s="60">
        <v>44580</v>
      </c>
      <c r="C939" s="60">
        <v>44585</v>
      </c>
      <c r="D939" s="61" t="s">
        <v>168</v>
      </c>
      <c r="E939" s="334" t="s">
        <v>125</v>
      </c>
      <c r="F939" s="61" t="s">
        <v>390</v>
      </c>
      <c r="G939" s="61" t="s">
        <v>126</v>
      </c>
      <c r="H939" s="334">
        <v>1000</v>
      </c>
      <c r="I939" s="63">
        <v>41</v>
      </c>
      <c r="J939" s="63"/>
      <c r="K939" s="63"/>
      <c r="L939" s="63"/>
      <c r="M939" s="63"/>
      <c r="N939" s="63"/>
      <c r="O939" s="63"/>
      <c r="P939" s="63"/>
      <c r="Q939" s="63"/>
      <c r="R939" s="64"/>
      <c r="S939" s="63"/>
      <c r="T939" s="63"/>
      <c r="U939" s="63">
        <v>40</v>
      </c>
      <c r="V939" s="63">
        <v>3</v>
      </c>
      <c r="W939" s="63"/>
      <c r="X939" s="63">
        <v>2</v>
      </c>
      <c r="Y939" s="63"/>
      <c r="Z939" s="63">
        <v>0</v>
      </c>
      <c r="AA939" s="63">
        <v>14</v>
      </c>
      <c r="AB939" s="65">
        <f>100/(SUM(I939:Z939))</f>
        <v>1.1627906976744187</v>
      </c>
      <c r="AC939" s="259">
        <f>SUM(I939:AA939)</f>
        <v>100</v>
      </c>
      <c r="AD939" s="63"/>
      <c r="AE939" s="64"/>
      <c r="AF939" s="64"/>
      <c r="AG939" s="66" t="s">
        <v>127</v>
      </c>
      <c r="AH939" s="67" t="s">
        <v>763</v>
      </c>
      <c r="AI939" s="67" t="s">
        <v>764</v>
      </c>
      <c r="AJ939" s="67"/>
      <c r="AK939" s="61"/>
      <c r="AL939" s="66">
        <f>(B939-DATE(1970,1,1))*86400</f>
        <v>1642550400</v>
      </c>
      <c r="AM939" s="66">
        <f>(C939-DATE(1970,1,1))*86400</f>
        <v>1642982400</v>
      </c>
      <c r="AN939" s="66">
        <f>AVERAGE(AL939:AM939)</f>
        <v>1642766400</v>
      </c>
    </row>
    <row r="940" spans="1:65" ht="15.75" customHeight="1" x14ac:dyDescent="0.2">
      <c r="A940" s="288" t="s">
        <v>133</v>
      </c>
      <c r="B940" s="60">
        <v>44580</v>
      </c>
      <c r="C940" s="60">
        <v>44585</v>
      </c>
      <c r="D940" s="61" t="s">
        <v>168</v>
      </c>
      <c r="E940" s="334" t="s">
        <v>125</v>
      </c>
      <c r="F940" s="61" t="s">
        <v>390</v>
      </c>
      <c r="G940" s="61" t="s">
        <v>126</v>
      </c>
      <c r="H940" s="334">
        <v>1000</v>
      </c>
      <c r="I940" s="63">
        <v>47</v>
      </c>
      <c r="J940" s="63"/>
      <c r="K940" s="63"/>
      <c r="L940" s="63"/>
      <c r="M940" s="63"/>
      <c r="N940" s="63"/>
      <c r="O940" s="63"/>
      <c r="P940" s="63"/>
      <c r="Q940" s="63"/>
      <c r="R940" s="64"/>
      <c r="S940" s="63"/>
      <c r="T940" s="63"/>
      <c r="U940" s="63">
        <v>47</v>
      </c>
      <c r="V940" s="63">
        <v>3</v>
      </c>
      <c r="W940" s="63"/>
      <c r="X940" s="63">
        <v>3</v>
      </c>
      <c r="Y940" s="63"/>
      <c r="Z940" s="63">
        <v>0</v>
      </c>
      <c r="AA940" s="63">
        <v>0</v>
      </c>
      <c r="AB940" s="65">
        <f>100/(SUM(I940:Z940))</f>
        <v>1</v>
      </c>
      <c r="AC940" s="259">
        <f>SUM(I940:AA940)</f>
        <v>100</v>
      </c>
      <c r="AD940" s="63"/>
      <c r="AE940" s="63"/>
      <c r="AF940" s="63"/>
      <c r="AG940" s="66" t="s">
        <v>127</v>
      </c>
      <c r="AH940" s="67" t="s">
        <v>763</v>
      </c>
      <c r="AI940" s="67" t="s">
        <v>764</v>
      </c>
      <c r="AJ940" s="67"/>
      <c r="AK940" s="61"/>
      <c r="AL940" s="66">
        <f>(B940-DATE(1970,1,1))*86400</f>
        <v>1642550400</v>
      </c>
      <c r="AM940" s="66">
        <f>(C940-DATE(1970,1,1))*86400</f>
        <v>1642982400</v>
      </c>
      <c r="AN940" s="66">
        <f>AVERAGE(AL940:AM940)</f>
        <v>1642766400</v>
      </c>
    </row>
    <row r="941" spans="1:65" ht="15.75" customHeight="1" x14ac:dyDescent="0.2">
      <c r="A941" s="406" t="s">
        <v>123</v>
      </c>
      <c r="B941" s="407">
        <v>44578</v>
      </c>
      <c r="C941" s="407">
        <v>44580</v>
      </c>
      <c r="D941" s="408" t="s">
        <v>227</v>
      </c>
      <c r="E941" s="409" t="s">
        <v>184</v>
      </c>
      <c r="F941" s="408" t="s">
        <v>390</v>
      </c>
      <c r="G941" s="408" t="s">
        <v>126</v>
      </c>
      <c r="H941" s="420">
        <v>1000</v>
      </c>
      <c r="I941" s="411">
        <v>49</v>
      </c>
      <c r="J941" s="411"/>
      <c r="K941" s="411"/>
      <c r="L941" s="411"/>
      <c r="M941" s="411"/>
      <c r="N941" s="411"/>
      <c r="O941" s="411"/>
      <c r="P941" s="411"/>
      <c r="Q941" s="411"/>
      <c r="R941" s="411"/>
      <c r="S941" s="411"/>
      <c r="T941" s="411"/>
      <c r="U941" s="411">
        <v>44</v>
      </c>
      <c r="V941" s="411">
        <v>3</v>
      </c>
      <c r="W941" s="411"/>
      <c r="X941" s="411">
        <v>4</v>
      </c>
      <c r="Y941" s="411"/>
      <c r="Z941" s="421">
        <v>0</v>
      </c>
      <c r="AA941" s="411">
        <v>0</v>
      </c>
      <c r="AB941" s="412">
        <f>100/(SUM(I941:Z941))</f>
        <v>1</v>
      </c>
      <c r="AC941" s="413">
        <f>SUM(I941:AA941)</f>
        <v>100</v>
      </c>
      <c r="AD941" s="411"/>
      <c r="AE941" s="421"/>
      <c r="AF941" s="411"/>
      <c r="AG941" s="414" t="s">
        <v>127</v>
      </c>
      <c r="AH941" s="419" t="s">
        <v>768</v>
      </c>
      <c r="AI941" s="419" t="s">
        <v>769</v>
      </c>
      <c r="AJ941" s="419"/>
      <c r="AK941" s="408" t="s">
        <v>770</v>
      </c>
      <c r="AL941" s="414">
        <f>(B941-DATE(1970,1,1))*86400</f>
        <v>1642377600</v>
      </c>
      <c r="AM941" s="414">
        <f>(C941-DATE(1970,1,1))*86400</f>
        <v>1642550400</v>
      </c>
      <c r="AN941" s="414">
        <f>AVERAGE(AL941:AM941)</f>
        <v>1642464000</v>
      </c>
    </row>
    <row r="942" spans="1:65" ht="15.75" customHeight="1" x14ac:dyDescent="0.2">
      <c r="A942" s="406" t="s">
        <v>123</v>
      </c>
      <c r="B942" s="407">
        <v>44578</v>
      </c>
      <c r="C942" s="407">
        <v>44580</v>
      </c>
      <c r="D942" s="408" t="s">
        <v>227</v>
      </c>
      <c r="E942" s="409" t="s">
        <v>184</v>
      </c>
      <c r="F942" s="408" t="s">
        <v>140</v>
      </c>
      <c r="G942" s="408" t="s">
        <v>126</v>
      </c>
      <c r="H942" s="420">
        <v>1000</v>
      </c>
      <c r="I942" s="411"/>
      <c r="J942" s="411"/>
      <c r="K942" s="411"/>
      <c r="L942" s="411"/>
      <c r="M942" s="411"/>
      <c r="N942" s="411"/>
      <c r="O942" s="411"/>
      <c r="P942" s="411"/>
      <c r="Q942" s="411"/>
      <c r="R942" s="411"/>
      <c r="S942" s="411"/>
      <c r="T942" s="411"/>
      <c r="U942" s="411"/>
      <c r="V942" s="411"/>
      <c r="W942" s="411"/>
      <c r="X942" s="411"/>
      <c r="Y942" s="411"/>
      <c r="Z942" s="421"/>
      <c r="AA942" s="411"/>
      <c r="AB942" s="412" t="e">
        <f>100/(SUM(I942:Z942))</f>
        <v>#DIV/0!</v>
      </c>
      <c r="AC942" s="413">
        <f>SUM(I942:AA942)</f>
        <v>0</v>
      </c>
      <c r="AD942" s="411"/>
      <c r="AE942" s="421"/>
      <c r="AF942" s="411"/>
      <c r="AG942" s="414" t="s">
        <v>127</v>
      </c>
      <c r="AH942" s="408" t="s">
        <v>765</v>
      </c>
      <c r="AI942" s="419" t="s">
        <v>766</v>
      </c>
      <c r="AJ942" s="419"/>
      <c r="AK942" s="408" t="s">
        <v>767</v>
      </c>
      <c r="AL942" s="414">
        <f>(B942-DATE(1970,1,1))*86400</f>
        <v>1642377600</v>
      </c>
      <c r="AM942" s="414">
        <f>(C942-DATE(1970,1,1))*86400</f>
        <v>1642550400</v>
      </c>
      <c r="AN942" s="414">
        <f>AVERAGE(AL942:AM942)</f>
        <v>1642464000</v>
      </c>
    </row>
    <row r="943" spans="1:65" s="476" customFormat="1" ht="15.75" customHeight="1" x14ac:dyDescent="0.2">
      <c r="A943" s="281" t="s">
        <v>133</v>
      </c>
      <c r="B943" s="68">
        <v>44562</v>
      </c>
      <c r="C943" s="68">
        <v>44592</v>
      </c>
      <c r="D943" s="53" t="s">
        <v>154</v>
      </c>
      <c r="E943" s="323" t="s">
        <v>125</v>
      </c>
      <c r="F943" s="53" t="s">
        <v>390</v>
      </c>
      <c r="G943" s="53" t="s">
        <v>126</v>
      </c>
      <c r="H943" s="362">
        <v>1003</v>
      </c>
      <c r="I943" s="55">
        <v>33</v>
      </c>
      <c r="J943" s="55"/>
      <c r="K943" s="55"/>
      <c r="L943" s="55"/>
      <c r="M943" s="55"/>
      <c r="N943" s="55"/>
      <c r="O943" s="55"/>
      <c r="P943" s="55"/>
      <c r="Q943" s="55"/>
      <c r="R943" s="56"/>
      <c r="S943" s="55"/>
      <c r="T943" s="55"/>
      <c r="U943" s="55">
        <v>32</v>
      </c>
      <c r="V943" s="56">
        <v>1</v>
      </c>
      <c r="W943" s="56"/>
      <c r="X943" s="56">
        <v>2</v>
      </c>
      <c r="Y943" s="56"/>
      <c r="Z943" s="56">
        <v>1</v>
      </c>
      <c r="AA943" s="56">
        <v>30</v>
      </c>
      <c r="AB943" s="57">
        <f>100/(SUM(I943:Z943))</f>
        <v>1.4492753623188406</v>
      </c>
      <c r="AC943" s="259">
        <f>SUM(I943:AA943)</f>
        <v>99</v>
      </c>
      <c r="AD943" s="55"/>
      <c r="AE943" s="55"/>
      <c r="AF943" s="55"/>
      <c r="AG943" s="58" t="s">
        <v>155</v>
      </c>
      <c r="AH943" s="59" t="s">
        <v>745</v>
      </c>
      <c r="AI943" s="59"/>
      <c r="AJ943" s="59"/>
      <c r="AK943" s="53" t="s">
        <v>771</v>
      </c>
      <c r="AL943" s="58">
        <f>(B943-DATE(1970,1,1))*86400</f>
        <v>1640995200</v>
      </c>
      <c r="AM943" s="58">
        <f>(C943-DATE(1970,1,1))*86400</f>
        <v>1643587200</v>
      </c>
      <c r="AN943" s="58">
        <f>AVERAGE(AL943:AM943)</f>
        <v>1642291200</v>
      </c>
      <c r="AO943"/>
      <c r="AP943"/>
      <c r="AQ943"/>
      <c r="AR943"/>
      <c r="AS943"/>
      <c r="AT943"/>
      <c r="AU943"/>
      <c r="AV943"/>
      <c r="AW943"/>
      <c r="AX943"/>
      <c r="AY943"/>
      <c r="AZ943"/>
      <c r="BA943"/>
      <c r="BB943"/>
      <c r="BC943"/>
      <c r="BD943"/>
      <c r="BE943"/>
      <c r="BF943"/>
      <c r="BG943"/>
      <c r="BH943"/>
      <c r="BI943"/>
      <c r="BJ943"/>
      <c r="BK943"/>
      <c r="BL943"/>
      <c r="BM943"/>
    </row>
    <row r="944" spans="1:65" s="476" customFormat="1" ht="15.75" customHeight="1" x14ac:dyDescent="0.2">
      <c r="A944" s="279" t="s">
        <v>123</v>
      </c>
      <c r="B944" s="14">
        <v>44571</v>
      </c>
      <c r="C944" s="14">
        <v>44573</v>
      </c>
      <c r="D944" s="13" t="s">
        <v>124</v>
      </c>
      <c r="E944" s="324" t="s">
        <v>125</v>
      </c>
      <c r="F944" s="13" t="s">
        <v>140</v>
      </c>
      <c r="G944" s="13" t="s">
        <v>126</v>
      </c>
      <c r="H944" s="372">
        <v>1000</v>
      </c>
      <c r="I944" s="15"/>
      <c r="J944" s="15"/>
      <c r="K944" s="15"/>
      <c r="L944" s="15"/>
      <c r="M944" s="15"/>
      <c r="N944" s="15"/>
      <c r="O944" s="15"/>
      <c r="P944" s="15"/>
      <c r="Q944" s="15"/>
      <c r="R944" s="15"/>
      <c r="S944" s="15"/>
      <c r="T944" s="15"/>
      <c r="U944" s="15"/>
      <c r="V944" s="15"/>
      <c r="W944" s="15"/>
      <c r="X944" s="15"/>
      <c r="Y944" s="15"/>
      <c r="Z944" s="98"/>
      <c r="AA944" s="15"/>
      <c r="AB944" s="16" t="e">
        <f>100/(SUM(I944:Z944))</f>
        <v>#DIV/0!</v>
      </c>
      <c r="AC944" s="259">
        <f>SUM(I944:AA944)</f>
        <v>0</v>
      </c>
      <c r="AD944" s="15"/>
      <c r="AE944" s="98"/>
      <c r="AF944" s="15"/>
      <c r="AG944" s="17" t="s">
        <v>127</v>
      </c>
      <c r="AH944" s="18"/>
      <c r="AI944" s="18"/>
      <c r="AJ944" s="18" t="s">
        <v>772</v>
      </c>
      <c r="AK944" s="13"/>
      <c r="AL944" s="17">
        <f>(B944-DATE(1970,1,1))*86400</f>
        <v>1641772800</v>
      </c>
      <c r="AM944" s="17">
        <f>(C944-DATE(1970,1,1))*86400</f>
        <v>1641945600</v>
      </c>
      <c r="AN944" s="17">
        <f>AVERAGE(AL944:AM944)</f>
        <v>1641859200</v>
      </c>
      <c r="AO944"/>
      <c r="AP944"/>
      <c r="AQ944"/>
      <c r="AR944"/>
      <c r="AS944"/>
      <c r="AT944"/>
      <c r="AU944"/>
      <c r="AV944"/>
      <c r="AW944"/>
      <c r="AX944"/>
      <c r="AY944"/>
      <c r="AZ944"/>
      <c r="BA944"/>
      <c r="BB944"/>
      <c r="BC944"/>
      <c r="BD944"/>
      <c r="BE944"/>
      <c r="BF944"/>
      <c r="BG944"/>
      <c r="BH944"/>
      <c r="BI944"/>
      <c r="BJ944"/>
      <c r="BK944"/>
      <c r="BL944"/>
      <c r="BM944"/>
    </row>
    <row r="945" spans="1:65" s="476" customFormat="1" ht="15.75" customHeight="1" x14ac:dyDescent="0.2">
      <c r="A945" s="302" t="s">
        <v>133</v>
      </c>
      <c r="B945" s="122">
        <v>44567</v>
      </c>
      <c r="C945" s="122">
        <v>44575</v>
      </c>
      <c r="D945" s="121" t="s">
        <v>718</v>
      </c>
      <c r="E945" s="322" t="s">
        <v>184</v>
      </c>
      <c r="F945" s="121"/>
      <c r="G945" s="121" t="s">
        <v>126</v>
      </c>
      <c r="H945" s="369">
        <v>1000</v>
      </c>
      <c r="I945" s="123">
        <v>43</v>
      </c>
      <c r="J945" s="123">
        <v>3</v>
      </c>
      <c r="K945" s="123">
        <v>2</v>
      </c>
      <c r="L945" s="123">
        <v>2</v>
      </c>
      <c r="M945" s="123">
        <v>9</v>
      </c>
      <c r="N945" s="123"/>
      <c r="O945" s="123"/>
      <c r="P945" s="123">
        <v>4</v>
      </c>
      <c r="Q945" s="123"/>
      <c r="R945" s="124"/>
      <c r="S945" s="123">
        <v>2</v>
      </c>
      <c r="T945" s="123"/>
      <c r="U945" s="123"/>
      <c r="V945" s="123">
        <v>5</v>
      </c>
      <c r="W945" s="123"/>
      <c r="X945" s="123">
        <v>3</v>
      </c>
      <c r="Y945" s="123"/>
      <c r="Z945" s="123">
        <v>3</v>
      </c>
      <c r="AA945" s="123">
        <v>25</v>
      </c>
      <c r="AB945" s="125">
        <f>100/(SUM(I945:Z945))</f>
        <v>1.3157894736842106</v>
      </c>
      <c r="AC945" s="259">
        <f>SUM(I945:AA945)</f>
        <v>101</v>
      </c>
      <c r="AD945" s="123"/>
      <c r="AE945" s="123"/>
      <c r="AF945" s="123"/>
      <c r="AG945" s="126" t="s">
        <v>719</v>
      </c>
      <c r="AH945" s="253" t="s">
        <v>1996</v>
      </c>
      <c r="AI945" s="127"/>
      <c r="AJ945" s="127"/>
      <c r="AK945" s="121" t="s">
        <v>1994</v>
      </c>
      <c r="AL945" s="126">
        <f>(B945-DATE(1970,1,1))*86400</f>
        <v>1641427200</v>
      </c>
      <c r="AM945" s="126">
        <f>(C945-DATE(1970,1,1))*86400</f>
        <v>1642118400</v>
      </c>
      <c r="AN945" s="126">
        <f>AVERAGE(AL945:AM945)</f>
        <v>1641772800</v>
      </c>
      <c r="AO945"/>
      <c r="AP945"/>
      <c r="AQ945"/>
      <c r="AR945"/>
      <c r="AS945"/>
      <c r="AT945"/>
      <c r="AU945"/>
      <c r="AV945"/>
      <c r="AW945"/>
      <c r="AX945"/>
      <c r="AY945"/>
      <c r="AZ945"/>
      <c r="BA945"/>
      <c r="BB945"/>
      <c r="BC945"/>
      <c r="BD945"/>
      <c r="BE945"/>
      <c r="BF945"/>
      <c r="BG945"/>
      <c r="BH945"/>
      <c r="BI945"/>
      <c r="BJ945"/>
      <c r="BK945"/>
      <c r="BL945"/>
      <c r="BM945"/>
    </row>
    <row r="946" spans="1:65" s="476" customFormat="1" ht="15.75" customHeight="1" x14ac:dyDescent="0.2">
      <c r="A946" s="302" t="s">
        <v>133</v>
      </c>
      <c r="B946" s="122">
        <v>44567</v>
      </c>
      <c r="C946" s="122">
        <v>44575</v>
      </c>
      <c r="D946" s="121" t="s">
        <v>718</v>
      </c>
      <c r="E946" s="322" t="s">
        <v>184</v>
      </c>
      <c r="F946" s="121" t="s">
        <v>2049</v>
      </c>
      <c r="G946" s="121" t="s">
        <v>126</v>
      </c>
      <c r="H946" s="369">
        <v>1000</v>
      </c>
      <c r="I946" s="123">
        <v>43</v>
      </c>
      <c r="J946" s="123"/>
      <c r="K946" s="123"/>
      <c r="L946" s="123"/>
      <c r="M946" s="123"/>
      <c r="N946" s="123"/>
      <c r="O946" s="123"/>
      <c r="P946" s="123"/>
      <c r="Q946" s="123"/>
      <c r="R946" s="124"/>
      <c r="S946" s="123"/>
      <c r="T946" s="123"/>
      <c r="U946" s="123">
        <v>39</v>
      </c>
      <c r="V946" s="123"/>
      <c r="W946" s="123"/>
      <c r="X946" s="123"/>
      <c r="Y946" s="123"/>
      <c r="Z946" s="123"/>
      <c r="AA946" s="123">
        <v>18</v>
      </c>
      <c r="AB946" s="125">
        <f>100/(SUM(I946:Z946))</f>
        <v>1.2195121951219512</v>
      </c>
      <c r="AC946" s="259">
        <f>SUM(I946:AA946)</f>
        <v>100</v>
      </c>
      <c r="AD946" s="123">
        <v>59</v>
      </c>
      <c r="AE946" s="123"/>
      <c r="AF946" s="123"/>
      <c r="AG946" s="126" t="s">
        <v>719</v>
      </c>
      <c r="AH946" s="253" t="s">
        <v>1996</v>
      </c>
      <c r="AI946" s="253" t="s">
        <v>1990</v>
      </c>
      <c r="AJ946" s="253"/>
      <c r="AK946" s="121" t="s">
        <v>1995</v>
      </c>
      <c r="AL946" s="126">
        <f>(B946-DATE(1970,1,1))*86400</f>
        <v>1641427200</v>
      </c>
      <c r="AM946" s="126">
        <f>(C946-DATE(1970,1,1))*86400</f>
        <v>1642118400</v>
      </c>
      <c r="AN946" s="126">
        <f>AVERAGE(AL946:AM946)</f>
        <v>1641772800</v>
      </c>
      <c r="AO946"/>
      <c r="AP946"/>
      <c r="AQ946"/>
      <c r="AR946"/>
      <c r="AS946"/>
      <c r="AT946"/>
      <c r="AU946"/>
      <c r="AV946"/>
      <c r="AW946"/>
      <c r="AX946"/>
      <c r="AY946"/>
      <c r="AZ946"/>
      <c r="BA946"/>
      <c r="BB946"/>
      <c r="BC946"/>
      <c r="BD946"/>
      <c r="BE946"/>
      <c r="BF946"/>
      <c r="BG946"/>
      <c r="BH946"/>
      <c r="BI946"/>
      <c r="BJ946"/>
      <c r="BK946"/>
      <c r="BL946"/>
      <c r="BM946"/>
    </row>
    <row r="947" spans="1:65" s="476" customFormat="1" ht="15.75" customHeight="1" x14ac:dyDescent="0.2">
      <c r="A947" s="284" t="s">
        <v>133</v>
      </c>
      <c r="B947" s="20">
        <v>44565</v>
      </c>
      <c r="C947" s="20">
        <v>44575</v>
      </c>
      <c r="D947" s="19" t="s">
        <v>134</v>
      </c>
      <c r="E947" s="332" t="s">
        <v>125</v>
      </c>
      <c r="F947" s="19"/>
      <c r="G947" s="19" t="s">
        <v>135</v>
      </c>
      <c r="H947" s="332">
        <v>2000</v>
      </c>
      <c r="I947" s="21">
        <v>37</v>
      </c>
      <c r="J947" s="21">
        <v>4</v>
      </c>
      <c r="K947" s="21">
        <v>8</v>
      </c>
      <c r="L947" s="21">
        <v>1</v>
      </c>
      <c r="M947" s="21">
        <v>11</v>
      </c>
      <c r="N947" s="21"/>
      <c r="O947" s="21">
        <v>2</v>
      </c>
      <c r="P947" s="21">
        <v>6</v>
      </c>
      <c r="Q947" s="21"/>
      <c r="R947" s="22"/>
      <c r="S947" s="21"/>
      <c r="T947" s="21"/>
      <c r="U947" s="21"/>
      <c r="V947" s="21">
        <v>3</v>
      </c>
      <c r="W947" s="21"/>
      <c r="X947" s="21">
        <v>3</v>
      </c>
      <c r="Y947" s="21"/>
      <c r="Z947" s="21">
        <v>0</v>
      </c>
      <c r="AA947" s="21">
        <v>25</v>
      </c>
      <c r="AB947" s="23">
        <f>100/(SUM(I947:Z947))</f>
        <v>1.3333333333333333</v>
      </c>
      <c r="AC947" s="259">
        <f>SUM(I947:AA947)</f>
        <v>100</v>
      </c>
      <c r="AD947" s="24"/>
      <c r="AE947" s="24"/>
      <c r="AF947" s="24"/>
      <c r="AG947" s="25" t="s">
        <v>127</v>
      </c>
      <c r="AH947" s="26" t="s">
        <v>773</v>
      </c>
      <c r="AI947" s="83"/>
      <c r="AJ947" s="83"/>
      <c r="AK947" s="19"/>
      <c r="AL947" s="25">
        <f>(B947-DATE(1970,1,1))*86400</f>
        <v>1641254400</v>
      </c>
      <c r="AM947" s="25">
        <f>(C947-DATE(1970,1,1))*86400</f>
        <v>1642118400</v>
      </c>
      <c r="AN947" s="25">
        <f>AVERAGE(AL947:AM947)</f>
        <v>1641686400</v>
      </c>
      <c r="AO947"/>
      <c r="AP947"/>
      <c r="AQ947"/>
      <c r="AR947"/>
      <c r="AS947"/>
      <c r="AT947"/>
      <c r="AU947"/>
      <c r="AV947"/>
      <c r="AW947"/>
      <c r="AX947"/>
      <c r="AY947"/>
      <c r="AZ947"/>
      <c r="BA947"/>
      <c r="BB947"/>
      <c r="BC947"/>
      <c r="BD947"/>
      <c r="BE947"/>
      <c r="BF947"/>
      <c r="BG947"/>
      <c r="BH947"/>
      <c r="BI947"/>
      <c r="BJ947"/>
      <c r="BK947"/>
      <c r="BL947"/>
      <c r="BM947"/>
    </row>
    <row r="948" spans="1:65" s="476" customFormat="1" ht="15.75" customHeight="1" x14ac:dyDescent="0.2">
      <c r="A948" s="284" t="s">
        <v>133</v>
      </c>
      <c r="B948" s="20">
        <v>44565</v>
      </c>
      <c r="C948" s="20">
        <v>44575</v>
      </c>
      <c r="D948" s="19" t="s">
        <v>134</v>
      </c>
      <c r="E948" s="332" t="s">
        <v>125</v>
      </c>
      <c r="F948" s="19" t="s">
        <v>390</v>
      </c>
      <c r="G948" s="19" t="s">
        <v>135</v>
      </c>
      <c r="H948" s="332">
        <v>2000</v>
      </c>
      <c r="I948" s="21">
        <v>39</v>
      </c>
      <c r="J948" s="21"/>
      <c r="K948" s="21"/>
      <c r="L948" s="21"/>
      <c r="M948" s="21"/>
      <c r="N948" s="21"/>
      <c r="O948" s="21"/>
      <c r="P948" s="21"/>
      <c r="Q948" s="21"/>
      <c r="R948" s="22"/>
      <c r="S948" s="21"/>
      <c r="T948" s="21"/>
      <c r="U948" s="21">
        <v>37</v>
      </c>
      <c r="V948" s="21">
        <v>2</v>
      </c>
      <c r="W948" s="21"/>
      <c r="X948" s="21">
        <v>3</v>
      </c>
      <c r="Y948" s="21"/>
      <c r="Z948" s="21">
        <v>1</v>
      </c>
      <c r="AA948" s="21">
        <v>18</v>
      </c>
      <c r="AB948" s="23">
        <f>100/(SUM(I948:Z948))</f>
        <v>1.2195121951219512</v>
      </c>
      <c r="AC948" s="259">
        <f>SUM(I948:AA948)</f>
        <v>100</v>
      </c>
      <c r="AD948" s="24"/>
      <c r="AE948" s="24"/>
      <c r="AF948" s="24"/>
      <c r="AG948" s="25" t="s">
        <v>127</v>
      </c>
      <c r="AH948" s="26" t="s">
        <v>773</v>
      </c>
      <c r="AI948" s="83"/>
      <c r="AJ948" s="83"/>
      <c r="AK948" s="19"/>
      <c r="AL948" s="25">
        <f>(B948-DATE(1970,1,1))*86400</f>
        <v>1641254400</v>
      </c>
      <c r="AM948" s="25">
        <f>(C948-DATE(1970,1,1))*86400</f>
        <v>1642118400</v>
      </c>
      <c r="AN948" s="25">
        <f>AVERAGE(AL948:AM948)</f>
        <v>1641686400</v>
      </c>
      <c r="AO948"/>
      <c r="AP948"/>
      <c r="AQ948"/>
      <c r="AR948"/>
      <c r="AS948"/>
      <c r="AT948"/>
      <c r="AU948"/>
      <c r="AV948"/>
      <c r="AW948"/>
      <c r="AX948"/>
      <c r="AY948"/>
      <c r="AZ948"/>
      <c r="BA948"/>
      <c r="BB948"/>
      <c r="BC948"/>
      <c r="BD948"/>
      <c r="BE948"/>
      <c r="BF948"/>
      <c r="BG948"/>
      <c r="BH948"/>
      <c r="BI948"/>
      <c r="BJ948"/>
      <c r="BK948"/>
      <c r="BL948"/>
      <c r="BM948"/>
    </row>
    <row r="949" spans="1:65" ht="15.75" customHeight="1" x14ac:dyDescent="0.2">
      <c r="A949" s="284" t="s">
        <v>123</v>
      </c>
      <c r="B949" s="20">
        <v>44565</v>
      </c>
      <c r="C949" s="20">
        <v>44575</v>
      </c>
      <c r="D949" s="19" t="s">
        <v>134</v>
      </c>
      <c r="E949" s="332" t="s">
        <v>125</v>
      </c>
      <c r="F949" s="19" t="s">
        <v>390</v>
      </c>
      <c r="G949" s="19" t="s">
        <v>135</v>
      </c>
      <c r="H949" s="332">
        <v>2000</v>
      </c>
      <c r="I949" s="21">
        <v>48</v>
      </c>
      <c r="J949" s="21"/>
      <c r="K949" s="21"/>
      <c r="L949" s="21"/>
      <c r="M949" s="21"/>
      <c r="N949" s="21"/>
      <c r="O949" s="21"/>
      <c r="P949" s="21"/>
      <c r="Q949" s="21"/>
      <c r="R949" s="22"/>
      <c r="S949" s="21"/>
      <c r="T949" s="21"/>
      <c r="U949" s="21">
        <v>44</v>
      </c>
      <c r="V949" s="21">
        <v>4</v>
      </c>
      <c r="W949" s="21"/>
      <c r="X949" s="21">
        <v>4</v>
      </c>
      <c r="Y949" s="21"/>
      <c r="Z949" s="21">
        <v>0</v>
      </c>
      <c r="AA949" s="21">
        <v>0</v>
      </c>
      <c r="AB949" s="23">
        <f>100/(SUM(I949:Z949))</f>
        <v>1</v>
      </c>
      <c r="AC949" s="259">
        <f>SUM(I949:AA949)</f>
        <v>100</v>
      </c>
      <c r="AD949" s="24"/>
      <c r="AE949" s="24"/>
      <c r="AF949" s="24"/>
      <c r="AG949" s="25" t="s">
        <v>127</v>
      </c>
      <c r="AH949" s="26" t="s">
        <v>773</v>
      </c>
      <c r="AI949" s="83"/>
      <c r="AJ949" s="83"/>
      <c r="AK949" s="19"/>
      <c r="AL949" s="25">
        <f>(B949-DATE(1970,1,1))*86400</f>
        <v>1641254400</v>
      </c>
      <c r="AM949" s="25">
        <f>(C949-DATE(1970,1,1))*86400</f>
        <v>1642118400</v>
      </c>
      <c r="AN949" s="25">
        <f>AVERAGE(AL949:AM949)</f>
        <v>1641686400</v>
      </c>
    </row>
    <row r="950" spans="1:65" ht="15.75" customHeight="1" x14ac:dyDescent="0.2">
      <c r="A950" s="284" t="s">
        <v>123</v>
      </c>
      <c r="B950" s="20">
        <v>44565</v>
      </c>
      <c r="C950" s="20">
        <v>44575</v>
      </c>
      <c r="D950" s="19" t="s">
        <v>134</v>
      </c>
      <c r="E950" s="332" t="s">
        <v>125</v>
      </c>
      <c r="F950" s="19"/>
      <c r="G950" s="19" t="s">
        <v>135</v>
      </c>
      <c r="H950" s="332">
        <v>2000</v>
      </c>
      <c r="I950" s="21">
        <v>48</v>
      </c>
      <c r="J950" s="21">
        <v>4</v>
      </c>
      <c r="K950" s="21">
        <v>11</v>
      </c>
      <c r="L950" s="21">
        <v>1</v>
      </c>
      <c r="M950" s="21">
        <v>17</v>
      </c>
      <c r="N950" s="21"/>
      <c r="O950" s="21">
        <v>2</v>
      </c>
      <c r="P950" s="21">
        <v>9</v>
      </c>
      <c r="Q950" s="21"/>
      <c r="R950" s="22"/>
      <c r="S950" s="21"/>
      <c r="T950" s="21"/>
      <c r="U950" s="21"/>
      <c r="V950" s="21">
        <v>3</v>
      </c>
      <c r="W950" s="21"/>
      <c r="X950" s="21">
        <v>4</v>
      </c>
      <c r="Y950" s="21"/>
      <c r="Z950" s="21">
        <v>1</v>
      </c>
      <c r="AA950" s="21">
        <v>0</v>
      </c>
      <c r="AB950" s="23">
        <f>100/(SUM(I950:Z950))</f>
        <v>1</v>
      </c>
      <c r="AC950" s="259">
        <f>SUM(I950:AA950)</f>
        <v>100</v>
      </c>
      <c r="AD950" s="24"/>
      <c r="AE950" s="24"/>
      <c r="AF950" s="24"/>
      <c r="AG950" s="25" t="s">
        <v>127</v>
      </c>
      <c r="AH950" s="26" t="s">
        <v>773</v>
      </c>
      <c r="AI950" s="83"/>
      <c r="AJ950" s="83"/>
      <c r="AK950" s="19"/>
      <c r="AL950" s="25">
        <f>(B950-DATE(1970,1,1))*86400</f>
        <v>1641254400</v>
      </c>
      <c r="AM950" s="25">
        <f>(C950-DATE(1970,1,1))*86400</f>
        <v>1642118400</v>
      </c>
      <c r="AN950" s="25">
        <f>AVERAGE(AL950:AM950)</f>
        <v>1641686400</v>
      </c>
    </row>
    <row r="951" spans="1:65" ht="15.75" customHeight="1" x14ac:dyDescent="0.2">
      <c r="A951" s="286" t="s">
        <v>133</v>
      </c>
      <c r="B951" s="106">
        <v>44531</v>
      </c>
      <c r="C951" s="106">
        <v>44600</v>
      </c>
      <c r="D951" s="40" t="s">
        <v>774</v>
      </c>
      <c r="E951" s="325" t="s">
        <v>184</v>
      </c>
      <c r="F951" s="40" t="s">
        <v>2529</v>
      </c>
      <c r="G951" s="129" t="s">
        <v>126</v>
      </c>
      <c r="H951" s="366">
        <v>700</v>
      </c>
      <c r="I951" s="42">
        <v>41</v>
      </c>
      <c r="J951" s="42"/>
      <c r="K951" s="42"/>
      <c r="L951" s="42"/>
      <c r="M951" s="42"/>
      <c r="N951" s="42"/>
      <c r="O951" s="42"/>
      <c r="P951" s="42"/>
      <c r="Q951" s="42"/>
      <c r="R951" s="43"/>
      <c r="S951" s="42"/>
      <c r="T951" s="42"/>
      <c r="U951" s="42">
        <v>43</v>
      </c>
      <c r="V951" s="42"/>
      <c r="W951" s="42"/>
      <c r="X951" s="42"/>
      <c r="Y951" s="42"/>
      <c r="Z951" s="42">
        <v>2</v>
      </c>
      <c r="AA951" s="42">
        <v>14</v>
      </c>
      <c r="AB951" s="44">
        <f>100/(SUM(I951:Z951))</f>
        <v>1.1627906976744187</v>
      </c>
      <c r="AC951" s="259">
        <f>SUM(I951:AA951)</f>
        <v>100</v>
      </c>
      <c r="AD951" s="42"/>
      <c r="AE951" s="42"/>
      <c r="AF951" s="42"/>
      <c r="AG951" s="45"/>
      <c r="AH951" s="42" t="s">
        <v>775</v>
      </c>
      <c r="AI951" s="46"/>
      <c r="AJ951" s="46"/>
      <c r="AK951" s="40" t="s">
        <v>776</v>
      </c>
      <c r="AL951" s="45">
        <f>(B951-DATE(1970,1,1))*86400</f>
        <v>1638316800</v>
      </c>
      <c r="AM951" s="45">
        <f>(C951-DATE(1970,1,1))*86400</f>
        <v>1644278400</v>
      </c>
      <c r="AN951" s="45">
        <f>AVERAGE(AL951:AM951)</f>
        <v>1641297600</v>
      </c>
    </row>
    <row r="952" spans="1:65" ht="15.75" customHeight="1" x14ac:dyDescent="0.2">
      <c r="A952" s="279" t="s">
        <v>123</v>
      </c>
      <c r="B952" s="14">
        <v>44564</v>
      </c>
      <c r="C952" s="14">
        <v>44566</v>
      </c>
      <c r="D952" s="13" t="s">
        <v>124</v>
      </c>
      <c r="E952" s="324" t="s">
        <v>125</v>
      </c>
      <c r="F952" s="13" t="s">
        <v>390</v>
      </c>
      <c r="G952" s="13" t="s">
        <v>126</v>
      </c>
      <c r="H952" s="372">
        <v>1000</v>
      </c>
      <c r="I952" s="15">
        <v>50</v>
      </c>
      <c r="J952" s="15"/>
      <c r="K952" s="15"/>
      <c r="L952" s="15"/>
      <c r="M952" s="15"/>
      <c r="N952" s="15"/>
      <c r="O952" s="15"/>
      <c r="P952" s="15"/>
      <c r="Q952" s="15"/>
      <c r="R952" s="15"/>
      <c r="S952" s="15"/>
      <c r="T952" s="15"/>
      <c r="U952" s="15">
        <v>43</v>
      </c>
      <c r="V952" s="15">
        <v>3</v>
      </c>
      <c r="W952" s="15"/>
      <c r="X952" s="15">
        <v>3</v>
      </c>
      <c r="Y952" s="15"/>
      <c r="Z952" s="98">
        <v>1</v>
      </c>
      <c r="AA952" s="15">
        <v>0</v>
      </c>
      <c r="AB952" s="16">
        <f>100/(SUM(I952:Z952))</f>
        <v>1</v>
      </c>
      <c r="AC952" s="259">
        <f>SUM(I952:AA952)</f>
        <v>100</v>
      </c>
      <c r="AD952" s="15"/>
      <c r="AE952" s="98"/>
      <c r="AF952" s="15"/>
      <c r="AG952" s="17" t="s">
        <v>127</v>
      </c>
      <c r="AH952" s="201" t="s">
        <v>2628</v>
      </c>
      <c r="AI952" s="18" t="s">
        <v>777</v>
      </c>
      <c r="AJ952" s="201" t="s">
        <v>2372</v>
      </c>
      <c r="AK952" s="13" t="s">
        <v>1683</v>
      </c>
      <c r="AL952" s="17">
        <f>(B952-DATE(1970,1,1))*86400</f>
        <v>1641168000</v>
      </c>
      <c r="AM952" s="17">
        <f>(C952-DATE(1970,1,1))*86400</f>
        <v>1641340800</v>
      </c>
      <c r="AN952" s="17">
        <f>AVERAGE(AL952:AM952)</f>
        <v>1641254400</v>
      </c>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row>
    <row r="953" spans="1:65" ht="15.75" customHeight="1" x14ac:dyDescent="0.2">
      <c r="A953" s="283" t="s">
        <v>133</v>
      </c>
      <c r="B953" s="28">
        <v>44551</v>
      </c>
      <c r="C953" s="28">
        <v>44553</v>
      </c>
      <c r="D953" s="27" t="s">
        <v>139</v>
      </c>
      <c r="E953" s="331" t="s">
        <v>184</v>
      </c>
      <c r="F953" s="27" t="s">
        <v>390</v>
      </c>
      <c r="G953" s="27" t="s">
        <v>126</v>
      </c>
      <c r="H953" s="374">
        <v>1000</v>
      </c>
      <c r="I953" s="29">
        <v>43</v>
      </c>
      <c r="J953" s="29"/>
      <c r="K953" s="29"/>
      <c r="L953" s="29"/>
      <c r="M953" s="29"/>
      <c r="N953" s="29"/>
      <c r="O953" s="29"/>
      <c r="P953" s="29"/>
      <c r="Q953" s="29"/>
      <c r="R953" s="29"/>
      <c r="S953" s="29"/>
      <c r="T953" s="29"/>
      <c r="U953" s="29">
        <v>33</v>
      </c>
      <c r="V953" s="29"/>
      <c r="W953" s="29"/>
      <c r="X953" s="29"/>
      <c r="Y953" s="29"/>
      <c r="Z953" s="29">
        <v>7</v>
      </c>
      <c r="AA953" s="29">
        <v>17</v>
      </c>
      <c r="AB953" s="30">
        <f>100/(SUM(I953:Z953))</f>
        <v>1.2048192771084338</v>
      </c>
      <c r="AC953" s="259">
        <f>SUM(I953:AA953)</f>
        <v>100</v>
      </c>
      <c r="AD953" s="29"/>
      <c r="AE953" s="130"/>
      <c r="AF953" s="29"/>
      <c r="AG953" s="31" t="s">
        <v>127</v>
      </c>
      <c r="AH953" s="32" t="s">
        <v>778</v>
      </c>
      <c r="AI953" s="32" t="s">
        <v>779</v>
      </c>
      <c r="AJ953" s="32"/>
      <c r="AK953" s="27" t="s">
        <v>2240</v>
      </c>
      <c r="AL953" s="31">
        <f>(B953-DATE(1970,1,1))*86400</f>
        <v>1640044800</v>
      </c>
      <c r="AM953" s="31">
        <f>(C953-DATE(1970,1,1))*86400</f>
        <v>1640217600</v>
      </c>
      <c r="AN953" s="31">
        <f>AVERAGE(AL953:AM953)</f>
        <v>1640131200</v>
      </c>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row>
    <row r="954" spans="1:65" ht="15.75" customHeight="1" x14ac:dyDescent="0.2">
      <c r="A954" s="283" t="s">
        <v>123</v>
      </c>
      <c r="B954" s="28">
        <v>44551</v>
      </c>
      <c r="C954" s="28">
        <v>44553</v>
      </c>
      <c r="D954" s="27" t="s">
        <v>139</v>
      </c>
      <c r="E954" s="331" t="s">
        <v>184</v>
      </c>
      <c r="F954" s="27" t="s">
        <v>390</v>
      </c>
      <c r="G954" s="27" t="s">
        <v>126</v>
      </c>
      <c r="H954" s="374">
        <v>1000</v>
      </c>
      <c r="I954" s="29">
        <v>54</v>
      </c>
      <c r="J954" s="29"/>
      <c r="K954" s="29"/>
      <c r="L954" s="29"/>
      <c r="M954" s="29"/>
      <c r="N954" s="29"/>
      <c r="O954" s="29"/>
      <c r="P954" s="29"/>
      <c r="Q954" s="29"/>
      <c r="R954" s="29"/>
      <c r="S954" s="29"/>
      <c r="T954" s="29"/>
      <c r="U954" s="29">
        <v>45</v>
      </c>
      <c r="V954" s="29"/>
      <c r="W954" s="29"/>
      <c r="X954" s="29"/>
      <c r="Y954" s="29"/>
      <c r="Z954" s="29">
        <v>1</v>
      </c>
      <c r="AA954" s="29">
        <v>0</v>
      </c>
      <c r="AB954" s="30">
        <f>100/(SUM(I954:Z954))</f>
        <v>1</v>
      </c>
      <c r="AC954" s="259">
        <f>SUM(I954:AA954)</f>
        <v>100</v>
      </c>
      <c r="AD954" s="29"/>
      <c r="AE954" s="29">
        <v>3</v>
      </c>
      <c r="AF954" s="29">
        <v>20</v>
      </c>
      <c r="AG954" s="31" t="s">
        <v>127</v>
      </c>
      <c r="AH954" s="32" t="s">
        <v>780</v>
      </c>
      <c r="AI954" s="32" t="s">
        <v>781</v>
      </c>
      <c r="AJ954" s="32" t="s">
        <v>780</v>
      </c>
      <c r="AK954" s="27" t="s">
        <v>2239</v>
      </c>
      <c r="AL954" s="31">
        <f>(B954-DATE(1970,1,1))*86400</f>
        <v>1640044800</v>
      </c>
      <c r="AM954" s="31">
        <f>(C954-DATE(1970,1,1))*86400</f>
        <v>1640217600</v>
      </c>
      <c r="AN954" s="31">
        <f>AVERAGE(AL954:AM954)</f>
        <v>1640131200</v>
      </c>
    </row>
    <row r="955" spans="1:65" ht="15.75" customHeight="1" x14ac:dyDescent="0.2">
      <c r="A955" s="286" t="s">
        <v>133</v>
      </c>
      <c r="B955" s="41">
        <v>44544</v>
      </c>
      <c r="C955" s="41">
        <v>44553</v>
      </c>
      <c r="D955" s="40" t="s">
        <v>148</v>
      </c>
      <c r="E955" s="325" t="s">
        <v>125</v>
      </c>
      <c r="F955" s="40" t="s">
        <v>2525</v>
      </c>
      <c r="G955" s="129" t="s">
        <v>126</v>
      </c>
      <c r="H955" s="325">
        <v>700</v>
      </c>
      <c r="I955" s="42">
        <v>34</v>
      </c>
      <c r="J955" s="42">
        <v>5</v>
      </c>
      <c r="K955" s="42">
        <v>5</v>
      </c>
      <c r="L955" s="42">
        <v>3</v>
      </c>
      <c r="M955" s="42">
        <v>18</v>
      </c>
      <c r="N955" s="42"/>
      <c r="O955" s="42">
        <v>1</v>
      </c>
      <c r="P955" s="42">
        <v>6</v>
      </c>
      <c r="Q955" s="42"/>
      <c r="R955" s="43"/>
      <c r="S955" s="42"/>
      <c r="T955" s="42"/>
      <c r="U955" s="42"/>
      <c r="V955" s="42">
        <v>1</v>
      </c>
      <c r="W955" s="42"/>
      <c r="X955" s="42">
        <v>3</v>
      </c>
      <c r="Y955" s="42"/>
      <c r="Z955" s="42">
        <v>1</v>
      </c>
      <c r="AA955" s="42">
        <v>22</v>
      </c>
      <c r="AB955" s="44">
        <f>100/(SUM(I955:Z955))</f>
        <v>1.2987012987012987</v>
      </c>
      <c r="AC955" s="259">
        <f>SUM(I955:AA955)</f>
        <v>99</v>
      </c>
      <c r="AD955" s="42"/>
      <c r="AE955" s="42"/>
      <c r="AF955" s="42"/>
      <c r="AG955" s="45"/>
      <c r="AH955" s="46" t="s">
        <v>783</v>
      </c>
      <c r="AI955" s="46"/>
      <c r="AJ955" s="46"/>
      <c r="AK955" s="40"/>
      <c r="AL955" s="45">
        <f>(B955-DATE(1970,1,1))*86400</f>
        <v>1639440000</v>
      </c>
      <c r="AM955" s="45">
        <f>(C955-DATE(1970,1,1))*86400</f>
        <v>1640217600</v>
      </c>
      <c r="AN955" s="45">
        <f>AVERAGE(AL955:AM955)</f>
        <v>1639828800</v>
      </c>
    </row>
    <row r="956" spans="1:65" ht="15.75" customHeight="1" x14ac:dyDescent="0.2">
      <c r="A956" s="286" t="s">
        <v>133</v>
      </c>
      <c r="B956" s="41">
        <v>44544</v>
      </c>
      <c r="C956" s="41">
        <v>44553</v>
      </c>
      <c r="D956" s="40" t="s">
        <v>148</v>
      </c>
      <c r="E956" s="325" t="s">
        <v>125</v>
      </c>
      <c r="F956" s="40" t="s">
        <v>2525</v>
      </c>
      <c r="G956" s="129" t="s">
        <v>126</v>
      </c>
      <c r="H956" s="325">
        <v>700</v>
      </c>
      <c r="I956" s="42">
        <v>37</v>
      </c>
      <c r="J956" s="42"/>
      <c r="K956" s="42"/>
      <c r="L956" s="42"/>
      <c r="M956" s="42"/>
      <c r="N956" s="42"/>
      <c r="O956" s="42"/>
      <c r="P956" s="42"/>
      <c r="Q956" s="42"/>
      <c r="R956" s="43"/>
      <c r="S956" s="42"/>
      <c r="T956" s="42"/>
      <c r="U956" s="42">
        <v>42</v>
      </c>
      <c r="V956" s="42"/>
      <c r="W956" s="42"/>
      <c r="X956" s="42"/>
      <c r="Y956" s="42"/>
      <c r="Z956" s="42"/>
      <c r="AA956" s="42">
        <v>21</v>
      </c>
      <c r="AB956" s="44">
        <f>100/(SUM(I956:Z956))</f>
        <v>1.2658227848101267</v>
      </c>
      <c r="AC956" s="259">
        <f>SUM(I956:AA956)</f>
        <v>100</v>
      </c>
      <c r="AD956" s="42"/>
      <c r="AE956" s="42"/>
      <c r="AF956" s="42"/>
      <c r="AG956" s="45"/>
      <c r="AH956" s="46" t="s">
        <v>783</v>
      </c>
      <c r="AI956" s="46"/>
      <c r="AJ956" s="46"/>
      <c r="AK956" s="40" t="s">
        <v>785</v>
      </c>
      <c r="AL956" s="45">
        <f>(B956-DATE(1970,1,1))*86400</f>
        <v>1639440000</v>
      </c>
      <c r="AM956" s="45">
        <f>(C956-DATE(1970,1,1))*86400</f>
        <v>1640217600</v>
      </c>
      <c r="AN956" s="45">
        <f>AVERAGE(AL956:AM956)</f>
        <v>1639828800</v>
      </c>
    </row>
    <row r="957" spans="1:65" ht="15.75" customHeight="1" x14ac:dyDescent="0.2">
      <c r="A957" s="286" t="s">
        <v>133</v>
      </c>
      <c r="B957" s="41">
        <v>44544</v>
      </c>
      <c r="C957" s="41">
        <v>44553</v>
      </c>
      <c r="D957" s="40" t="s">
        <v>148</v>
      </c>
      <c r="E957" s="325" t="s">
        <v>125</v>
      </c>
      <c r="F957" s="40" t="s">
        <v>2525</v>
      </c>
      <c r="G957" s="129" t="s">
        <v>126</v>
      </c>
      <c r="H957" s="325">
        <v>700</v>
      </c>
      <c r="I957" s="42">
        <v>41</v>
      </c>
      <c r="J957" s="42"/>
      <c r="K957" s="42"/>
      <c r="L957" s="42"/>
      <c r="M957" s="42"/>
      <c r="N957" s="42"/>
      <c r="O957" s="42"/>
      <c r="P957" s="42"/>
      <c r="Q957" s="42"/>
      <c r="R957" s="43"/>
      <c r="S957" s="42"/>
      <c r="T957" s="42"/>
      <c r="U957" s="42">
        <v>45</v>
      </c>
      <c r="V957" s="42"/>
      <c r="W957" s="42"/>
      <c r="X957" s="42"/>
      <c r="Y957" s="42"/>
      <c r="Z957" s="42"/>
      <c r="AA957" s="42">
        <v>14</v>
      </c>
      <c r="AB957" s="44">
        <f>100/(SUM(I957:Z957))</f>
        <v>1.1627906976744187</v>
      </c>
      <c r="AC957" s="259">
        <f>SUM(I957:AA957)</f>
        <v>100</v>
      </c>
      <c r="AD957" s="42"/>
      <c r="AE957" s="42"/>
      <c r="AF957" s="42"/>
      <c r="AG957" s="45"/>
      <c r="AH957" s="46" t="s">
        <v>783</v>
      </c>
      <c r="AI957" s="46"/>
      <c r="AJ957" s="46"/>
      <c r="AK957" s="40" t="s">
        <v>784</v>
      </c>
      <c r="AL957" s="45">
        <f>(B957-DATE(1970,1,1))*86400</f>
        <v>1639440000</v>
      </c>
      <c r="AM957" s="45">
        <f>(C957-DATE(1970,1,1))*86400</f>
        <v>1640217600</v>
      </c>
      <c r="AN957" s="45">
        <f>AVERAGE(AL957:AM957)</f>
        <v>1639828800</v>
      </c>
    </row>
    <row r="958" spans="1:65" ht="15.75" customHeight="1" x14ac:dyDescent="0.2">
      <c r="A958" s="286" t="s">
        <v>133</v>
      </c>
      <c r="B958" s="41">
        <v>44544</v>
      </c>
      <c r="C958" s="41">
        <v>44553</v>
      </c>
      <c r="D958" s="40" t="s">
        <v>148</v>
      </c>
      <c r="E958" s="325" t="s">
        <v>125</v>
      </c>
      <c r="F958" s="40" t="s">
        <v>2525</v>
      </c>
      <c r="G958" s="129" t="s">
        <v>126</v>
      </c>
      <c r="H958" s="325">
        <v>700</v>
      </c>
      <c r="I958" s="42">
        <v>40</v>
      </c>
      <c r="J958" s="42"/>
      <c r="K958" s="42"/>
      <c r="L958" s="42"/>
      <c r="M958" s="42"/>
      <c r="N958" s="42"/>
      <c r="O958" s="42"/>
      <c r="P958" s="42"/>
      <c r="Q958" s="42"/>
      <c r="R958" s="43"/>
      <c r="S958" s="42"/>
      <c r="T958" s="42"/>
      <c r="U958" s="42">
        <v>46</v>
      </c>
      <c r="V958" s="42"/>
      <c r="W958" s="42"/>
      <c r="X958" s="42"/>
      <c r="Y958" s="42"/>
      <c r="Z958" s="42">
        <v>3</v>
      </c>
      <c r="AA958" s="42">
        <v>11</v>
      </c>
      <c r="AB958" s="44">
        <f>100/(SUM(I958:Z958))</f>
        <v>1.1235955056179776</v>
      </c>
      <c r="AC958" s="259">
        <f>SUM(I958:AA958)</f>
        <v>100</v>
      </c>
      <c r="AD958" s="42"/>
      <c r="AE958" s="42"/>
      <c r="AF958" s="42"/>
      <c r="AG958" s="45"/>
      <c r="AH958" s="46" t="s">
        <v>783</v>
      </c>
      <c r="AI958" s="46"/>
      <c r="AJ958" s="46"/>
      <c r="AK958" s="40"/>
      <c r="AL958" s="45">
        <f>(B958-DATE(1970,1,1))*86400</f>
        <v>1639440000</v>
      </c>
      <c r="AM958" s="45">
        <f>(C958-DATE(1970,1,1))*86400</f>
        <v>1640217600</v>
      </c>
      <c r="AN958" s="45">
        <f>AVERAGE(AL958:AM958)</f>
        <v>1639828800</v>
      </c>
    </row>
    <row r="959" spans="1:65" ht="15.75" customHeight="1" x14ac:dyDescent="0.2">
      <c r="A959" s="281" t="s">
        <v>133</v>
      </c>
      <c r="B959" s="54">
        <v>44544</v>
      </c>
      <c r="C959" s="54">
        <v>44547</v>
      </c>
      <c r="D959" s="53" t="s">
        <v>154</v>
      </c>
      <c r="E959" s="323" t="s">
        <v>125</v>
      </c>
      <c r="F959" s="53" t="s">
        <v>140</v>
      </c>
      <c r="G959" s="53" t="s">
        <v>126</v>
      </c>
      <c r="H959" s="357">
        <v>1003</v>
      </c>
      <c r="I959" s="55"/>
      <c r="J959" s="55"/>
      <c r="K959" s="55"/>
      <c r="L959" s="55"/>
      <c r="M959" s="55"/>
      <c r="N959" s="55"/>
      <c r="O959" s="55"/>
      <c r="P959" s="55"/>
      <c r="Q959" s="55"/>
      <c r="R959" s="55"/>
      <c r="S959" s="55"/>
      <c r="T959" s="55"/>
      <c r="U959" s="55"/>
      <c r="V959" s="55"/>
      <c r="W959" s="55"/>
      <c r="X959" s="55"/>
      <c r="Y959" s="55"/>
      <c r="Z959" s="55"/>
      <c r="AA959" s="55"/>
      <c r="AB959" s="57" t="e">
        <f>100/(SUM(I959:Z959))</f>
        <v>#DIV/0!</v>
      </c>
      <c r="AC959" s="259">
        <f>SUM(I959:AA959)</f>
        <v>0</v>
      </c>
      <c r="AD959" s="55"/>
      <c r="AE959" s="55"/>
      <c r="AF959" s="55"/>
      <c r="AG959" s="58" t="s">
        <v>155</v>
      </c>
      <c r="AH959" s="59"/>
      <c r="AI959" s="59"/>
      <c r="AJ959" s="59"/>
      <c r="AK959" s="53"/>
      <c r="AL959" s="58">
        <f>(B959-DATE(1970,1,1))*86400</f>
        <v>1639440000</v>
      </c>
      <c r="AM959" s="58">
        <f>(C959-DATE(1970,1,1))*86400</f>
        <v>1639699200</v>
      </c>
      <c r="AN959" s="58">
        <f>AVERAGE(AL959:AM959)</f>
        <v>1639569600</v>
      </c>
    </row>
    <row r="960" spans="1:65" ht="15.75" customHeight="1" x14ac:dyDescent="0.2">
      <c r="A960" s="281" t="s">
        <v>133</v>
      </c>
      <c r="B960" s="54">
        <v>44544</v>
      </c>
      <c r="C960" s="54">
        <v>44547</v>
      </c>
      <c r="D960" s="53" t="s">
        <v>154</v>
      </c>
      <c r="E960" s="323" t="s">
        <v>125</v>
      </c>
      <c r="F960" s="53" t="s">
        <v>140</v>
      </c>
      <c r="G960" s="53" t="s">
        <v>126</v>
      </c>
      <c r="H960" s="357">
        <v>1003</v>
      </c>
      <c r="I960" s="55">
        <v>33</v>
      </c>
      <c r="J960" s="55"/>
      <c r="K960" s="55"/>
      <c r="L960" s="55"/>
      <c r="M960" s="55"/>
      <c r="N960" s="55"/>
      <c r="O960" s="55"/>
      <c r="P960" s="55"/>
      <c r="Q960" s="55"/>
      <c r="R960" s="56"/>
      <c r="S960" s="55"/>
      <c r="T960" s="55"/>
      <c r="U960" s="55">
        <v>31</v>
      </c>
      <c r="V960" s="55"/>
      <c r="W960" s="55"/>
      <c r="X960" s="55"/>
      <c r="Y960" s="55"/>
      <c r="Z960" s="55"/>
      <c r="AA960" s="55"/>
      <c r="AB960" s="57">
        <f>100/(SUM(I960:Z960))</f>
        <v>1.5625</v>
      </c>
      <c r="AC960" s="259">
        <f>SUM(I960:AA960)</f>
        <v>64</v>
      </c>
      <c r="AD960" s="55"/>
      <c r="AE960" s="55"/>
      <c r="AF960" s="55"/>
      <c r="AG960" s="58" t="s">
        <v>155</v>
      </c>
      <c r="AH960" s="59" t="s">
        <v>745</v>
      </c>
      <c r="AI960" s="59"/>
      <c r="AJ960" s="59" t="s">
        <v>786</v>
      </c>
      <c r="AK960" s="53"/>
      <c r="AL960" s="58">
        <f>(B960-DATE(1970,1,1))*86400</f>
        <v>1639440000</v>
      </c>
      <c r="AM960" s="58">
        <f>(C960-DATE(1970,1,1))*86400</f>
        <v>1639699200</v>
      </c>
      <c r="AN960" s="58">
        <f>AVERAGE(AL960:AM960)</f>
        <v>1639569600</v>
      </c>
    </row>
    <row r="961" spans="1:40" ht="15.75" customHeight="1" x14ac:dyDescent="0.2">
      <c r="A961" s="281" t="s">
        <v>123</v>
      </c>
      <c r="B961" s="54">
        <v>44544</v>
      </c>
      <c r="C961" s="54">
        <v>44547</v>
      </c>
      <c r="D961" s="53" t="s">
        <v>154</v>
      </c>
      <c r="E961" s="323" t="s">
        <v>125</v>
      </c>
      <c r="F961" s="53" t="s">
        <v>140</v>
      </c>
      <c r="G961" s="53" t="s">
        <v>126</v>
      </c>
      <c r="H961" s="357">
        <v>1003</v>
      </c>
      <c r="I961" s="55"/>
      <c r="J961" s="55"/>
      <c r="K961" s="55"/>
      <c r="L961" s="55"/>
      <c r="M961" s="55"/>
      <c r="N961" s="55"/>
      <c r="O961" s="55"/>
      <c r="P961" s="55"/>
      <c r="Q961" s="55"/>
      <c r="R961" s="55"/>
      <c r="S961" s="55"/>
      <c r="T961" s="55"/>
      <c r="U961" s="55"/>
      <c r="V961" s="55"/>
      <c r="W961" s="55"/>
      <c r="X961" s="55"/>
      <c r="Y961" s="55"/>
      <c r="Z961" s="55"/>
      <c r="AA961" s="55"/>
      <c r="AB961" s="57" t="e">
        <f>100/(SUM(I961:Z961))</f>
        <v>#DIV/0!</v>
      </c>
      <c r="AC961" s="259">
        <f>SUM(I961:AA961)</f>
        <v>0</v>
      </c>
      <c r="AD961" s="55"/>
      <c r="AE961" s="55"/>
      <c r="AF961" s="55"/>
      <c r="AG961" s="58" t="s">
        <v>155</v>
      </c>
      <c r="AH961" s="59"/>
      <c r="AI961" s="59"/>
      <c r="AJ961" s="59" t="s">
        <v>787</v>
      </c>
      <c r="AK961" s="53"/>
      <c r="AL961" s="58">
        <f>(B961-DATE(1970,1,1))*86400</f>
        <v>1639440000</v>
      </c>
      <c r="AM961" s="58">
        <f>(C961-DATE(1970,1,1))*86400</f>
        <v>1639699200</v>
      </c>
      <c r="AN961" s="58">
        <f>AVERAGE(AL961:AM961)</f>
        <v>1639569600</v>
      </c>
    </row>
    <row r="962" spans="1:40" ht="15.75" customHeight="1" x14ac:dyDescent="0.2">
      <c r="A962" s="281" t="s">
        <v>123</v>
      </c>
      <c r="B962" s="54">
        <v>44544</v>
      </c>
      <c r="C962" s="54">
        <v>44547</v>
      </c>
      <c r="D962" s="53" t="s">
        <v>154</v>
      </c>
      <c r="E962" s="323" t="s">
        <v>125</v>
      </c>
      <c r="F962" s="53" t="s">
        <v>140</v>
      </c>
      <c r="G962" s="53" t="s">
        <v>126</v>
      </c>
      <c r="H962" s="357">
        <v>1003</v>
      </c>
      <c r="I962" s="55"/>
      <c r="J962" s="55"/>
      <c r="K962" s="55"/>
      <c r="L962" s="55"/>
      <c r="M962" s="55"/>
      <c r="N962" s="55"/>
      <c r="O962" s="55"/>
      <c r="P962" s="55"/>
      <c r="Q962" s="55"/>
      <c r="R962" s="55"/>
      <c r="S962" s="55"/>
      <c r="T962" s="55"/>
      <c r="U962" s="55"/>
      <c r="V962" s="55"/>
      <c r="W962" s="55"/>
      <c r="X962" s="55"/>
      <c r="Y962" s="55"/>
      <c r="Z962" s="55"/>
      <c r="AA962" s="55"/>
      <c r="AB962" s="57" t="e">
        <f>100/(SUM(I962:Z962))</f>
        <v>#DIV/0!</v>
      </c>
      <c r="AC962" s="259">
        <f>SUM(I962:AA962)</f>
        <v>0</v>
      </c>
      <c r="AD962" s="55"/>
      <c r="AE962" s="55"/>
      <c r="AF962" s="55"/>
      <c r="AG962" s="58" t="s">
        <v>155</v>
      </c>
      <c r="AH962" s="59"/>
      <c r="AI962" s="59"/>
      <c r="AJ962" s="59"/>
      <c r="AK962" s="53"/>
      <c r="AL962" s="58">
        <f>(B962-DATE(1970,1,1))*86400</f>
        <v>1639440000</v>
      </c>
      <c r="AM962" s="58">
        <f>(C962-DATE(1970,1,1))*86400</f>
        <v>1639699200</v>
      </c>
      <c r="AN962" s="58">
        <f>AVERAGE(AL962:AM962)</f>
        <v>1639569600</v>
      </c>
    </row>
    <row r="963" spans="1:40" ht="15.75" customHeight="1" x14ac:dyDescent="0.2">
      <c r="A963" s="281" t="s">
        <v>123</v>
      </c>
      <c r="B963" s="54">
        <v>44544</v>
      </c>
      <c r="C963" s="54">
        <v>44547</v>
      </c>
      <c r="D963" s="53" t="s">
        <v>154</v>
      </c>
      <c r="E963" s="323" t="s">
        <v>125</v>
      </c>
      <c r="F963" s="53" t="s">
        <v>140</v>
      </c>
      <c r="G963" s="53" t="s">
        <v>126</v>
      </c>
      <c r="H963" s="357">
        <v>1003</v>
      </c>
      <c r="I963" s="55"/>
      <c r="J963" s="55"/>
      <c r="K963" s="55"/>
      <c r="L963" s="55"/>
      <c r="M963" s="55"/>
      <c r="N963" s="55"/>
      <c r="O963" s="55"/>
      <c r="P963" s="55"/>
      <c r="Q963" s="55"/>
      <c r="R963" s="55"/>
      <c r="S963" s="55"/>
      <c r="T963" s="55"/>
      <c r="U963" s="55"/>
      <c r="V963" s="55"/>
      <c r="W963" s="55"/>
      <c r="X963" s="55"/>
      <c r="Y963" s="55"/>
      <c r="Z963" s="55"/>
      <c r="AA963" s="55"/>
      <c r="AB963" s="57" t="e">
        <f>100/(SUM(I963:Z963))</f>
        <v>#DIV/0!</v>
      </c>
      <c r="AC963" s="259">
        <f>SUM(I963:AA963)</f>
        <v>0</v>
      </c>
      <c r="AD963" s="55"/>
      <c r="AE963" s="55"/>
      <c r="AF963" s="55"/>
      <c r="AG963" s="58" t="s">
        <v>155</v>
      </c>
      <c r="AH963" s="59"/>
      <c r="AI963" s="59"/>
      <c r="AJ963" s="59"/>
      <c r="AK963" s="53"/>
      <c r="AL963" s="58">
        <f>(B963-DATE(1970,1,1))*86400</f>
        <v>1639440000</v>
      </c>
      <c r="AM963" s="58">
        <f>(C963-DATE(1970,1,1))*86400</f>
        <v>1639699200</v>
      </c>
      <c r="AN963" s="58">
        <f>AVERAGE(AL963:AM963)</f>
        <v>1639569600</v>
      </c>
    </row>
    <row r="964" spans="1:40" ht="15.75" customHeight="1" x14ac:dyDescent="0.2">
      <c r="A964" s="279" t="s">
        <v>133</v>
      </c>
      <c r="B964" s="14">
        <v>44543</v>
      </c>
      <c r="C964" s="14">
        <v>44545</v>
      </c>
      <c r="D964" s="13" t="s">
        <v>124</v>
      </c>
      <c r="E964" s="324" t="s">
        <v>125</v>
      </c>
      <c r="F964" s="13" t="s">
        <v>140</v>
      </c>
      <c r="G964" s="13" t="s">
        <v>126</v>
      </c>
      <c r="H964" s="372">
        <v>1000</v>
      </c>
      <c r="I964" s="15"/>
      <c r="J964" s="15"/>
      <c r="K964" s="15"/>
      <c r="L964" s="15"/>
      <c r="M964" s="15"/>
      <c r="N964" s="15"/>
      <c r="O964" s="15"/>
      <c r="P964" s="15"/>
      <c r="Q964" s="15"/>
      <c r="R964" s="15"/>
      <c r="S964" s="15"/>
      <c r="T964" s="15"/>
      <c r="U964" s="15"/>
      <c r="V964" s="15"/>
      <c r="W964" s="15"/>
      <c r="X964" s="15"/>
      <c r="Y964" s="15"/>
      <c r="Z964" s="15"/>
      <c r="AA964" s="15"/>
      <c r="AB964" s="16" t="e">
        <f>100/(SUM(I964:Z964))</f>
        <v>#DIV/0!</v>
      </c>
      <c r="AC964" s="259">
        <f>SUM(I964:AA964)</f>
        <v>0</v>
      </c>
      <c r="AD964" s="15"/>
      <c r="AE964" s="15"/>
      <c r="AF964" s="15"/>
      <c r="AG964" s="17" t="s">
        <v>127</v>
      </c>
      <c r="AH964" s="18"/>
      <c r="AI964" s="18"/>
      <c r="AJ964" s="18"/>
      <c r="AK964" s="13" t="s">
        <v>788</v>
      </c>
      <c r="AL964" s="17">
        <f>(B964-DATE(1970,1,1))*86400</f>
        <v>1639353600</v>
      </c>
      <c r="AM964" s="17">
        <f>(C964-DATE(1970,1,1))*86400</f>
        <v>1639526400</v>
      </c>
      <c r="AN964" s="17">
        <f>AVERAGE(AL964:AM964)</f>
        <v>1639440000</v>
      </c>
    </row>
    <row r="965" spans="1:40" ht="15.75" customHeight="1" x14ac:dyDescent="0.2">
      <c r="A965" s="279" t="s">
        <v>123</v>
      </c>
      <c r="B965" s="14">
        <v>44543</v>
      </c>
      <c r="C965" s="14">
        <v>44545</v>
      </c>
      <c r="D965" s="13" t="s">
        <v>124</v>
      </c>
      <c r="E965" s="324" t="s">
        <v>125</v>
      </c>
      <c r="F965" s="13" t="s">
        <v>390</v>
      </c>
      <c r="G965" s="13" t="s">
        <v>126</v>
      </c>
      <c r="H965" s="372">
        <v>1000</v>
      </c>
      <c r="I965" s="15">
        <v>55</v>
      </c>
      <c r="J965" s="15"/>
      <c r="K965" s="15"/>
      <c r="L965" s="15"/>
      <c r="M965" s="15"/>
      <c r="N965" s="15"/>
      <c r="O965" s="15"/>
      <c r="P965" s="15"/>
      <c r="Q965" s="15"/>
      <c r="R965" s="15"/>
      <c r="S965" s="15"/>
      <c r="T965" s="15"/>
      <c r="U965" s="15">
        <v>43</v>
      </c>
      <c r="V965" s="15"/>
      <c r="W965" s="15"/>
      <c r="X965" s="15"/>
      <c r="Y965" s="15"/>
      <c r="Z965" s="15">
        <v>2</v>
      </c>
      <c r="AA965" s="15">
        <v>0</v>
      </c>
      <c r="AB965" s="16">
        <f>100/(SUM(I965:Z965))</f>
        <v>1</v>
      </c>
      <c r="AC965" s="259">
        <f>SUM(I965:AA965)</f>
        <v>100</v>
      </c>
      <c r="AD965" s="15"/>
      <c r="AE965" s="98">
        <v>11</v>
      </c>
      <c r="AF965" s="15">
        <v>16</v>
      </c>
      <c r="AG965" s="17" t="s">
        <v>127</v>
      </c>
      <c r="AH965" s="201" t="s">
        <v>2627</v>
      </c>
      <c r="AI965" s="18" t="s">
        <v>790</v>
      </c>
      <c r="AJ965" s="18" t="s">
        <v>791</v>
      </c>
      <c r="AK965" s="13" t="s">
        <v>792</v>
      </c>
      <c r="AL965" s="17">
        <f>(B965-DATE(1970,1,1))*86400</f>
        <v>1639353600</v>
      </c>
      <c r="AM965" s="17">
        <f>(C965-DATE(1970,1,1))*86400</f>
        <v>1639526400</v>
      </c>
      <c r="AN965" s="17">
        <f>AVERAGE(AL965:AM965)</f>
        <v>1639440000</v>
      </c>
    </row>
    <row r="966" spans="1:40" ht="15.75" customHeight="1" x14ac:dyDescent="0.2">
      <c r="A966" s="302" t="s">
        <v>133</v>
      </c>
      <c r="B966" s="122">
        <v>44539</v>
      </c>
      <c r="C966" s="122">
        <v>44545</v>
      </c>
      <c r="D966" s="121" t="s">
        <v>718</v>
      </c>
      <c r="E966" s="322" t="s">
        <v>184</v>
      </c>
      <c r="F966" s="121"/>
      <c r="G966" s="121" t="s">
        <v>126</v>
      </c>
      <c r="H966" s="369">
        <v>1000</v>
      </c>
      <c r="I966" s="123">
        <v>41</v>
      </c>
      <c r="J966" s="123">
        <v>1</v>
      </c>
      <c r="K966" s="123">
        <v>1</v>
      </c>
      <c r="L966" s="123">
        <v>1</v>
      </c>
      <c r="M966" s="123">
        <v>8</v>
      </c>
      <c r="N966" s="123"/>
      <c r="O966" s="123"/>
      <c r="P966" s="123">
        <v>4</v>
      </c>
      <c r="Q966" s="123"/>
      <c r="R966" s="124"/>
      <c r="S966" s="123">
        <v>3</v>
      </c>
      <c r="T966" s="123"/>
      <c r="U966" s="123"/>
      <c r="V966" s="123">
        <v>4</v>
      </c>
      <c r="W966" s="123"/>
      <c r="X966" s="123">
        <v>1</v>
      </c>
      <c r="Y966" s="123"/>
      <c r="Z966" s="123">
        <v>2</v>
      </c>
      <c r="AA966" s="123">
        <v>34</v>
      </c>
      <c r="AB966" s="125">
        <f>100/(SUM(I966:Z966))</f>
        <v>1.5151515151515151</v>
      </c>
      <c r="AC966" s="259">
        <f>SUM(I966:AA966)</f>
        <v>100</v>
      </c>
      <c r="AD966" s="123">
        <v>63</v>
      </c>
      <c r="AE966" s="123"/>
      <c r="AF966" s="123"/>
      <c r="AG966" s="126" t="s">
        <v>719</v>
      </c>
      <c r="AH966" s="253" t="s">
        <v>2019</v>
      </c>
      <c r="AI966" s="253" t="s">
        <v>1990</v>
      </c>
      <c r="AJ966" s="253" t="s">
        <v>1996</v>
      </c>
      <c r="AK966" s="121" t="s">
        <v>1994</v>
      </c>
      <c r="AL966" s="126">
        <f>(B966-DATE(1970,1,1))*86400</f>
        <v>1639008000</v>
      </c>
      <c r="AM966" s="126">
        <f>(C966-DATE(1970,1,1))*86400</f>
        <v>1639526400</v>
      </c>
      <c r="AN966" s="126">
        <f>AVERAGE(AL966:AM966)</f>
        <v>1639267200</v>
      </c>
    </row>
    <row r="967" spans="1:40" ht="15.75" customHeight="1" x14ac:dyDescent="0.2">
      <c r="A967" s="302" t="s">
        <v>133</v>
      </c>
      <c r="B967" s="122">
        <v>44539</v>
      </c>
      <c r="C967" s="122">
        <v>44545</v>
      </c>
      <c r="D967" s="121" t="s">
        <v>718</v>
      </c>
      <c r="E967" s="322" t="s">
        <v>184</v>
      </c>
      <c r="F967" s="121" t="s">
        <v>2049</v>
      </c>
      <c r="G967" s="121" t="s">
        <v>126</v>
      </c>
      <c r="H967" s="369">
        <v>1000</v>
      </c>
      <c r="I967" s="123">
        <v>43</v>
      </c>
      <c r="J967" s="123"/>
      <c r="K967" s="123"/>
      <c r="L967" s="123"/>
      <c r="M967" s="123"/>
      <c r="N967" s="123"/>
      <c r="O967" s="123"/>
      <c r="P967" s="123"/>
      <c r="Q967" s="123"/>
      <c r="R967" s="124"/>
      <c r="S967" s="123"/>
      <c r="T967" s="123"/>
      <c r="U967" s="123">
        <v>36</v>
      </c>
      <c r="V967" s="123"/>
      <c r="W967" s="123"/>
      <c r="X967" s="123"/>
      <c r="Y967" s="123"/>
      <c r="Z967" s="123"/>
      <c r="AA967" s="123">
        <v>21</v>
      </c>
      <c r="AB967" s="125">
        <f>100/(SUM(I967:Z967))</f>
        <v>1.2658227848101267</v>
      </c>
      <c r="AC967" s="259">
        <f>SUM(I967:AA967)</f>
        <v>100</v>
      </c>
      <c r="AD967" s="123"/>
      <c r="AE967" s="123"/>
      <c r="AF967" s="123"/>
      <c r="AG967" s="126" t="s">
        <v>719</v>
      </c>
      <c r="AH967" s="253" t="s">
        <v>2019</v>
      </c>
      <c r="AI967" s="253" t="s">
        <v>1990</v>
      </c>
      <c r="AJ967" s="253" t="s">
        <v>1996</v>
      </c>
      <c r="AK967" s="121" t="s">
        <v>1995</v>
      </c>
      <c r="AL967" s="126">
        <f>(B967-DATE(1970,1,1))*86400</f>
        <v>1639008000</v>
      </c>
      <c r="AM967" s="126">
        <f>(C967-DATE(1970,1,1))*86400</f>
        <v>1639526400</v>
      </c>
      <c r="AN967" s="126">
        <f>AVERAGE(AL967:AM967)</f>
        <v>1639267200</v>
      </c>
    </row>
    <row r="968" spans="1:40" ht="15.75" customHeight="1" x14ac:dyDescent="0.2">
      <c r="A968" s="288" t="s">
        <v>133</v>
      </c>
      <c r="B968" s="60">
        <v>44539</v>
      </c>
      <c r="C968" s="60">
        <v>44544</v>
      </c>
      <c r="D968" s="61" t="s">
        <v>168</v>
      </c>
      <c r="E968" s="334" t="s">
        <v>125</v>
      </c>
      <c r="F968" s="61"/>
      <c r="G968" s="61" t="s">
        <v>126</v>
      </c>
      <c r="H968" s="334">
        <v>1000</v>
      </c>
      <c r="I968" s="63">
        <v>33</v>
      </c>
      <c r="J968" s="63">
        <v>5</v>
      </c>
      <c r="K968" s="63">
        <v>8</v>
      </c>
      <c r="L968" s="63">
        <v>2</v>
      </c>
      <c r="M968" s="63">
        <v>12</v>
      </c>
      <c r="N968" s="63"/>
      <c r="O968" s="63">
        <v>2</v>
      </c>
      <c r="P968" s="63">
        <v>7</v>
      </c>
      <c r="Q968" s="63"/>
      <c r="R968" s="64"/>
      <c r="S968" s="63"/>
      <c r="T968" s="63"/>
      <c r="U968" s="63"/>
      <c r="V968" s="63">
        <v>2</v>
      </c>
      <c r="W968" s="63"/>
      <c r="X968" s="63">
        <v>3</v>
      </c>
      <c r="Y968" s="63"/>
      <c r="Z968" s="63">
        <v>2</v>
      </c>
      <c r="AA968" s="63">
        <v>24</v>
      </c>
      <c r="AB968" s="65">
        <f>100/(SUM(I968:Z968))</f>
        <v>1.3157894736842106</v>
      </c>
      <c r="AC968" s="259">
        <f>SUM(I968:AA968)</f>
        <v>100</v>
      </c>
      <c r="AD968" s="63"/>
      <c r="AE968" s="64"/>
      <c r="AF968" s="64"/>
      <c r="AG968" s="66" t="s">
        <v>127</v>
      </c>
      <c r="AH968" s="67" t="s">
        <v>793</v>
      </c>
      <c r="AI968" s="67" t="s">
        <v>794</v>
      </c>
      <c r="AJ968" s="67"/>
      <c r="AK968" s="61"/>
      <c r="AL968" s="66">
        <f>(B968-DATE(1970,1,1))*86400</f>
        <v>1639008000</v>
      </c>
      <c r="AM968" s="66">
        <f>(C968-DATE(1970,1,1))*86400</f>
        <v>1639440000</v>
      </c>
      <c r="AN968" s="66">
        <f>AVERAGE(AL968:AM968)</f>
        <v>1639224000</v>
      </c>
    </row>
    <row r="969" spans="1:40" ht="15.75" customHeight="1" x14ac:dyDescent="0.2">
      <c r="A969" s="288" t="s">
        <v>133</v>
      </c>
      <c r="B969" s="60">
        <v>44539</v>
      </c>
      <c r="C969" s="60">
        <v>44544</v>
      </c>
      <c r="D969" s="61" t="s">
        <v>168</v>
      </c>
      <c r="E969" s="334" t="s">
        <v>125</v>
      </c>
      <c r="F969" s="61"/>
      <c r="G969" s="61" t="s">
        <v>126</v>
      </c>
      <c r="H969" s="334">
        <v>1000</v>
      </c>
      <c r="I969" s="63">
        <v>43</v>
      </c>
      <c r="J969" s="63">
        <v>7</v>
      </c>
      <c r="K969" s="63">
        <v>10</v>
      </c>
      <c r="L969" s="63">
        <v>3</v>
      </c>
      <c r="M969" s="63">
        <v>16</v>
      </c>
      <c r="N969" s="63"/>
      <c r="O969" s="63">
        <v>3</v>
      </c>
      <c r="P969" s="63">
        <v>9</v>
      </c>
      <c r="Q969" s="63"/>
      <c r="R969" s="64"/>
      <c r="S969" s="63"/>
      <c r="T969" s="63"/>
      <c r="U969" s="63"/>
      <c r="V969" s="63">
        <v>3</v>
      </c>
      <c r="W969" s="63"/>
      <c r="X969" s="63">
        <v>4</v>
      </c>
      <c r="Y969" s="63"/>
      <c r="Z969" s="63">
        <v>2</v>
      </c>
      <c r="AA969" s="63">
        <v>0</v>
      </c>
      <c r="AB969" s="65">
        <f>100/(SUM(I969:Z969))</f>
        <v>1</v>
      </c>
      <c r="AC969" s="259">
        <f>SUM(I969:AA969)</f>
        <v>100</v>
      </c>
      <c r="AD969" s="63"/>
      <c r="AE969" s="63"/>
      <c r="AF969" s="63"/>
      <c r="AG969" s="66" t="s">
        <v>127</v>
      </c>
      <c r="AH969" s="67" t="s">
        <v>793</v>
      </c>
      <c r="AI969" s="67" t="s">
        <v>794</v>
      </c>
      <c r="AJ969" s="67"/>
      <c r="AK969" s="61"/>
      <c r="AL969" s="66">
        <f>(B969-DATE(1970,1,1))*86400</f>
        <v>1639008000</v>
      </c>
      <c r="AM969" s="66">
        <f>(C969-DATE(1970,1,1))*86400</f>
        <v>1639440000</v>
      </c>
      <c r="AN969" s="66">
        <f>AVERAGE(AL969:AM969)</f>
        <v>1639224000</v>
      </c>
    </row>
    <row r="970" spans="1:40" ht="15.75" customHeight="1" x14ac:dyDescent="0.2">
      <c r="A970" s="296" t="s">
        <v>133</v>
      </c>
      <c r="B970" s="100">
        <v>44536</v>
      </c>
      <c r="C970" s="100">
        <v>44541</v>
      </c>
      <c r="D970" s="99" t="s">
        <v>276</v>
      </c>
      <c r="E970" s="326" t="s">
        <v>125</v>
      </c>
      <c r="F970" s="99"/>
      <c r="G970" s="99" t="s">
        <v>126</v>
      </c>
      <c r="H970" s="365">
        <v>1946</v>
      </c>
      <c r="I970" s="101">
        <v>40</v>
      </c>
      <c r="J970" s="101">
        <v>2</v>
      </c>
      <c r="K970" s="101">
        <v>11</v>
      </c>
      <c r="L970" s="101">
        <v>2</v>
      </c>
      <c r="M970" s="101">
        <v>10</v>
      </c>
      <c r="N970" s="101"/>
      <c r="O970" s="101">
        <v>1</v>
      </c>
      <c r="P970" s="101">
        <v>7</v>
      </c>
      <c r="Q970" s="101"/>
      <c r="R970" s="131"/>
      <c r="S970" s="101">
        <v>3</v>
      </c>
      <c r="T970" s="101"/>
      <c r="U970" s="101"/>
      <c r="V970" s="101">
        <v>6</v>
      </c>
      <c r="W970" s="101"/>
      <c r="X970" s="101">
        <v>5</v>
      </c>
      <c r="Y970" s="101"/>
      <c r="Z970" s="101"/>
      <c r="AA970" s="101">
        <v>14</v>
      </c>
      <c r="AB970" s="102">
        <f>100/(SUM(I970:Z970))</f>
        <v>1.1494252873563218</v>
      </c>
      <c r="AC970" s="259">
        <f>SUM(I970:AA970)</f>
        <v>101</v>
      </c>
      <c r="AD970" s="101"/>
      <c r="AE970" s="101"/>
      <c r="AF970" s="101"/>
      <c r="AG970" s="103" t="s">
        <v>795</v>
      </c>
      <c r="AH970" s="104" t="s">
        <v>796</v>
      </c>
      <c r="AI970" s="104" t="s">
        <v>797</v>
      </c>
      <c r="AJ970" s="99"/>
      <c r="AK970" s="99" t="s">
        <v>799</v>
      </c>
      <c r="AL970" s="103">
        <f>(B970-DATE(1970,1,1))*86400</f>
        <v>1638748800</v>
      </c>
      <c r="AM970" s="103">
        <f>(C970-DATE(1970,1,1))*86400</f>
        <v>1639180800</v>
      </c>
      <c r="AN970" s="103">
        <f>AVERAGE(AL970:AM970)</f>
        <v>1638964800</v>
      </c>
    </row>
    <row r="971" spans="1:40" ht="15.75" customHeight="1" x14ac:dyDescent="0.2">
      <c r="A971" s="296" t="s">
        <v>133</v>
      </c>
      <c r="B971" s="100">
        <v>44536</v>
      </c>
      <c r="C971" s="100">
        <v>44541</v>
      </c>
      <c r="D971" s="99" t="s">
        <v>276</v>
      </c>
      <c r="E971" s="326" t="s">
        <v>125</v>
      </c>
      <c r="F971" s="99" t="s">
        <v>390</v>
      </c>
      <c r="G971" s="99" t="s">
        <v>126</v>
      </c>
      <c r="H971" s="365">
        <v>1946</v>
      </c>
      <c r="I971" s="101">
        <v>46</v>
      </c>
      <c r="J971" s="101"/>
      <c r="K971" s="101"/>
      <c r="L971" s="101"/>
      <c r="M971" s="101"/>
      <c r="N971" s="101"/>
      <c r="O971" s="101"/>
      <c r="P971" s="101"/>
      <c r="Q971" s="101"/>
      <c r="R971" s="101"/>
      <c r="S971" s="101"/>
      <c r="T971" s="101"/>
      <c r="U971" s="101">
        <v>32</v>
      </c>
      <c r="V971" s="101">
        <v>4</v>
      </c>
      <c r="W971" s="101"/>
      <c r="X971" s="101">
        <v>5</v>
      </c>
      <c r="Y971" s="101"/>
      <c r="Z971" s="101">
        <v>0</v>
      </c>
      <c r="AA971" s="101">
        <v>12</v>
      </c>
      <c r="AB971" s="102">
        <f>100/(SUM(I971:Z971))</f>
        <v>1.1494252873563218</v>
      </c>
      <c r="AC971" s="259">
        <f>SUM(I971:AA971)</f>
        <v>99</v>
      </c>
      <c r="AD971" s="101"/>
      <c r="AE971" s="101"/>
      <c r="AF971" s="101"/>
      <c r="AG971" s="103" t="s">
        <v>795</v>
      </c>
      <c r="AH971" s="104" t="s">
        <v>796</v>
      </c>
      <c r="AI971" s="104" t="s">
        <v>797</v>
      </c>
      <c r="AJ971" s="99"/>
      <c r="AK971" s="99" t="s">
        <v>798</v>
      </c>
      <c r="AL971" s="103">
        <f>(B971-DATE(1970,1,1))*86400</f>
        <v>1638748800</v>
      </c>
      <c r="AM971" s="103">
        <f>(C971-DATE(1970,1,1))*86400</f>
        <v>1639180800</v>
      </c>
      <c r="AN971" s="103">
        <f>AVERAGE(AL971:AM971)</f>
        <v>1638964800</v>
      </c>
    </row>
    <row r="972" spans="1:40" ht="15.75" customHeight="1" x14ac:dyDescent="0.2">
      <c r="A972" s="296" t="s">
        <v>123</v>
      </c>
      <c r="B972" s="100">
        <v>44536</v>
      </c>
      <c r="C972" s="100">
        <v>44541</v>
      </c>
      <c r="D972" s="99" t="s">
        <v>276</v>
      </c>
      <c r="E972" s="326" t="s">
        <v>125</v>
      </c>
      <c r="F972" s="99" t="s">
        <v>140</v>
      </c>
      <c r="G972" s="99" t="s">
        <v>126</v>
      </c>
      <c r="H972" s="365">
        <v>1946</v>
      </c>
      <c r="I972" s="101"/>
      <c r="J972" s="101"/>
      <c r="K972" s="101"/>
      <c r="L972" s="101"/>
      <c r="M972" s="101"/>
      <c r="N972" s="101"/>
      <c r="O972" s="101"/>
      <c r="P972" s="101"/>
      <c r="Q972" s="101"/>
      <c r="R972" s="101"/>
      <c r="S972" s="101"/>
      <c r="T972" s="101"/>
      <c r="U972" s="101"/>
      <c r="V972" s="101"/>
      <c r="W972" s="101"/>
      <c r="X972" s="101"/>
      <c r="Y972" s="101"/>
      <c r="Z972" s="101"/>
      <c r="AA972" s="101"/>
      <c r="AB972" s="102" t="e">
        <f>100/(SUM(I972:Z972))</f>
        <v>#DIV/0!</v>
      </c>
      <c r="AC972" s="259">
        <f>SUM(I972:AA972)</f>
        <v>0</v>
      </c>
      <c r="AD972" s="101"/>
      <c r="AE972" s="101"/>
      <c r="AF972" s="101"/>
      <c r="AG972" s="103" t="s">
        <v>795</v>
      </c>
      <c r="AH972" s="104"/>
      <c r="AI972" s="104"/>
      <c r="AJ972" s="99"/>
      <c r="AK972" s="99"/>
      <c r="AL972" s="103">
        <f>(B972-DATE(1970,1,1))*86400</f>
        <v>1638748800</v>
      </c>
      <c r="AM972" s="103">
        <f>(C972-DATE(1970,1,1))*86400</f>
        <v>1639180800</v>
      </c>
      <c r="AN972" s="103">
        <f>AVERAGE(AL972:AM972)</f>
        <v>1638964800</v>
      </c>
    </row>
    <row r="973" spans="1:40" ht="15.75" customHeight="1" x14ac:dyDescent="0.2">
      <c r="A973" s="296" t="s">
        <v>123</v>
      </c>
      <c r="B973" s="100">
        <v>44536</v>
      </c>
      <c r="C973" s="100">
        <v>44541</v>
      </c>
      <c r="D973" s="99" t="s">
        <v>276</v>
      </c>
      <c r="E973" s="326" t="s">
        <v>125</v>
      </c>
      <c r="F973" s="99" t="s">
        <v>140</v>
      </c>
      <c r="G973" s="99" t="s">
        <v>126</v>
      </c>
      <c r="H973" s="365">
        <v>1946</v>
      </c>
      <c r="I973" s="101"/>
      <c r="J973" s="101"/>
      <c r="K973" s="101"/>
      <c r="L973" s="101"/>
      <c r="M973" s="101"/>
      <c r="N973" s="101"/>
      <c r="O973" s="101"/>
      <c r="P973" s="101"/>
      <c r="Q973" s="101"/>
      <c r="R973" s="101"/>
      <c r="S973" s="101"/>
      <c r="T973" s="101"/>
      <c r="U973" s="101"/>
      <c r="V973" s="101"/>
      <c r="W973" s="101"/>
      <c r="X973" s="101"/>
      <c r="Y973" s="101"/>
      <c r="Z973" s="101"/>
      <c r="AA973" s="101"/>
      <c r="AB973" s="102" t="e">
        <f>100/(SUM(I973:Z973))</f>
        <v>#DIV/0!</v>
      </c>
      <c r="AC973" s="259">
        <f>SUM(I973:AA973)</f>
        <v>0</v>
      </c>
      <c r="AD973" s="101"/>
      <c r="AE973" s="101"/>
      <c r="AF973" s="101"/>
      <c r="AG973" s="103" t="s">
        <v>795</v>
      </c>
      <c r="AH973" s="104"/>
      <c r="AI973" s="104"/>
      <c r="AJ973" s="99"/>
      <c r="AK973" s="99"/>
      <c r="AL973" s="103">
        <f>(B973-DATE(1970,1,1))*86400</f>
        <v>1638748800</v>
      </c>
      <c r="AM973" s="103">
        <f>(C973-DATE(1970,1,1))*86400</f>
        <v>1639180800</v>
      </c>
      <c r="AN973" s="103">
        <f>AVERAGE(AL973:AM973)</f>
        <v>1638964800</v>
      </c>
    </row>
    <row r="974" spans="1:40" ht="15.75" customHeight="1" x14ac:dyDescent="0.2">
      <c r="A974" s="286" t="s">
        <v>133</v>
      </c>
      <c r="B974" s="41">
        <v>44534</v>
      </c>
      <c r="C974" s="41">
        <v>44543</v>
      </c>
      <c r="D974" s="40" t="s">
        <v>148</v>
      </c>
      <c r="E974" s="325" t="s">
        <v>125</v>
      </c>
      <c r="F974" s="40"/>
      <c r="G974" s="40" t="s">
        <v>149</v>
      </c>
      <c r="H974" s="325">
        <v>1000</v>
      </c>
      <c r="I974" s="42">
        <v>37</v>
      </c>
      <c r="J974" s="42">
        <v>6</v>
      </c>
      <c r="K974" s="42">
        <v>10</v>
      </c>
      <c r="L974" s="42">
        <v>2</v>
      </c>
      <c r="M974" s="42">
        <v>12</v>
      </c>
      <c r="N974" s="42"/>
      <c r="O974" s="42">
        <v>2</v>
      </c>
      <c r="P974" s="42">
        <v>5</v>
      </c>
      <c r="Q974" s="42"/>
      <c r="R974" s="43"/>
      <c r="S974" s="42"/>
      <c r="T974" s="42"/>
      <c r="U974" s="42"/>
      <c r="V974" s="42">
        <v>1</v>
      </c>
      <c r="W974" s="42"/>
      <c r="X974" s="42">
        <v>2</v>
      </c>
      <c r="Y974" s="42"/>
      <c r="Z974" s="42">
        <v>1</v>
      </c>
      <c r="AA974" s="42">
        <v>22</v>
      </c>
      <c r="AB974" s="44">
        <f>100/(SUM(I974:Z974))</f>
        <v>1.2820512820512822</v>
      </c>
      <c r="AC974" s="259">
        <f>SUM(I974:AA974)</f>
        <v>100</v>
      </c>
      <c r="AD974" s="42"/>
      <c r="AE974" s="42"/>
      <c r="AF974" s="42"/>
      <c r="AG974" s="45" t="s">
        <v>127</v>
      </c>
      <c r="AH974" s="42"/>
      <c r="AI974" s="46" t="s">
        <v>800</v>
      </c>
      <c r="AJ974" s="46" t="s">
        <v>802</v>
      </c>
      <c r="AK974" s="40"/>
      <c r="AL974" s="45">
        <f>(B974-DATE(1970,1,1))*86400</f>
        <v>1638576000</v>
      </c>
      <c r="AM974" s="45">
        <f>(C974-DATE(1970,1,1))*86400</f>
        <v>1639353600</v>
      </c>
      <c r="AN974" s="45">
        <f>AVERAGE(AL974:AM974)</f>
        <v>1638964800</v>
      </c>
    </row>
    <row r="975" spans="1:40" ht="15.75" customHeight="1" x14ac:dyDescent="0.2">
      <c r="A975" s="286" t="s">
        <v>133</v>
      </c>
      <c r="B975" s="41">
        <v>44534</v>
      </c>
      <c r="C975" s="41">
        <v>44543</v>
      </c>
      <c r="D975" s="40" t="s">
        <v>148</v>
      </c>
      <c r="E975" s="325" t="s">
        <v>125</v>
      </c>
      <c r="F975" s="40" t="s">
        <v>390</v>
      </c>
      <c r="G975" s="40" t="s">
        <v>149</v>
      </c>
      <c r="H975" s="325">
        <v>1000</v>
      </c>
      <c r="I975" s="42">
        <v>38</v>
      </c>
      <c r="J975" s="42"/>
      <c r="K975" s="42"/>
      <c r="L975" s="42"/>
      <c r="M975" s="42"/>
      <c r="N975" s="42"/>
      <c r="O975" s="42"/>
      <c r="P975" s="42"/>
      <c r="Q975" s="42"/>
      <c r="R975" s="43"/>
      <c r="S975" s="42"/>
      <c r="T975" s="42"/>
      <c r="U975" s="42">
        <v>39</v>
      </c>
      <c r="V975" s="42"/>
      <c r="W975" s="42"/>
      <c r="X975" s="42"/>
      <c r="Y975" s="42"/>
      <c r="Z975" s="42">
        <v>3</v>
      </c>
      <c r="AA975" s="42">
        <v>20</v>
      </c>
      <c r="AB975" s="44">
        <f>100/(SUM(I975:Z975))</f>
        <v>1.25</v>
      </c>
      <c r="AC975" s="259">
        <f>SUM(I975:AA975)</f>
        <v>100</v>
      </c>
      <c r="AD975" s="42"/>
      <c r="AE975" s="43"/>
      <c r="AF975" s="43"/>
      <c r="AG975" s="45" t="s">
        <v>127</v>
      </c>
      <c r="AH975" s="42"/>
      <c r="AI975" s="46" t="s">
        <v>800</v>
      </c>
      <c r="AJ975" s="46" t="s">
        <v>801</v>
      </c>
      <c r="AK975" s="40"/>
      <c r="AL975" s="45">
        <f>(B975-DATE(1970,1,1))*86400</f>
        <v>1638576000</v>
      </c>
      <c r="AM975" s="45">
        <f>(C975-DATE(1970,1,1))*86400</f>
        <v>1639353600</v>
      </c>
      <c r="AN975" s="45">
        <f>AVERAGE(AL975:AM975)</f>
        <v>1638964800</v>
      </c>
    </row>
    <row r="976" spans="1:40" ht="15.75" customHeight="1" x14ac:dyDescent="0.2">
      <c r="A976" s="286" t="s">
        <v>123</v>
      </c>
      <c r="B976" s="41">
        <v>44534</v>
      </c>
      <c r="C976" s="41">
        <v>44543</v>
      </c>
      <c r="D976" s="40" t="s">
        <v>148</v>
      </c>
      <c r="E976" s="325" t="s">
        <v>125</v>
      </c>
      <c r="F976" s="40" t="s">
        <v>390</v>
      </c>
      <c r="G976" s="40" t="s">
        <v>149</v>
      </c>
      <c r="H976" s="325">
        <v>1000</v>
      </c>
      <c r="I976" s="42">
        <v>48</v>
      </c>
      <c r="J976" s="42"/>
      <c r="K976" s="42"/>
      <c r="L976" s="42"/>
      <c r="M976" s="42"/>
      <c r="N976" s="42"/>
      <c r="O976" s="42"/>
      <c r="P976" s="42"/>
      <c r="Q976" s="42"/>
      <c r="R976" s="43"/>
      <c r="S976" s="42"/>
      <c r="T976" s="42"/>
      <c r="U976" s="42">
        <v>49</v>
      </c>
      <c r="V976" s="42"/>
      <c r="W976" s="42"/>
      <c r="X976" s="42"/>
      <c r="Y976" s="42"/>
      <c r="Z976" s="42">
        <v>3</v>
      </c>
      <c r="AA976" s="42">
        <v>0</v>
      </c>
      <c r="AB976" s="44">
        <f>100/(SUM(I976:Z976))</f>
        <v>1</v>
      </c>
      <c r="AC976" s="259">
        <f>SUM(I976:AA976)</f>
        <v>100</v>
      </c>
      <c r="AD976" s="42"/>
      <c r="AE976" s="42"/>
      <c r="AF976" s="42"/>
      <c r="AG976" s="45" t="s">
        <v>127</v>
      </c>
      <c r="AH976" s="42"/>
      <c r="AI976" s="46" t="s">
        <v>800</v>
      </c>
      <c r="AJ976" s="46" t="s">
        <v>801</v>
      </c>
      <c r="AK976" s="40"/>
      <c r="AL976" s="45">
        <f>(B976-DATE(1970,1,1))*86400</f>
        <v>1638576000</v>
      </c>
      <c r="AM976" s="45">
        <f>(C976-DATE(1970,1,1))*86400</f>
        <v>1639353600</v>
      </c>
      <c r="AN976" s="45">
        <f>AVERAGE(AL976:AM976)</f>
        <v>1638964800</v>
      </c>
    </row>
    <row r="977" spans="1:40" ht="15.75" customHeight="1" x14ac:dyDescent="0.2">
      <c r="A977" s="286" t="s">
        <v>123</v>
      </c>
      <c r="B977" s="41">
        <v>44534</v>
      </c>
      <c r="C977" s="41">
        <v>44543</v>
      </c>
      <c r="D977" s="40" t="s">
        <v>148</v>
      </c>
      <c r="E977" s="325" t="s">
        <v>125</v>
      </c>
      <c r="F977" s="40"/>
      <c r="G977" s="40" t="s">
        <v>149</v>
      </c>
      <c r="H977" s="325">
        <v>1000</v>
      </c>
      <c r="I977" s="42">
        <v>47</v>
      </c>
      <c r="J977" s="42">
        <v>7</v>
      </c>
      <c r="K977" s="42">
        <v>12</v>
      </c>
      <c r="L977" s="42">
        <v>2</v>
      </c>
      <c r="M977" s="42">
        <v>18</v>
      </c>
      <c r="N977" s="42"/>
      <c r="O977" s="42">
        <v>3</v>
      </c>
      <c r="P977" s="42">
        <v>5</v>
      </c>
      <c r="Q977" s="42"/>
      <c r="R977" s="43"/>
      <c r="S977" s="42"/>
      <c r="T977" s="42"/>
      <c r="U977" s="42"/>
      <c r="V977" s="42">
        <v>2</v>
      </c>
      <c r="W977" s="42"/>
      <c r="X977" s="42">
        <v>3</v>
      </c>
      <c r="Y977" s="42"/>
      <c r="Z977" s="43">
        <v>1</v>
      </c>
      <c r="AA977" s="42">
        <v>0</v>
      </c>
      <c r="AB977" s="44">
        <f>100/(SUM(I977:Z977))</f>
        <v>1</v>
      </c>
      <c r="AC977" s="259">
        <f>SUM(I977:AA977)</f>
        <v>100</v>
      </c>
      <c r="AD977" s="42"/>
      <c r="AE977" s="42"/>
      <c r="AF977" s="42"/>
      <c r="AG977" s="45" t="s">
        <v>127</v>
      </c>
      <c r="AH977" s="42"/>
      <c r="AI977" s="46" t="s">
        <v>800</v>
      </c>
      <c r="AJ977" s="46" t="s">
        <v>801</v>
      </c>
      <c r="AK977" s="40"/>
      <c r="AL977" s="45">
        <f>(B977-DATE(1970,1,1))*86400</f>
        <v>1638576000</v>
      </c>
      <c r="AM977" s="45">
        <f>(C977-DATE(1970,1,1))*86400</f>
        <v>1639353600</v>
      </c>
      <c r="AN977" s="45">
        <f>AVERAGE(AL977:AM977)</f>
        <v>1638964800</v>
      </c>
    </row>
    <row r="978" spans="1:40" ht="15.75" customHeight="1" x14ac:dyDescent="0.2">
      <c r="A978" s="284" t="s">
        <v>133</v>
      </c>
      <c r="B978" s="20">
        <v>44529</v>
      </c>
      <c r="C978" s="20">
        <v>44543</v>
      </c>
      <c r="D978" s="19" t="s">
        <v>134</v>
      </c>
      <c r="E978" s="332" t="s">
        <v>125</v>
      </c>
      <c r="F978" s="19"/>
      <c r="G978" s="19" t="s">
        <v>135</v>
      </c>
      <c r="H978" s="332">
        <v>2000</v>
      </c>
      <c r="I978" s="21">
        <v>35</v>
      </c>
      <c r="J978" s="21">
        <v>3</v>
      </c>
      <c r="K978" s="21">
        <v>8</v>
      </c>
      <c r="L978" s="21">
        <v>1</v>
      </c>
      <c r="M978" s="21">
        <v>12</v>
      </c>
      <c r="N978" s="21"/>
      <c r="O978" s="21">
        <v>2</v>
      </c>
      <c r="P978" s="21">
        <v>7</v>
      </c>
      <c r="Q978" s="21"/>
      <c r="R978" s="22"/>
      <c r="S978" s="21"/>
      <c r="T978" s="21"/>
      <c r="U978" s="21"/>
      <c r="V978" s="21">
        <v>3</v>
      </c>
      <c r="W978" s="21"/>
      <c r="X978" s="21">
        <v>3</v>
      </c>
      <c r="Y978" s="21"/>
      <c r="Z978" s="21">
        <v>0</v>
      </c>
      <c r="AA978" s="21">
        <v>26</v>
      </c>
      <c r="AB978" s="23">
        <f>100/(SUM(I978:Z978))</f>
        <v>1.3513513513513513</v>
      </c>
      <c r="AC978" s="259">
        <f>SUM(I978:AA978)</f>
        <v>100</v>
      </c>
      <c r="AD978" s="24"/>
      <c r="AE978" s="24"/>
      <c r="AF978" s="24"/>
      <c r="AG978" s="25" t="s">
        <v>127</v>
      </c>
      <c r="AH978" s="26" t="s">
        <v>803</v>
      </c>
      <c r="AI978" s="83" t="s">
        <v>804</v>
      </c>
      <c r="AJ978" s="83"/>
      <c r="AK978" s="19"/>
      <c r="AL978" s="25">
        <f>(B978-DATE(1970,1,1))*86400</f>
        <v>1638144000</v>
      </c>
      <c r="AM978" s="25">
        <f>(C978-DATE(1970,1,1))*86400</f>
        <v>1639353600</v>
      </c>
      <c r="AN978" s="25">
        <f>AVERAGE(AL978:AM978)</f>
        <v>1638748800</v>
      </c>
    </row>
    <row r="979" spans="1:40" ht="15.75" customHeight="1" x14ac:dyDescent="0.2">
      <c r="A979" s="284" t="s">
        <v>133</v>
      </c>
      <c r="B979" s="20">
        <v>44529</v>
      </c>
      <c r="C979" s="20">
        <v>44543</v>
      </c>
      <c r="D979" s="19" t="s">
        <v>134</v>
      </c>
      <c r="E979" s="332" t="s">
        <v>125</v>
      </c>
      <c r="F979" s="19" t="s">
        <v>390</v>
      </c>
      <c r="G979" s="19" t="s">
        <v>135</v>
      </c>
      <c r="H979" s="332">
        <v>2000</v>
      </c>
      <c r="I979" s="21">
        <v>38</v>
      </c>
      <c r="J979" s="21"/>
      <c r="K979" s="21"/>
      <c r="L979" s="21"/>
      <c r="M979" s="21"/>
      <c r="N979" s="21"/>
      <c r="O979" s="21"/>
      <c r="P979" s="21"/>
      <c r="Q979" s="21"/>
      <c r="R979" s="22"/>
      <c r="S979" s="21"/>
      <c r="T979" s="21"/>
      <c r="U979" s="21">
        <v>38</v>
      </c>
      <c r="V979" s="21">
        <v>3</v>
      </c>
      <c r="W979" s="21"/>
      <c r="X979" s="21">
        <v>4</v>
      </c>
      <c r="Y979" s="21"/>
      <c r="Z979" s="21">
        <v>1</v>
      </c>
      <c r="AA979" s="21">
        <v>17</v>
      </c>
      <c r="AB979" s="23">
        <f>100/(SUM(I979:Z979))</f>
        <v>1.1904761904761905</v>
      </c>
      <c r="AC979" s="259">
        <f>SUM(I979:AA979)</f>
        <v>101</v>
      </c>
      <c r="AD979" s="24"/>
      <c r="AE979" s="24"/>
      <c r="AF979" s="24"/>
      <c r="AG979" s="25" t="s">
        <v>127</v>
      </c>
      <c r="AH979" s="26" t="s">
        <v>803</v>
      </c>
      <c r="AI979" s="83" t="s">
        <v>804</v>
      </c>
      <c r="AJ979" s="83"/>
      <c r="AK979" s="19"/>
      <c r="AL979" s="25">
        <f>(B979-DATE(1970,1,1))*86400</f>
        <v>1638144000</v>
      </c>
      <c r="AM979" s="25">
        <f>(C979-DATE(1970,1,1))*86400</f>
        <v>1639353600</v>
      </c>
      <c r="AN979" s="25">
        <f>AVERAGE(AL979:AM979)</f>
        <v>1638748800</v>
      </c>
    </row>
    <row r="980" spans="1:40" ht="15.75" customHeight="1" x14ac:dyDescent="0.2">
      <c r="A980" s="284" t="s">
        <v>123</v>
      </c>
      <c r="B980" s="20">
        <v>44529</v>
      </c>
      <c r="C980" s="20">
        <v>44543</v>
      </c>
      <c r="D980" s="19" t="s">
        <v>134</v>
      </c>
      <c r="E980" s="332" t="s">
        <v>125</v>
      </c>
      <c r="F980" s="19" t="s">
        <v>390</v>
      </c>
      <c r="G980" s="19" t="s">
        <v>135</v>
      </c>
      <c r="H980" s="332">
        <v>2000</v>
      </c>
      <c r="I980" s="21">
        <v>47</v>
      </c>
      <c r="J980" s="21"/>
      <c r="K980" s="21"/>
      <c r="L980" s="21"/>
      <c r="M980" s="21"/>
      <c r="N980" s="21"/>
      <c r="O980" s="21"/>
      <c r="P980" s="21"/>
      <c r="Q980" s="21"/>
      <c r="R980" s="22"/>
      <c r="S980" s="21"/>
      <c r="T980" s="21"/>
      <c r="U980" s="21">
        <v>46</v>
      </c>
      <c r="V980" s="21">
        <v>3</v>
      </c>
      <c r="W980" s="21"/>
      <c r="X980" s="21">
        <v>4</v>
      </c>
      <c r="Y980" s="21"/>
      <c r="Z980" s="21">
        <v>0</v>
      </c>
      <c r="AA980" s="21">
        <v>0</v>
      </c>
      <c r="AB980" s="23">
        <f>100/(SUM(I980:Z980))</f>
        <v>1</v>
      </c>
      <c r="AC980" s="259">
        <f>SUM(I980:AA980)</f>
        <v>100</v>
      </c>
      <c r="AD980" s="24"/>
      <c r="AE980" s="24"/>
      <c r="AF980" s="24"/>
      <c r="AG980" s="25" t="s">
        <v>127</v>
      </c>
      <c r="AH980" s="26" t="s">
        <v>803</v>
      </c>
      <c r="AI980" s="83" t="s">
        <v>804</v>
      </c>
      <c r="AJ980" s="83"/>
      <c r="AK980" s="19"/>
      <c r="AL980" s="25">
        <f>(B980-DATE(1970,1,1))*86400</f>
        <v>1638144000</v>
      </c>
      <c r="AM980" s="25">
        <f>(C980-DATE(1970,1,1))*86400</f>
        <v>1639353600</v>
      </c>
      <c r="AN980" s="25">
        <f>AVERAGE(AL980:AM980)</f>
        <v>1638748800</v>
      </c>
    </row>
    <row r="981" spans="1:40" ht="15.75" customHeight="1" x14ac:dyDescent="0.2">
      <c r="A981" s="284" t="s">
        <v>123</v>
      </c>
      <c r="B981" s="20">
        <v>44529</v>
      </c>
      <c r="C981" s="20">
        <v>44543</v>
      </c>
      <c r="D981" s="19" t="s">
        <v>134</v>
      </c>
      <c r="E981" s="332" t="s">
        <v>125</v>
      </c>
      <c r="F981" s="19"/>
      <c r="G981" s="19" t="s">
        <v>135</v>
      </c>
      <c r="H981" s="332">
        <v>2000</v>
      </c>
      <c r="I981" s="21">
        <v>47</v>
      </c>
      <c r="J981" s="21">
        <v>3</v>
      </c>
      <c r="K981" s="21">
        <v>11</v>
      </c>
      <c r="L981" s="21">
        <v>1</v>
      </c>
      <c r="M981" s="21">
        <v>18</v>
      </c>
      <c r="N981" s="21"/>
      <c r="O981" s="21">
        <v>2</v>
      </c>
      <c r="P981" s="21">
        <v>10</v>
      </c>
      <c r="Q981" s="21"/>
      <c r="R981" s="22"/>
      <c r="S981" s="21"/>
      <c r="T981" s="21"/>
      <c r="U981" s="21"/>
      <c r="V981" s="21">
        <v>3</v>
      </c>
      <c r="W981" s="21"/>
      <c r="X981" s="21">
        <v>4</v>
      </c>
      <c r="Y981" s="21"/>
      <c r="Z981" s="21">
        <v>1</v>
      </c>
      <c r="AA981" s="21">
        <v>0</v>
      </c>
      <c r="AB981" s="23">
        <f>100/(SUM(I981:Z981))</f>
        <v>1</v>
      </c>
      <c r="AC981" s="259">
        <f>SUM(I981:AA981)</f>
        <v>100</v>
      </c>
      <c r="AD981" s="24"/>
      <c r="AE981" s="24"/>
      <c r="AF981" s="24"/>
      <c r="AG981" s="25" t="s">
        <v>127</v>
      </c>
      <c r="AH981" s="26" t="s">
        <v>803</v>
      </c>
      <c r="AI981" s="83" t="s">
        <v>804</v>
      </c>
      <c r="AJ981" s="83"/>
      <c r="AK981" s="19"/>
      <c r="AL981" s="25">
        <f>(B981-DATE(1970,1,1))*86400</f>
        <v>1638144000</v>
      </c>
      <c r="AM981" s="25">
        <f>(C981-DATE(1970,1,1))*86400</f>
        <v>1639353600</v>
      </c>
      <c r="AN981" s="25">
        <f>AVERAGE(AL981:AM981)</f>
        <v>1638748800</v>
      </c>
    </row>
    <row r="982" spans="1:40" ht="15.75" customHeight="1" x14ac:dyDescent="0.2">
      <c r="A982" s="285" t="s">
        <v>133</v>
      </c>
      <c r="B982" s="34">
        <v>44534</v>
      </c>
      <c r="C982" s="34">
        <v>44537</v>
      </c>
      <c r="D982" s="33" t="s">
        <v>143</v>
      </c>
      <c r="E982" s="319" t="s">
        <v>125</v>
      </c>
      <c r="F982" s="33" t="s">
        <v>390</v>
      </c>
      <c r="G982" s="33" t="s">
        <v>126</v>
      </c>
      <c r="H982" s="353">
        <v>1000</v>
      </c>
      <c r="I982" s="35">
        <v>39</v>
      </c>
      <c r="J982" s="35"/>
      <c r="K982" s="35"/>
      <c r="L982" s="35"/>
      <c r="M982" s="35"/>
      <c r="N982" s="35"/>
      <c r="O982" s="35"/>
      <c r="P982" s="35"/>
      <c r="Q982" s="35"/>
      <c r="R982" s="36"/>
      <c r="S982" s="35"/>
      <c r="T982" s="35"/>
      <c r="U982" s="35">
        <v>34</v>
      </c>
      <c r="V982" s="35">
        <v>7</v>
      </c>
      <c r="W982" s="35"/>
      <c r="X982" s="35">
        <v>7</v>
      </c>
      <c r="Y982" s="35"/>
      <c r="Z982" s="35"/>
      <c r="AA982" s="35">
        <v>13</v>
      </c>
      <c r="AB982" s="37">
        <f>100/(SUM(I982:Z982))</f>
        <v>1.1494252873563218</v>
      </c>
      <c r="AC982" s="259">
        <f>SUM(I982:AA982)</f>
        <v>100</v>
      </c>
      <c r="AD982" s="35"/>
      <c r="AE982" s="35"/>
      <c r="AF982" s="35"/>
      <c r="AG982" s="33" t="s">
        <v>144</v>
      </c>
      <c r="AH982" s="33" t="s">
        <v>165</v>
      </c>
      <c r="AI982" s="38" t="s">
        <v>805</v>
      </c>
      <c r="AJ982" s="33" t="s">
        <v>806</v>
      </c>
      <c r="AK982" s="33"/>
      <c r="AL982" s="39">
        <f>(B982-DATE(1970,1,1))*86400</f>
        <v>1638576000</v>
      </c>
      <c r="AM982" s="39">
        <f>(C982-DATE(1970,1,1))*86400</f>
        <v>1638835200</v>
      </c>
      <c r="AN982" s="39">
        <f>AVERAGE(AL982:AM982)</f>
        <v>1638705600</v>
      </c>
    </row>
    <row r="983" spans="1:40" ht="15.75" customHeight="1" x14ac:dyDescent="0.2">
      <c r="A983" s="285" t="s">
        <v>133</v>
      </c>
      <c r="B983" s="34">
        <v>44534</v>
      </c>
      <c r="C983" s="34">
        <v>44537</v>
      </c>
      <c r="D983" s="33" t="s">
        <v>143</v>
      </c>
      <c r="E983" s="319" t="s">
        <v>125</v>
      </c>
      <c r="F983" s="33" t="s">
        <v>390</v>
      </c>
      <c r="G983" s="33" t="s">
        <v>126</v>
      </c>
      <c r="H983" s="353">
        <v>1000</v>
      </c>
      <c r="I983" s="35">
        <v>45</v>
      </c>
      <c r="J983" s="35"/>
      <c r="K983" s="35"/>
      <c r="L983" s="35"/>
      <c r="M983" s="35"/>
      <c r="N983" s="35"/>
      <c r="O983" s="35"/>
      <c r="P983" s="35"/>
      <c r="Q983" s="35"/>
      <c r="R983" s="36"/>
      <c r="S983" s="35"/>
      <c r="T983" s="35"/>
      <c r="U983" s="35">
        <v>40</v>
      </c>
      <c r="V983" s="35">
        <v>8</v>
      </c>
      <c r="W983" s="35"/>
      <c r="X983" s="35">
        <v>7</v>
      </c>
      <c r="Y983" s="35"/>
      <c r="Z983" s="35"/>
      <c r="AA983" s="35">
        <v>0</v>
      </c>
      <c r="AB983" s="37">
        <f>100/(SUM(I983:Z983))</f>
        <v>1</v>
      </c>
      <c r="AC983" s="259">
        <f>SUM(I983:AA983)</f>
        <v>100</v>
      </c>
      <c r="AD983" s="35"/>
      <c r="AE983" s="35"/>
      <c r="AF983" s="35"/>
      <c r="AG983" s="33" t="s">
        <v>144</v>
      </c>
      <c r="AH983" s="33" t="s">
        <v>165</v>
      </c>
      <c r="AI983" s="38" t="s">
        <v>805</v>
      </c>
      <c r="AJ983" s="33" t="s">
        <v>806</v>
      </c>
      <c r="AK983" s="33"/>
      <c r="AL983" s="39">
        <f>(B983-DATE(1970,1,1))*86400</f>
        <v>1638576000</v>
      </c>
      <c r="AM983" s="39">
        <f>(C983-DATE(1970,1,1))*86400</f>
        <v>1638835200</v>
      </c>
      <c r="AN983" s="39">
        <f>AVERAGE(AL983:AM983)</f>
        <v>1638705600</v>
      </c>
    </row>
    <row r="984" spans="1:40" ht="15.75" customHeight="1" x14ac:dyDescent="0.2">
      <c r="A984" s="285" t="s">
        <v>123</v>
      </c>
      <c r="B984" s="34">
        <v>44534</v>
      </c>
      <c r="C984" s="34">
        <v>44537</v>
      </c>
      <c r="D984" s="33" t="s">
        <v>143</v>
      </c>
      <c r="E984" s="319" t="s">
        <v>125</v>
      </c>
      <c r="F984" s="33" t="s">
        <v>390</v>
      </c>
      <c r="G984" s="33" t="s">
        <v>126</v>
      </c>
      <c r="H984" s="353">
        <v>1000</v>
      </c>
      <c r="I984" s="35">
        <v>44</v>
      </c>
      <c r="J984" s="35"/>
      <c r="K984" s="35"/>
      <c r="L984" s="35"/>
      <c r="M984" s="35"/>
      <c r="N984" s="35"/>
      <c r="O984" s="35"/>
      <c r="P984" s="35"/>
      <c r="Q984" s="35"/>
      <c r="R984" s="36"/>
      <c r="S984" s="35"/>
      <c r="T984" s="35"/>
      <c r="U984" s="35">
        <v>45</v>
      </c>
      <c r="V984" s="35">
        <v>6</v>
      </c>
      <c r="W984" s="35"/>
      <c r="X984" s="35">
        <v>5</v>
      </c>
      <c r="Y984" s="35"/>
      <c r="Z984" s="35"/>
      <c r="AA984" s="35">
        <v>0</v>
      </c>
      <c r="AB984" s="37">
        <f>100/(SUM(I984:Z984))</f>
        <v>1</v>
      </c>
      <c r="AC984" s="259">
        <f>SUM(I984:AA984)</f>
        <v>100</v>
      </c>
      <c r="AD984" s="35"/>
      <c r="AE984" s="35"/>
      <c r="AF984" s="35"/>
      <c r="AG984" s="33" t="s">
        <v>144</v>
      </c>
      <c r="AH984" s="33" t="s">
        <v>165</v>
      </c>
      <c r="AI984" s="38" t="s">
        <v>805</v>
      </c>
      <c r="AJ984" s="33" t="s">
        <v>806</v>
      </c>
      <c r="AK984" s="33"/>
      <c r="AL984" s="39">
        <f>(B984-DATE(1970,1,1))*86400</f>
        <v>1638576000</v>
      </c>
      <c r="AM984" s="39">
        <f>(C984-DATE(1970,1,1))*86400</f>
        <v>1638835200</v>
      </c>
      <c r="AN984" s="39">
        <f>AVERAGE(AL984:AM984)</f>
        <v>1638705600</v>
      </c>
    </row>
    <row r="985" spans="1:40" ht="15.75" customHeight="1" x14ac:dyDescent="0.2">
      <c r="A985" s="291" t="s">
        <v>123</v>
      </c>
      <c r="B985" s="48">
        <v>44526</v>
      </c>
      <c r="C985" s="48">
        <v>44530</v>
      </c>
      <c r="D985" s="47" t="s">
        <v>152</v>
      </c>
      <c r="E985" s="337" t="s">
        <v>184</v>
      </c>
      <c r="F985" s="47" t="s">
        <v>390</v>
      </c>
      <c r="G985" s="47" t="s">
        <v>126</v>
      </c>
      <c r="H985" s="370">
        <v>1000</v>
      </c>
      <c r="I985" s="49">
        <v>51</v>
      </c>
      <c r="J985" s="49"/>
      <c r="K985" s="49"/>
      <c r="L985" s="49"/>
      <c r="M985" s="49"/>
      <c r="N985" s="49"/>
      <c r="O985" s="49"/>
      <c r="P985" s="49"/>
      <c r="Q985" s="49"/>
      <c r="R985" s="49"/>
      <c r="S985" s="49"/>
      <c r="T985" s="49"/>
      <c r="U985" s="49">
        <v>46</v>
      </c>
      <c r="V985" s="49"/>
      <c r="W985" s="49"/>
      <c r="X985" s="49"/>
      <c r="Y985" s="49"/>
      <c r="Z985" s="49">
        <v>3</v>
      </c>
      <c r="AA985" s="49">
        <v>0</v>
      </c>
      <c r="AB985" s="50">
        <f>100/(SUM(I985:Z985))</f>
        <v>1</v>
      </c>
      <c r="AC985" s="259">
        <f>SUM(I985:AA985)</f>
        <v>100</v>
      </c>
      <c r="AD985" s="49"/>
      <c r="AE985" s="113"/>
      <c r="AF985" s="49"/>
      <c r="AG985" s="51" t="s">
        <v>127</v>
      </c>
      <c r="AH985" s="52" t="s">
        <v>761</v>
      </c>
      <c r="AI985" s="52" t="s">
        <v>762</v>
      </c>
      <c r="AJ985" s="52"/>
      <c r="AK985" s="47" t="s">
        <v>1859</v>
      </c>
      <c r="AL985" s="51">
        <f>(B985-DATE(1970,1,1))*86400</f>
        <v>1637884800</v>
      </c>
      <c r="AM985" s="51">
        <f>(C985-DATE(1970,1,1))*86400</f>
        <v>1638230400</v>
      </c>
      <c r="AN985" s="51">
        <f>AVERAGE(AL985:AM985)</f>
        <v>1638057600</v>
      </c>
    </row>
    <row r="986" spans="1:40" ht="15.75" customHeight="1" x14ac:dyDescent="0.2">
      <c r="A986" s="281" t="s">
        <v>133</v>
      </c>
      <c r="B986" s="54">
        <v>44525</v>
      </c>
      <c r="C986" s="54">
        <v>44530</v>
      </c>
      <c r="D986" s="53" t="s">
        <v>154</v>
      </c>
      <c r="E986" s="323" t="s">
        <v>125</v>
      </c>
      <c r="F986" s="53" t="s">
        <v>390</v>
      </c>
      <c r="G986" s="53" t="s">
        <v>126</v>
      </c>
      <c r="H986" s="357">
        <v>1003</v>
      </c>
      <c r="I986" s="55">
        <v>32</v>
      </c>
      <c r="J986" s="55"/>
      <c r="K986" s="55"/>
      <c r="L986" s="55"/>
      <c r="M986" s="55"/>
      <c r="N986" s="55"/>
      <c r="O986" s="55"/>
      <c r="P986" s="55"/>
      <c r="Q986" s="55"/>
      <c r="R986" s="56"/>
      <c r="S986" s="55"/>
      <c r="T986" s="55"/>
      <c r="U986" s="55">
        <v>36</v>
      </c>
      <c r="V986" s="55"/>
      <c r="W986" s="55"/>
      <c r="X986" s="55"/>
      <c r="Y986" s="55"/>
      <c r="Z986" s="55">
        <v>1</v>
      </c>
      <c r="AA986" s="55">
        <v>31</v>
      </c>
      <c r="AB986" s="57">
        <f>100/(SUM(I986:Z986))</f>
        <v>1.4492753623188406</v>
      </c>
      <c r="AC986" s="259">
        <f>SUM(I986:AA986)</f>
        <v>100</v>
      </c>
      <c r="AD986" s="55"/>
      <c r="AE986" s="55"/>
      <c r="AF986" s="55"/>
      <c r="AG986" s="58" t="s">
        <v>155</v>
      </c>
      <c r="AH986" s="59" t="s">
        <v>809</v>
      </c>
      <c r="AI986" s="59" t="s">
        <v>807</v>
      </c>
      <c r="AJ986" s="59"/>
      <c r="AK986" s="53"/>
      <c r="AL986" s="58">
        <f>(B986-DATE(1970,1,1))*86400</f>
        <v>1637798400</v>
      </c>
      <c r="AM986" s="58">
        <f>(C986-DATE(1970,1,1))*86400</f>
        <v>1638230400</v>
      </c>
      <c r="AN986" s="58">
        <f>AVERAGE(AL986:AM986)</f>
        <v>1638014400</v>
      </c>
    </row>
    <row r="987" spans="1:40" ht="15.75" customHeight="1" x14ac:dyDescent="0.2">
      <c r="A987" s="281" t="s">
        <v>133</v>
      </c>
      <c r="B987" s="54">
        <v>44525</v>
      </c>
      <c r="C987" s="54">
        <v>44530</v>
      </c>
      <c r="D987" s="53" t="s">
        <v>154</v>
      </c>
      <c r="E987" s="323" t="s">
        <v>125</v>
      </c>
      <c r="F987" s="53"/>
      <c r="G987" s="53" t="s">
        <v>126</v>
      </c>
      <c r="H987" s="357">
        <v>1003</v>
      </c>
      <c r="I987" s="55">
        <v>31</v>
      </c>
      <c r="J987" s="55"/>
      <c r="K987" s="55">
        <v>6</v>
      </c>
      <c r="L987" s="55">
        <v>1</v>
      </c>
      <c r="M987" s="55">
        <v>11</v>
      </c>
      <c r="N987" s="55"/>
      <c r="O987" s="55"/>
      <c r="P987" s="55">
        <v>4</v>
      </c>
      <c r="Q987" s="55"/>
      <c r="R987" s="55">
        <v>8</v>
      </c>
      <c r="S987" s="55">
        <v>1</v>
      </c>
      <c r="T987" s="55"/>
      <c r="U987" s="55">
        <v>7</v>
      </c>
      <c r="V987" s="55">
        <v>1</v>
      </c>
      <c r="W987" s="55"/>
      <c r="X987" s="55">
        <v>0</v>
      </c>
      <c r="Y987" s="55"/>
      <c r="Z987" s="55">
        <v>0</v>
      </c>
      <c r="AA987" s="55">
        <v>30</v>
      </c>
      <c r="AB987" s="57">
        <f>100/(SUM(I987:Z987))</f>
        <v>1.4285714285714286</v>
      </c>
      <c r="AC987" s="259">
        <f>SUM(I987:AA987)</f>
        <v>100</v>
      </c>
      <c r="AD987" s="55"/>
      <c r="AE987" s="55"/>
      <c r="AF987" s="55"/>
      <c r="AG987" s="58" t="s">
        <v>155</v>
      </c>
      <c r="AH987" s="59" t="s">
        <v>809</v>
      </c>
      <c r="AI987" s="59"/>
      <c r="AJ987" s="59"/>
      <c r="AK987" s="53"/>
      <c r="AL987" s="58">
        <f>(B987-DATE(1970,1,1))*86400</f>
        <v>1637798400</v>
      </c>
      <c r="AM987" s="58">
        <f>(C987-DATE(1970,1,1))*86400</f>
        <v>1638230400</v>
      </c>
      <c r="AN987" s="58">
        <f>AVERAGE(AL987:AM987)</f>
        <v>1638014400</v>
      </c>
    </row>
    <row r="988" spans="1:40" ht="15.75" customHeight="1" x14ac:dyDescent="0.2">
      <c r="A988" s="281" t="s">
        <v>123</v>
      </c>
      <c r="B988" s="54">
        <v>44525</v>
      </c>
      <c r="C988" s="54">
        <v>44530</v>
      </c>
      <c r="D988" s="53" t="s">
        <v>154</v>
      </c>
      <c r="E988" s="323" t="s">
        <v>125</v>
      </c>
      <c r="F988" s="53"/>
      <c r="G988" s="53" t="s">
        <v>126</v>
      </c>
      <c r="H988" s="357">
        <v>1003</v>
      </c>
      <c r="I988" s="55">
        <v>37</v>
      </c>
      <c r="J988" s="55"/>
      <c r="K988" s="55">
        <v>7</v>
      </c>
      <c r="L988" s="55">
        <v>1</v>
      </c>
      <c r="M988" s="55">
        <v>12</v>
      </c>
      <c r="N988" s="55"/>
      <c r="O988" s="55"/>
      <c r="P988" s="55">
        <v>5</v>
      </c>
      <c r="Q988" s="55"/>
      <c r="R988" s="55">
        <v>9</v>
      </c>
      <c r="S988" s="55">
        <v>1</v>
      </c>
      <c r="T988" s="55"/>
      <c r="U988" s="55">
        <v>10</v>
      </c>
      <c r="V988" s="55">
        <v>0</v>
      </c>
      <c r="W988" s="55"/>
      <c r="X988" s="55">
        <v>0</v>
      </c>
      <c r="Y988" s="55"/>
      <c r="Z988" s="55">
        <v>0</v>
      </c>
      <c r="AA988" s="55">
        <v>18</v>
      </c>
      <c r="AB988" s="57">
        <f>100/(SUM(I988:Z988))</f>
        <v>1.2195121951219512</v>
      </c>
      <c r="AC988" s="259">
        <f>SUM(I988:AA988)</f>
        <v>100</v>
      </c>
      <c r="AD988" s="55"/>
      <c r="AE988" s="55"/>
      <c r="AF988" s="55"/>
      <c r="AG988" s="58" t="s">
        <v>155</v>
      </c>
      <c r="AH988" s="59" t="s">
        <v>809</v>
      </c>
      <c r="AI988" s="59"/>
      <c r="AJ988" s="59"/>
      <c r="AK988" s="53"/>
      <c r="AL988" s="58">
        <f>(B988-DATE(1970,1,1))*86400</f>
        <v>1637798400</v>
      </c>
      <c r="AM988" s="58">
        <f>(C988-DATE(1970,1,1))*86400</f>
        <v>1638230400</v>
      </c>
      <c r="AN988" s="58">
        <f>AVERAGE(AL988:AM988)</f>
        <v>1638014400</v>
      </c>
    </row>
    <row r="989" spans="1:40" ht="15.75" customHeight="1" x14ac:dyDescent="0.2">
      <c r="A989" s="281" t="s">
        <v>123</v>
      </c>
      <c r="B989" s="54">
        <v>44525</v>
      </c>
      <c r="C989" s="54">
        <v>44530</v>
      </c>
      <c r="D989" s="53" t="s">
        <v>154</v>
      </c>
      <c r="E989" s="323" t="s">
        <v>125</v>
      </c>
      <c r="F989" s="53"/>
      <c r="G989" s="53" t="s">
        <v>126</v>
      </c>
      <c r="H989" s="357">
        <v>1003</v>
      </c>
      <c r="I989" s="55">
        <v>46</v>
      </c>
      <c r="J989" s="55"/>
      <c r="K989" s="55">
        <v>9</v>
      </c>
      <c r="L989" s="55">
        <v>1</v>
      </c>
      <c r="M989" s="55">
        <v>13</v>
      </c>
      <c r="N989" s="55"/>
      <c r="O989" s="55"/>
      <c r="P989" s="55">
        <v>6</v>
      </c>
      <c r="Q989" s="55"/>
      <c r="R989" s="55">
        <v>10</v>
      </c>
      <c r="S989" s="55">
        <v>2</v>
      </c>
      <c r="T989" s="55"/>
      <c r="U989" s="55">
        <v>12</v>
      </c>
      <c r="V989" s="55">
        <v>0</v>
      </c>
      <c r="W989" s="55"/>
      <c r="X989" s="55">
        <v>1</v>
      </c>
      <c r="Y989" s="55"/>
      <c r="Z989" s="55">
        <v>0</v>
      </c>
      <c r="AA989" s="55">
        <v>0</v>
      </c>
      <c r="AB989" s="57">
        <f>100/(SUM(I989:Z989))</f>
        <v>1</v>
      </c>
      <c r="AC989" s="259">
        <f>SUM(I989:AA989)</f>
        <v>100</v>
      </c>
      <c r="AD989" s="55"/>
      <c r="AE989" s="55"/>
      <c r="AF989" s="55"/>
      <c r="AG989" s="58" t="s">
        <v>155</v>
      </c>
      <c r="AH989" s="59" t="s">
        <v>809</v>
      </c>
      <c r="AI989" s="59" t="s">
        <v>807</v>
      </c>
      <c r="AJ989" s="59"/>
      <c r="AK989" s="53" t="s">
        <v>808</v>
      </c>
      <c r="AL989" s="58">
        <f>(B989-DATE(1970,1,1))*86400</f>
        <v>1637798400</v>
      </c>
      <c r="AM989" s="58">
        <f>(C989-DATE(1970,1,1))*86400</f>
        <v>1638230400</v>
      </c>
      <c r="AN989" s="58">
        <f>AVERAGE(AL989:AM989)</f>
        <v>1638014400</v>
      </c>
    </row>
    <row r="990" spans="1:40" ht="15.75" customHeight="1" x14ac:dyDescent="0.2">
      <c r="A990" s="288" t="s">
        <v>133</v>
      </c>
      <c r="B990" s="60">
        <v>44517</v>
      </c>
      <c r="C990" s="60">
        <v>44523</v>
      </c>
      <c r="D990" s="61" t="s">
        <v>168</v>
      </c>
      <c r="E990" s="334" t="s">
        <v>125</v>
      </c>
      <c r="F990" s="61"/>
      <c r="G990" s="61" t="s">
        <v>126</v>
      </c>
      <c r="H990" s="334">
        <v>1000</v>
      </c>
      <c r="I990" s="63">
        <v>31</v>
      </c>
      <c r="J990" s="63">
        <v>5</v>
      </c>
      <c r="K990" s="63">
        <v>8</v>
      </c>
      <c r="L990" s="63">
        <v>2</v>
      </c>
      <c r="M990" s="63">
        <v>11</v>
      </c>
      <c r="N990" s="63"/>
      <c r="O990" s="63">
        <v>3</v>
      </c>
      <c r="P990" s="63">
        <v>6</v>
      </c>
      <c r="Q990" s="63"/>
      <c r="R990" s="64"/>
      <c r="S990" s="63"/>
      <c r="T990" s="63"/>
      <c r="U990" s="63"/>
      <c r="V990" s="63">
        <v>3</v>
      </c>
      <c r="W990" s="63"/>
      <c r="X990" s="63">
        <v>2</v>
      </c>
      <c r="Y990" s="63"/>
      <c r="Z990" s="63">
        <v>3</v>
      </c>
      <c r="AA990" s="63">
        <v>26</v>
      </c>
      <c r="AB990" s="65">
        <f>100/(SUM(I990:Z990))</f>
        <v>1.3513513513513513</v>
      </c>
      <c r="AC990" s="259">
        <f>SUM(I990:AA990)</f>
        <v>100</v>
      </c>
      <c r="AD990" s="63"/>
      <c r="AE990" s="64">
        <v>1</v>
      </c>
      <c r="AF990" s="64">
        <v>18</v>
      </c>
      <c r="AG990" s="66" t="s">
        <v>127</v>
      </c>
      <c r="AH990" s="67" t="s">
        <v>810</v>
      </c>
      <c r="AI990" s="67" t="s">
        <v>811</v>
      </c>
      <c r="AJ990" s="67"/>
      <c r="AK990" s="61" t="s">
        <v>812</v>
      </c>
      <c r="AL990" s="66">
        <f>(B990-DATE(1970,1,1))*86400</f>
        <v>1637107200</v>
      </c>
      <c r="AM990" s="66">
        <f>(C990-DATE(1970,1,1))*86400</f>
        <v>1637625600</v>
      </c>
      <c r="AN990" s="66">
        <f>AVERAGE(AL990:AM990)</f>
        <v>1637366400</v>
      </c>
    </row>
    <row r="991" spans="1:40" ht="15.75" customHeight="1" x14ac:dyDescent="0.2">
      <c r="A991" s="288" t="s">
        <v>133</v>
      </c>
      <c r="B991" s="60">
        <v>44517</v>
      </c>
      <c r="C991" s="60">
        <v>44523</v>
      </c>
      <c r="D991" s="61" t="s">
        <v>168</v>
      </c>
      <c r="E991" s="334" t="s">
        <v>125</v>
      </c>
      <c r="F991" s="61"/>
      <c r="G991" s="61" t="s">
        <v>126</v>
      </c>
      <c r="H991" s="334">
        <v>1000</v>
      </c>
      <c r="I991" s="63">
        <v>41</v>
      </c>
      <c r="J991" s="63">
        <v>7</v>
      </c>
      <c r="K991" s="63">
        <v>10</v>
      </c>
      <c r="L991" s="63">
        <v>3</v>
      </c>
      <c r="M991" s="63">
        <v>15</v>
      </c>
      <c r="N991" s="63"/>
      <c r="O991" s="63">
        <v>4</v>
      </c>
      <c r="P991" s="63">
        <v>9</v>
      </c>
      <c r="Q991" s="63"/>
      <c r="R991" s="64"/>
      <c r="S991" s="63"/>
      <c r="T991" s="63"/>
      <c r="U991" s="63"/>
      <c r="V991" s="63">
        <v>4</v>
      </c>
      <c r="W991" s="63"/>
      <c r="X991" s="63">
        <v>2</v>
      </c>
      <c r="Y991" s="63"/>
      <c r="Z991" s="63">
        <v>4</v>
      </c>
      <c r="AA991" s="63">
        <v>0</v>
      </c>
      <c r="AB991" s="65">
        <f>100/(SUM(I991:Z991))</f>
        <v>1.0101010101010102</v>
      </c>
      <c r="AC991" s="259">
        <f>SUM(I991:AA991)</f>
        <v>99</v>
      </c>
      <c r="AD991" s="63"/>
      <c r="AE991" s="63"/>
      <c r="AF991" s="63"/>
      <c r="AG991" s="66" t="s">
        <v>127</v>
      </c>
      <c r="AH991" s="67" t="s">
        <v>810</v>
      </c>
      <c r="AI991" s="67" t="s">
        <v>811</v>
      </c>
      <c r="AJ991" s="67"/>
      <c r="AK991" s="61"/>
      <c r="AL991" s="66">
        <f>(B991-DATE(1970,1,1))*86400</f>
        <v>1637107200</v>
      </c>
      <c r="AM991" s="66">
        <f>(C991-DATE(1970,1,1))*86400</f>
        <v>1637625600</v>
      </c>
      <c r="AN991" s="66">
        <f>AVERAGE(AL991:AM991)</f>
        <v>1637366400</v>
      </c>
    </row>
    <row r="992" spans="1:40" ht="15.75" customHeight="1" x14ac:dyDescent="0.2">
      <c r="A992" s="286" t="s">
        <v>133</v>
      </c>
      <c r="B992" s="41">
        <v>44515</v>
      </c>
      <c r="C992" s="41">
        <v>44524</v>
      </c>
      <c r="D992" s="40" t="s">
        <v>148</v>
      </c>
      <c r="E992" s="325" t="s">
        <v>125</v>
      </c>
      <c r="F992" s="40"/>
      <c r="G992" s="40" t="s">
        <v>149</v>
      </c>
      <c r="H992" s="325">
        <v>1000</v>
      </c>
      <c r="I992" s="42">
        <v>37</v>
      </c>
      <c r="J992" s="42">
        <v>6</v>
      </c>
      <c r="K992" s="42">
        <v>9</v>
      </c>
      <c r="L992" s="42">
        <v>2</v>
      </c>
      <c r="M992" s="42">
        <v>12</v>
      </c>
      <c r="N992" s="42"/>
      <c r="O992" s="42">
        <v>2</v>
      </c>
      <c r="P992" s="42">
        <v>5</v>
      </c>
      <c r="Q992" s="42"/>
      <c r="R992" s="43"/>
      <c r="S992" s="42"/>
      <c r="T992" s="42"/>
      <c r="U992" s="42"/>
      <c r="V992" s="42">
        <v>2</v>
      </c>
      <c r="W992" s="42"/>
      <c r="X992" s="42">
        <v>2</v>
      </c>
      <c r="Y992" s="42"/>
      <c r="Z992" s="42">
        <v>2</v>
      </c>
      <c r="AA992" s="42">
        <v>21</v>
      </c>
      <c r="AB992" s="44">
        <f>100/(SUM(I992:Z992))</f>
        <v>1.2658227848101267</v>
      </c>
      <c r="AC992" s="259">
        <f>SUM(I992:AA992)</f>
        <v>100</v>
      </c>
      <c r="AD992" s="42"/>
      <c r="AE992" s="42"/>
      <c r="AF992" s="42"/>
      <c r="AG992" s="45" t="s">
        <v>127</v>
      </c>
      <c r="AH992" s="42" t="s">
        <v>816</v>
      </c>
      <c r="AI992" s="46" t="s">
        <v>813</v>
      </c>
      <c r="AJ992" s="46"/>
      <c r="AK992" s="40"/>
      <c r="AL992" s="45">
        <f>(B992-DATE(1970,1,1))*86400</f>
        <v>1636934400</v>
      </c>
      <c r="AM992" s="45">
        <f>(C992-DATE(1970,1,1))*86400</f>
        <v>1637712000</v>
      </c>
      <c r="AN992" s="45">
        <f>AVERAGE(AL992:AM992)</f>
        <v>1637323200</v>
      </c>
    </row>
    <row r="993" spans="1:40" ht="15.75" customHeight="1" x14ac:dyDescent="0.2">
      <c r="A993" s="286" t="s">
        <v>133</v>
      </c>
      <c r="B993" s="41">
        <v>44515</v>
      </c>
      <c r="C993" s="41">
        <v>44524</v>
      </c>
      <c r="D993" s="40" t="s">
        <v>148</v>
      </c>
      <c r="E993" s="325" t="s">
        <v>125</v>
      </c>
      <c r="F993" s="40" t="s">
        <v>390</v>
      </c>
      <c r="G993" s="40" t="s">
        <v>149</v>
      </c>
      <c r="H993" s="325">
        <v>1000</v>
      </c>
      <c r="I993" s="42">
        <v>38.700000000000003</v>
      </c>
      <c r="J993" s="42"/>
      <c r="K993" s="42"/>
      <c r="L993" s="42"/>
      <c r="M993" s="42"/>
      <c r="N993" s="42"/>
      <c r="O993" s="42"/>
      <c r="P993" s="42"/>
      <c r="Q993" s="42"/>
      <c r="R993" s="43"/>
      <c r="S993" s="42"/>
      <c r="T993" s="42"/>
      <c r="U993" s="42">
        <v>40.6</v>
      </c>
      <c r="V993" s="42"/>
      <c r="W993" s="42"/>
      <c r="X993" s="42"/>
      <c r="Y993" s="42"/>
      <c r="Z993" s="42">
        <v>3.2</v>
      </c>
      <c r="AA993" s="42">
        <v>17.5</v>
      </c>
      <c r="AB993" s="44">
        <f>100/(SUM(I993:Z993))</f>
        <v>1.2121212121212119</v>
      </c>
      <c r="AC993" s="259">
        <f>SUM(I993:AA993)</f>
        <v>100.00000000000001</v>
      </c>
      <c r="AD993" s="42">
        <v>45</v>
      </c>
      <c r="AE993" s="43"/>
      <c r="AF993" s="43"/>
      <c r="AG993" s="45" t="s">
        <v>127</v>
      </c>
      <c r="AH993" s="42" t="s">
        <v>532</v>
      </c>
      <c r="AI993" s="46" t="s">
        <v>813</v>
      </c>
      <c r="AJ993" s="132" t="s">
        <v>814</v>
      </c>
      <c r="AK993" s="40" t="s">
        <v>815</v>
      </c>
      <c r="AL993" s="45">
        <f>(B993-DATE(1970,1,1))*86400</f>
        <v>1636934400</v>
      </c>
      <c r="AM993" s="45">
        <f>(C993-DATE(1970,1,1))*86400</f>
        <v>1637712000</v>
      </c>
      <c r="AN993" s="45">
        <f>AVERAGE(AL993:AM993)</f>
        <v>1637323200</v>
      </c>
    </row>
    <row r="994" spans="1:40" ht="15.75" customHeight="1" x14ac:dyDescent="0.2">
      <c r="A994" s="286" t="s">
        <v>123</v>
      </c>
      <c r="B994" s="41">
        <v>44515</v>
      </c>
      <c r="C994" s="41">
        <v>44524</v>
      </c>
      <c r="D994" s="40" t="s">
        <v>148</v>
      </c>
      <c r="E994" s="325" t="s">
        <v>125</v>
      </c>
      <c r="F994" s="40" t="s">
        <v>390</v>
      </c>
      <c r="G994" s="40" t="s">
        <v>149</v>
      </c>
      <c r="H994" s="325">
        <v>1000</v>
      </c>
      <c r="I994" s="42">
        <v>48</v>
      </c>
      <c r="J994" s="42"/>
      <c r="K994" s="42"/>
      <c r="L994" s="42"/>
      <c r="M994" s="42"/>
      <c r="N994" s="42"/>
      <c r="O994" s="42"/>
      <c r="P994" s="42"/>
      <c r="Q994" s="42"/>
      <c r="R994" s="43"/>
      <c r="S994" s="42"/>
      <c r="T994" s="42"/>
      <c r="U994" s="42">
        <v>49.3</v>
      </c>
      <c r="V994" s="42"/>
      <c r="W994" s="42"/>
      <c r="X994" s="42"/>
      <c r="Y994" s="42"/>
      <c r="Z994" s="42">
        <v>2.7</v>
      </c>
      <c r="AA994" s="42">
        <v>0</v>
      </c>
      <c r="AB994" s="44">
        <f>100/(SUM(I994:Z994))</f>
        <v>1</v>
      </c>
      <c r="AC994" s="259">
        <f>SUM(I994:AA994)</f>
        <v>100</v>
      </c>
      <c r="AD994" s="42"/>
      <c r="AE994" s="42"/>
      <c r="AF994" s="42"/>
      <c r="AG994" s="45" t="s">
        <v>127</v>
      </c>
      <c r="AH994" s="42" t="s">
        <v>532</v>
      </c>
      <c r="AI994" s="46" t="s">
        <v>813</v>
      </c>
      <c r="AJ994" s="132" t="s">
        <v>814</v>
      </c>
      <c r="AK994" s="40"/>
      <c r="AL994" s="45">
        <f>(B994-DATE(1970,1,1))*86400</f>
        <v>1636934400</v>
      </c>
      <c r="AM994" s="45">
        <f>(C994-DATE(1970,1,1))*86400</f>
        <v>1637712000</v>
      </c>
      <c r="AN994" s="45">
        <f>AVERAGE(AL994:AM994)</f>
        <v>1637323200</v>
      </c>
    </row>
    <row r="995" spans="1:40" ht="15.75" customHeight="1" x14ac:dyDescent="0.2">
      <c r="A995" s="286" t="s">
        <v>123</v>
      </c>
      <c r="B995" s="41">
        <v>44515</v>
      </c>
      <c r="C995" s="41">
        <v>44524</v>
      </c>
      <c r="D995" s="40" t="s">
        <v>148</v>
      </c>
      <c r="E995" s="325" t="s">
        <v>125</v>
      </c>
      <c r="F995" s="40"/>
      <c r="G995" s="40" t="s">
        <v>149</v>
      </c>
      <c r="H995" s="325">
        <v>1000</v>
      </c>
      <c r="I995" s="42">
        <v>47</v>
      </c>
      <c r="J995" s="42">
        <v>6.8</v>
      </c>
      <c r="K995" s="42">
        <v>10</v>
      </c>
      <c r="L995" s="42">
        <v>2</v>
      </c>
      <c r="M995" s="42">
        <v>19</v>
      </c>
      <c r="N995" s="42"/>
      <c r="O995" s="42">
        <v>3.2</v>
      </c>
      <c r="P995" s="42">
        <v>5</v>
      </c>
      <c r="Q995" s="42"/>
      <c r="R995" s="43"/>
      <c r="S995" s="42"/>
      <c r="T995" s="42"/>
      <c r="U995" s="42"/>
      <c r="V995" s="42">
        <v>2</v>
      </c>
      <c r="W995" s="42"/>
      <c r="X995" s="42">
        <v>3</v>
      </c>
      <c r="Y995" s="42"/>
      <c r="Z995" s="42">
        <v>2</v>
      </c>
      <c r="AA995" s="42">
        <v>0</v>
      </c>
      <c r="AB995" s="44">
        <f>100/(SUM(I995:Z995))</f>
        <v>1</v>
      </c>
      <c r="AC995" s="259">
        <f>SUM(I995:AA995)</f>
        <v>100</v>
      </c>
      <c r="AD995" s="42"/>
      <c r="AE995" s="42"/>
      <c r="AF995" s="42"/>
      <c r="AG995" s="45" t="s">
        <v>127</v>
      </c>
      <c r="AH995" s="42" t="s">
        <v>816</v>
      </c>
      <c r="AI995" s="46" t="s">
        <v>813</v>
      </c>
      <c r="AJ995" s="46"/>
      <c r="AK995" s="40"/>
      <c r="AL995" s="45">
        <f>(B995-DATE(1970,1,1))*86400</f>
        <v>1636934400</v>
      </c>
      <c r="AM995" s="45">
        <f>(C995-DATE(1970,1,1))*86400</f>
        <v>1637712000</v>
      </c>
      <c r="AN995" s="45">
        <f>AVERAGE(AL995:AM995)</f>
        <v>1637323200</v>
      </c>
    </row>
    <row r="996" spans="1:40" ht="15.75" customHeight="1" x14ac:dyDescent="0.2">
      <c r="A996" s="283" t="s">
        <v>123</v>
      </c>
      <c r="B996" s="28">
        <v>44509</v>
      </c>
      <c r="C996" s="28">
        <v>44511</v>
      </c>
      <c r="D996" s="27" t="s">
        <v>139</v>
      </c>
      <c r="E996" s="331" t="s">
        <v>184</v>
      </c>
      <c r="F996" s="27" t="s">
        <v>390</v>
      </c>
      <c r="G996" s="27" t="s">
        <v>126</v>
      </c>
      <c r="H996" s="374">
        <v>1000</v>
      </c>
      <c r="I996" s="29">
        <v>55</v>
      </c>
      <c r="J996" s="29"/>
      <c r="K996" s="29"/>
      <c r="L996" s="29"/>
      <c r="M996" s="29"/>
      <c r="N996" s="29"/>
      <c r="O996" s="29"/>
      <c r="P996" s="29"/>
      <c r="Q996" s="29"/>
      <c r="R996" s="29"/>
      <c r="S996" s="29"/>
      <c r="T996" s="29"/>
      <c r="U996" s="29">
        <v>44</v>
      </c>
      <c r="V996" s="29"/>
      <c r="W996" s="29"/>
      <c r="X996" s="29"/>
      <c r="Y996" s="29"/>
      <c r="Z996" s="29">
        <v>1</v>
      </c>
      <c r="AA996" s="29">
        <v>0</v>
      </c>
      <c r="AB996" s="30">
        <f>100/(SUM(I996:Z996))</f>
        <v>1</v>
      </c>
      <c r="AC996" s="259">
        <f>SUM(I996:AA996)</f>
        <v>100</v>
      </c>
      <c r="AD996" s="29"/>
      <c r="AE996" s="29">
        <v>3</v>
      </c>
      <c r="AF996" s="29">
        <v>11</v>
      </c>
      <c r="AG996" s="31" t="s">
        <v>127</v>
      </c>
      <c r="AH996" s="32" t="s">
        <v>817</v>
      </c>
      <c r="AI996" s="32" t="s">
        <v>818</v>
      </c>
      <c r="AJ996" s="32" t="s">
        <v>780</v>
      </c>
      <c r="AK996" s="27" t="s">
        <v>782</v>
      </c>
      <c r="AL996" s="31">
        <f>(B996-DATE(1970,1,1))*86400</f>
        <v>1636416000</v>
      </c>
      <c r="AM996" s="31">
        <f>(C996-DATE(1970,1,1))*86400</f>
        <v>1636588800</v>
      </c>
      <c r="AN996" s="31">
        <f>AVERAGE(AL996:AM996)</f>
        <v>1636502400</v>
      </c>
    </row>
    <row r="997" spans="1:40" ht="15.75" customHeight="1" x14ac:dyDescent="0.2">
      <c r="A997" s="279" t="s">
        <v>123</v>
      </c>
      <c r="B997" s="14">
        <v>44508</v>
      </c>
      <c r="C997" s="14">
        <v>44510</v>
      </c>
      <c r="D997" s="13" t="s">
        <v>124</v>
      </c>
      <c r="E997" s="324" t="s">
        <v>125</v>
      </c>
      <c r="F997" s="13" t="s">
        <v>390</v>
      </c>
      <c r="G997" s="13" t="s">
        <v>126</v>
      </c>
      <c r="H997" s="372">
        <v>1000</v>
      </c>
      <c r="I997" s="15">
        <v>56</v>
      </c>
      <c r="J997" s="15"/>
      <c r="K997" s="15"/>
      <c r="L997" s="15"/>
      <c r="M997" s="15"/>
      <c r="N997" s="15"/>
      <c r="O997" s="15"/>
      <c r="P997" s="15"/>
      <c r="Q997" s="15"/>
      <c r="R997" s="15"/>
      <c r="S997" s="15"/>
      <c r="T997" s="15"/>
      <c r="U997" s="15">
        <v>42</v>
      </c>
      <c r="V997" s="15"/>
      <c r="W997" s="15"/>
      <c r="X997" s="15"/>
      <c r="Y997" s="15"/>
      <c r="Z997" s="15">
        <v>2</v>
      </c>
      <c r="AA997" s="15">
        <v>0</v>
      </c>
      <c r="AB997" s="16">
        <f>100/(SUM(I997:Z997))</f>
        <v>1</v>
      </c>
      <c r="AC997" s="259">
        <f>SUM(I997:AA997)</f>
        <v>100</v>
      </c>
      <c r="AD997" s="15"/>
      <c r="AE997" s="15"/>
      <c r="AF997" s="15"/>
      <c r="AG997" s="17" t="s">
        <v>127</v>
      </c>
      <c r="AH997" s="18" t="s">
        <v>1791</v>
      </c>
      <c r="AI997" s="18"/>
      <c r="AJ997" s="18"/>
      <c r="AK997" s="13" t="s">
        <v>819</v>
      </c>
      <c r="AL997" s="17">
        <f>(B997-DATE(1970,1,1))*86400</f>
        <v>1636329600</v>
      </c>
      <c r="AM997" s="17">
        <f>(C997-DATE(1970,1,1))*86400</f>
        <v>1636502400</v>
      </c>
      <c r="AN997" s="17">
        <f>AVERAGE(AL997:AM997)</f>
        <v>1636416000</v>
      </c>
    </row>
    <row r="998" spans="1:40" ht="15.75" customHeight="1" x14ac:dyDescent="0.2">
      <c r="A998" s="302" t="s">
        <v>133</v>
      </c>
      <c r="B998" s="122">
        <v>44504</v>
      </c>
      <c r="C998" s="122">
        <v>44512</v>
      </c>
      <c r="D998" s="121" t="s">
        <v>718</v>
      </c>
      <c r="E998" s="322" t="s">
        <v>184</v>
      </c>
      <c r="F998" s="121"/>
      <c r="G998" s="121" t="s">
        <v>126</v>
      </c>
      <c r="H998" s="369">
        <v>1000</v>
      </c>
      <c r="I998" s="123">
        <v>45</v>
      </c>
      <c r="J998" s="123">
        <v>4</v>
      </c>
      <c r="K998" s="123">
        <v>4</v>
      </c>
      <c r="L998" s="123">
        <v>1</v>
      </c>
      <c r="M998" s="123">
        <v>13</v>
      </c>
      <c r="N998" s="123"/>
      <c r="O998" s="123">
        <v>0</v>
      </c>
      <c r="P998" s="123">
        <v>3</v>
      </c>
      <c r="Q998" s="123"/>
      <c r="R998" s="124"/>
      <c r="S998" s="123"/>
      <c r="T998" s="123"/>
      <c r="U998" s="123">
        <v>6</v>
      </c>
      <c r="V998" s="123">
        <v>4</v>
      </c>
      <c r="W998" s="123"/>
      <c r="X998" s="123">
        <v>1</v>
      </c>
      <c r="Y998" s="123"/>
      <c r="Z998" s="123">
        <v>1</v>
      </c>
      <c r="AA998" s="123">
        <v>18</v>
      </c>
      <c r="AB998" s="125">
        <f>100/(SUM(I998:Z998))</f>
        <v>1.2195121951219512</v>
      </c>
      <c r="AC998" s="259">
        <f>SUM(I998:AA998)</f>
        <v>100</v>
      </c>
      <c r="AD998" s="123">
        <v>61</v>
      </c>
      <c r="AE998" s="123"/>
      <c r="AF998" s="123"/>
      <c r="AG998" s="126" t="s">
        <v>719</v>
      </c>
      <c r="AH998" s="127" t="s">
        <v>820</v>
      </c>
      <c r="AI998" s="127"/>
      <c r="AJ998" s="127"/>
      <c r="AK998" s="121"/>
      <c r="AL998" s="126">
        <f>(B998-DATE(1970,1,1))*86400</f>
        <v>1635984000</v>
      </c>
      <c r="AM998" s="126">
        <f>(C998-DATE(1970,1,1))*86400</f>
        <v>1636675200</v>
      </c>
      <c r="AN998" s="126">
        <f>AVERAGE(AL998:AM998)</f>
        <v>1636329600</v>
      </c>
    </row>
    <row r="999" spans="1:40" ht="15.75" customHeight="1" x14ac:dyDescent="0.2">
      <c r="A999" s="302" t="s">
        <v>133</v>
      </c>
      <c r="B999" s="122">
        <v>44504</v>
      </c>
      <c r="C999" s="122">
        <v>44512</v>
      </c>
      <c r="D999" s="121" t="s">
        <v>718</v>
      </c>
      <c r="E999" s="322" t="s">
        <v>184</v>
      </c>
      <c r="F999" s="121" t="s">
        <v>2049</v>
      </c>
      <c r="G999" s="121" t="s">
        <v>126</v>
      </c>
      <c r="H999" s="369">
        <v>1000</v>
      </c>
      <c r="I999" s="123">
        <v>45</v>
      </c>
      <c r="J999" s="123"/>
      <c r="K999" s="123"/>
      <c r="L999" s="123"/>
      <c r="M999" s="123"/>
      <c r="N999" s="123"/>
      <c r="O999" s="123"/>
      <c r="P999" s="123"/>
      <c r="Q999" s="123"/>
      <c r="R999" s="124"/>
      <c r="S999" s="123"/>
      <c r="T999" s="123"/>
      <c r="U999" s="123">
        <v>40</v>
      </c>
      <c r="V999" s="124"/>
      <c r="W999" s="124"/>
      <c r="X999" s="124"/>
      <c r="Y999" s="124"/>
      <c r="Z999" s="124"/>
      <c r="AA999" s="123">
        <v>14</v>
      </c>
      <c r="AB999" s="125">
        <f>100/(SUM(I999:Z999))</f>
        <v>1.1764705882352942</v>
      </c>
      <c r="AC999" s="259">
        <f>SUM(I999:AA999)</f>
        <v>99</v>
      </c>
      <c r="AD999" s="123">
        <v>61</v>
      </c>
      <c r="AE999" s="123"/>
      <c r="AF999" s="123"/>
      <c r="AG999" s="126" t="s">
        <v>719</v>
      </c>
      <c r="AH999" s="127" t="s">
        <v>820</v>
      </c>
      <c r="AI999" s="127"/>
      <c r="AJ999" s="127"/>
      <c r="AK999" s="121" t="s">
        <v>721</v>
      </c>
      <c r="AL999" s="126">
        <f>(B999-DATE(1970,1,1))*86400</f>
        <v>1635984000</v>
      </c>
      <c r="AM999" s="126">
        <f>(C999-DATE(1970,1,1))*86400</f>
        <v>1636675200</v>
      </c>
      <c r="AN999" s="126">
        <f>AVERAGE(AL999:AM999)</f>
        <v>1636329600</v>
      </c>
    </row>
    <row r="1000" spans="1:40" ht="15.75" customHeight="1" x14ac:dyDescent="0.2">
      <c r="A1000" s="286" t="s">
        <v>133</v>
      </c>
      <c r="B1000" s="41">
        <v>44502</v>
      </c>
      <c r="C1000" s="41">
        <v>44512</v>
      </c>
      <c r="D1000" s="40" t="s">
        <v>148</v>
      </c>
      <c r="E1000" s="325" t="s">
        <v>125</v>
      </c>
      <c r="F1000" s="40" t="s">
        <v>390</v>
      </c>
      <c r="G1000" s="40" t="s">
        <v>126</v>
      </c>
      <c r="H1000" s="325">
        <v>2000</v>
      </c>
      <c r="I1000" s="42">
        <v>37</v>
      </c>
      <c r="J1000" s="42"/>
      <c r="K1000" s="42"/>
      <c r="L1000" s="42"/>
      <c r="M1000" s="42"/>
      <c r="N1000" s="42"/>
      <c r="O1000" s="42"/>
      <c r="P1000" s="42"/>
      <c r="Q1000" s="42"/>
      <c r="R1000" s="43"/>
      <c r="S1000" s="42"/>
      <c r="T1000" s="42"/>
      <c r="U1000" s="42">
        <v>41</v>
      </c>
      <c r="V1000" s="42">
        <v>3</v>
      </c>
      <c r="W1000" s="42"/>
      <c r="X1000" s="42">
        <v>3</v>
      </c>
      <c r="Y1000" s="42"/>
      <c r="Z1000" s="42">
        <v>2</v>
      </c>
      <c r="AA1000" s="42">
        <v>14</v>
      </c>
      <c r="AB1000" s="44">
        <f>100/(SUM(I1000:Z1000))</f>
        <v>1.1627906976744187</v>
      </c>
      <c r="AC1000" s="259">
        <f>SUM(I1000:AA1000)</f>
        <v>100</v>
      </c>
      <c r="AD1000" s="42">
        <v>72</v>
      </c>
      <c r="AE1000" s="43"/>
      <c r="AF1000" s="43"/>
      <c r="AG1000" s="45" t="s">
        <v>489</v>
      </c>
      <c r="AH1000" s="46" t="s">
        <v>821</v>
      </c>
      <c r="AI1000" s="46" t="s">
        <v>822</v>
      </c>
      <c r="AJ1000" s="40" t="s">
        <v>823</v>
      </c>
      <c r="AK1000" s="40"/>
      <c r="AL1000" s="45">
        <f>(B1000-DATE(1970,1,1))*86400</f>
        <v>1635811200</v>
      </c>
      <c r="AM1000" s="45">
        <f>(C1000-DATE(1970,1,1))*86400</f>
        <v>1636675200</v>
      </c>
      <c r="AN1000" s="45">
        <f>AVERAGE(AL1000:AM1000)</f>
        <v>1636243200</v>
      </c>
    </row>
    <row r="1001" spans="1:40" ht="15.75" customHeight="1" x14ac:dyDescent="0.2">
      <c r="A1001" s="286" t="s">
        <v>133</v>
      </c>
      <c r="B1001" s="41">
        <v>44502</v>
      </c>
      <c r="C1001" s="41">
        <v>44512</v>
      </c>
      <c r="D1001" s="40" t="s">
        <v>148</v>
      </c>
      <c r="E1001" s="325" t="s">
        <v>125</v>
      </c>
      <c r="F1001" s="40"/>
      <c r="G1001" s="40" t="s">
        <v>126</v>
      </c>
      <c r="H1001" s="325">
        <v>2000</v>
      </c>
      <c r="I1001" s="42">
        <v>37</v>
      </c>
      <c r="J1001" s="42">
        <v>4</v>
      </c>
      <c r="K1001" s="42">
        <v>6</v>
      </c>
      <c r="L1001" s="42">
        <v>3</v>
      </c>
      <c r="M1001" s="42">
        <v>18</v>
      </c>
      <c r="N1001" s="42"/>
      <c r="O1001" s="42">
        <v>2</v>
      </c>
      <c r="P1001" s="42">
        <v>5</v>
      </c>
      <c r="Q1001" s="42"/>
      <c r="R1001" s="43"/>
      <c r="S1001" s="42">
        <v>3</v>
      </c>
      <c r="T1001" s="42"/>
      <c r="U1001" s="42"/>
      <c r="V1001" s="42">
        <v>4</v>
      </c>
      <c r="W1001" s="42"/>
      <c r="X1001" s="42">
        <v>4</v>
      </c>
      <c r="Y1001" s="42"/>
      <c r="Z1001" s="42"/>
      <c r="AA1001" s="43">
        <v>14</v>
      </c>
      <c r="AB1001" s="44">
        <f>100/(SUM(I1001:Z1001))</f>
        <v>1.1627906976744187</v>
      </c>
      <c r="AC1001" s="259">
        <f>SUM(I1001:AA1001)</f>
        <v>100</v>
      </c>
      <c r="AD1001" s="42"/>
      <c r="AE1001" s="42"/>
      <c r="AF1001" s="42"/>
      <c r="AG1001" s="45" t="s">
        <v>489</v>
      </c>
      <c r="AH1001" s="42" t="s">
        <v>821</v>
      </c>
      <c r="AI1001" s="46" t="s">
        <v>822</v>
      </c>
      <c r="AJ1001" s="40" t="s">
        <v>823</v>
      </c>
      <c r="AK1001" s="40"/>
      <c r="AL1001" s="45">
        <f>(B1001-DATE(1970,1,1))*86400</f>
        <v>1635811200</v>
      </c>
      <c r="AM1001" s="45">
        <f>(C1001-DATE(1970,1,1))*86400</f>
        <v>1636675200</v>
      </c>
      <c r="AN1001" s="45">
        <f>AVERAGE(AL1001:AM1001)</f>
        <v>1636243200</v>
      </c>
    </row>
    <row r="1002" spans="1:40" ht="15.75" customHeight="1" x14ac:dyDescent="0.2">
      <c r="A1002" s="279" t="s">
        <v>123</v>
      </c>
      <c r="B1002" s="14">
        <v>44502</v>
      </c>
      <c r="C1002" s="14">
        <v>44503</v>
      </c>
      <c r="D1002" s="13" t="s">
        <v>124</v>
      </c>
      <c r="E1002" s="324" t="s">
        <v>125</v>
      </c>
      <c r="F1002" s="13" t="s">
        <v>390</v>
      </c>
      <c r="G1002" s="13" t="s">
        <v>126</v>
      </c>
      <c r="H1002" s="372">
        <v>1000</v>
      </c>
      <c r="I1002" s="15">
        <v>56</v>
      </c>
      <c r="J1002" s="15"/>
      <c r="K1002" s="15"/>
      <c r="L1002" s="15"/>
      <c r="M1002" s="15"/>
      <c r="N1002" s="15"/>
      <c r="O1002" s="15"/>
      <c r="P1002" s="15"/>
      <c r="Q1002" s="15"/>
      <c r="R1002" s="15"/>
      <c r="S1002" s="15"/>
      <c r="T1002" s="15"/>
      <c r="U1002" s="15">
        <v>42</v>
      </c>
      <c r="V1002" s="15"/>
      <c r="W1002" s="15"/>
      <c r="X1002" s="15"/>
      <c r="Y1002" s="15"/>
      <c r="Z1002" s="15">
        <v>1</v>
      </c>
      <c r="AA1002" s="15">
        <v>0</v>
      </c>
      <c r="AB1002" s="16">
        <f>100/(SUM(I1002:Z1002))</f>
        <v>1.0101010101010102</v>
      </c>
      <c r="AC1002" s="259">
        <f>SUM(I1002:AA1002)</f>
        <v>99</v>
      </c>
      <c r="AD1002" s="15"/>
      <c r="AE1002" s="15"/>
      <c r="AF1002" s="15"/>
      <c r="AG1002" s="17" t="s">
        <v>127</v>
      </c>
      <c r="AH1002" s="18" t="s">
        <v>1789</v>
      </c>
      <c r="AI1002" s="18" t="s">
        <v>825</v>
      </c>
      <c r="AJ1002" s="18" t="s">
        <v>789</v>
      </c>
      <c r="AK1002" s="13" t="s">
        <v>819</v>
      </c>
      <c r="AL1002" s="17">
        <f>(B1002-DATE(1970,1,1))*86400</f>
        <v>1635811200</v>
      </c>
      <c r="AM1002" s="17">
        <f>(C1002-DATE(1970,1,1))*86400</f>
        <v>1635897600</v>
      </c>
      <c r="AN1002" s="17">
        <f>AVERAGE(AL1002:AM1002)</f>
        <v>1635854400</v>
      </c>
    </row>
    <row r="1003" spans="1:40" ht="15.75" customHeight="1" x14ac:dyDescent="0.2">
      <c r="A1003" s="284" t="s">
        <v>133</v>
      </c>
      <c r="B1003" s="20">
        <v>44495</v>
      </c>
      <c r="C1003" s="20">
        <v>44505</v>
      </c>
      <c r="D1003" s="19" t="s">
        <v>134</v>
      </c>
      <c r="E1003" s="332" t="s">
        <v>125</v>
      </c>
      <c r="F1003" s="19"/>
      <c r="G1003" s="19" t="s">
        <v>135</v>
      </c>
      <c r="H1003" s="332">
        <v>2000</v>
      </c>
      <c r="I1003" s="21">
        <v>34</v>
      </c>
      <c r="J1003" s="21">
        <v>4</v>
      </c>
      <c r="K1003" s="21">
        <v>9</v>
      </c>
      <c r="L1003" s="21">
        <v>1</v>
      </c>
      <c r="M1003" s="21">
        <v>12</v>
      </c>
      <c r="N1003" s="21"/>
      <c r="O1003" s="21">
        <v>1</v>
      </c>
      <c r="P1003" s="21">
        <v>7</v>
      </c>
      <c r="Q1003" s="21"/>
      <c r="R1003" s="22"/>
      <c r="S1003" s="21"/>
      <c r="T1003" s="21"/>
      <c r="U1003" s="21"/>
      <c r="V1003" s="21">
        <v>3</v>
      </c>
      <c r="W1003" s="21"/>
      <c r="X1003" s="21">
        <v>3</v>
      </c>
      <c r="Y1003" s="21"/>
      <c r="Z1003" s="21">
        <v>0</v>
      </c>
      <c r="AA1003" s="21">
        <v>26</v>
      </c>
      <c r="AB1003" s="23">
        <f>100/(SUM(I1003:Z1003))</f>
        <v>1.3513513513513513</v>
      </c>
      <c r="AC1003" s="259">
        <f>SUM(I1003:AA1003)</f>
        <v>100</v>
      </c>
      <c r="AD1003" s="24"/>
      <c r="AE1003" s="24"/>
      <c r="AF1003" s="24"/>
      <c r="AG1003" s="25" t="s">
        <v>127</v>
      </c>
      <c r="AH1003" s="26" t="s">
        <v>826</v>
      </c>
      <c r="AI1003" s="83" t="s">
        <v>827</v>
      </c>
      <c r="AJ1003" s="83"/>
      <c r="AK1003" s="19"/>
      <c r="AL1003" s="25">
        <f>(B1003-DATE(1970,1,1))*86400</f>
        <v>1635206400</v>
      </c>
      <c r="AM1003" s="25">
        <f>(C1003-DATE(1970,1,1))*86400</f>
        <v>1636070400</v>
      </c>
      <c r="AN1003" s="25">
        <f>AVERAGE(AL1003:AM1003)</f>
        <v>1635638400</v>
      </c>
    </row>
    <row r="1004" spans="1:40" ht="15.75" customHeight="1" x14ac:dyDescent="0.2">
      <c r="A1004" s="284" t="s">
        <v>133</v>
      </c>
      <c r="B1004" s="20">
        <v>44495</v>
      </c>
      <c r="C1004" s="20">
        <v>44505</v>
      </c>
      <c r="D1004" s="19" t="s">
        <v>134</v>
      </c>
      <c r="E1004" s="332" t="s">
        <v>125</v>
      </c>
      <c r="F1004" s="19" t="s">
        <v>390</v>
      </c>
      <c r="G1004" s="19" t="s">
        <v>135</v>
      </c>
      <c r="H1004" s="332">
        <v>2000</v>
      </c>
      <c r="I1004" s="21">
        <v>38</v>
      </c>
      <c r="J1004" s="21"/>
      <c r="K1004" s="21"/>
      <c r="L1004" s="21"/>
      <c r="M1004" s="21"/>
      <c r="N1004" s="21"/>
      <c r="O1004" s="21"/>
      <c r="P1004" s="21"/>
      <c r="Q1004" s="21"/>
      <c r="R1004" s="22"/>
      <c r="S1004" s="21"/>
      <c r="T1004" s="21"/>
      <c r="U1004" s="21">
        <v>39</v>
      </c>
      <c r="V1004" s="21">
        <v>2</v>
      </c>
      <c r="W1004" s="21"/>
      <c r="X1004" s="21">
        <v>4</v>
      </c>
      <c r="Y1004" s="21"/>
      <c r="Z1004" s="21">
        <v>1</v>
      </c>
      <c r="AA1004" s="21">
        <v>16</v>
      </c>
      <c r="AB1004" s="23">
        <f>100/(SUM(I1004:Z1004))</f>
        <v>1.1904761904761905</v>
      </c>
      <c r="AC1004" s="259">
        <f>SUM(I1004:AA1004)</f>
        <v>100</v>
      </c>
      <c r="AD1004" s="24"/>
      <c r="AE1004" s="24"/>
      <c r="AF1004" s="24"/>
      <c r="AG1004" s="25" t="s">
        <v>127</v>
      </c>
      <c r="AH1004" s="26" t="s">
        <v>826</v>
      </c>
      <c r="AI1004" s="83" t="s">
        <v>827</v>
      </c>
      <c r="AJ1004" s="83"/>
      <c r="AK1004" s="19"/>
      <c r="AL1004" s="25">
        <f>(B1004-DATE(1970,1,1))*86400</f>
        <v>1635206400</v>
      </c>
      <c r="AM1004" s="25">
        <f>(C1004-DATE(1970,1,1))*86400</f>
        <v>1636070400</v>
      </c>
      <c r="AN1004" s="25">
        <f>AVERAGE(AL1004:AM1004)</f>
        <v>1635638400</v>
      </c>
    </row>
    <row r="1005" spans="1:40" ht="15.75" customHeight="1" x14ac:dyDescent="0.2">
      <c r="A1005" s="284" t="s">
        <v>123</v>
      </c>
      <c r="B1005" s="20">
        <v>44495</v>
      </c>
      <c r="C1005" s="20">
        <v>44505</v>
      </c>
      <c r="D1005" s="19" t="s">
        <v>134</v>
      </c>
      <c r="E1005" s="332" t="s">
        <v>125</v>
      </c>
      <c r="F1005" s="19" t="s">
        <v>390</v>
      </c>
      <c r="G1005" s="19" t="s">
        <v>135</v>
      </c>
      <c r="H1005" s="332">
        <v>2000</v>
      </c>
      <c r="I1005" s="21">
        <v>48</v>
      </c>
      <c r="J1005" s="21"/>
      <c r="K1005" s="21"/>
      <c r="L1005" s="21"/>
      <c r="M1005" s="21"/>
      <c r="N1005" s="21"/>
      <c r="O1005" s="21"/>
      <c r="P1005" s="21"/>
      <c r="Q1005" s="21"/>
      <c r="R1005" s="22"/>
      <c r="S1005" s="21"/>
      <c r="T1005" s="21"/>
      <c r="U1005" s="21">
        <v>45</v>
      </c>
      <c r="V1005" s="21">
        <v>3</v>
      </c>
      <c r="W1005" s="21"/>
      <c r="X1005" s="21">
        <v>3</v>
      </c>
      <c r="Y1005" s="21"/>
      <c r="Z1005" s="21">
        <v>1</v>
      </c>
      <c r="AA1005" s="21">
        <v>0</v>
      </c>
      <c r="AB1005" s="23">
        <f>100/(SUM(I1005:Z1005))</f>
        <v>1</v>
      </c>
      <c r="AC1005" s="259">
        <f>SUM(I1005:AA1005)</f>
        <v>100</v>
      </c>
      <c r="AD1005" s="24"/>
      <c r="AE1005" s="24"/>
      <c r="AF1005" s="24"/>
      <c r="AG1005" s="25" t="s">
        <v>127</v>
      </c>
      <c r="AH1005" s="26" t="s">
        <v>826</v>
      </c>
      <c r="AI1005" s="83" t="s">
        <v>827</v>
      </c>
      <c r="AJ1005" s="83"/>
      <c r="AK1005" s="19"/>
      <c r="AL1005" s="25">
        <f>(B1005-DATE(1970,1,1))*86400</f>
        <v>1635206400</v>
      </c>
      <c r="AM1005" s="25">
        <f>(C1005-DATE(1970,1,1))*86400</f>
        <v>1636070400</v>
      </c>
      <c r="AN1005" s="25">
        <f>AVERAGE(AL1005:AM1005)</f>
        <v>1635638400</v>
      </c>
    </row>
    <row r="1006" spans="1:40" ht="15.75" customHeight="1" x14ac:dyDescent="0.2">
      <c r="A1006" s="284" t="s">
        <v>123</v>
      </c>
      <c r="B1006" s="20">
        <v>44495</v>
      </c>
      <c r="C1006" s="20">
        <v>44505</v>
      </c>
      <c r="D1006" s="19" t="s">
        <v>134</v>
      </c>
      <c r="E1006" s="332" t="s">
        <v>125</v>
      </c>
      <c r="F1006" s="19"/>
      <c r="G1006" s="19" t="s">
        <v>135</v>
      </c>
      <c r="H1006" s="332">
        <v>2000</v>
      </c>
      <c r="I1006" s="21">
        <v>48</v>
      </c>
      <c r="J1006" s="21">
        <v>4</v>
      </c>
      <c r="K1006" s="21">
        <v>12</v>
      </c>
      <c r="L1006" s="21">
        <v>1</v>
      </c>
      <c r="M1006" s="21">
        <v>17</v>
      </c>
      <c r="N1006" s="21"/>
      <c r="O1006" s="21">
        <v>2</v>
      </c>
      <c r="P1006" s="21">
        <v>9</v>
      </c>
      <c r="Q1006" s="21"/>
      <c r="R1006" s="22"/>
      <c r="S1006" s="21"/>
      <c r="T1006" s="21"/>
      <c r="U1006" s="21"/>
      <c r="V1006" s="21">
        <v>3</v>
      </c>
      <c r="W1006" s="21"/>
      <c r="X1006" s="21">
        <v>3</v>
      </c>
      <c r="Y1006" s="21"/>
      <c r="Z1006" s="21">
        <v>1</v>
      </c>
      <c r="AA1006" s="21">
        <v>0</v>
      </c>
      <c r="AB1006" s="23">
        <f>100/(SUM(I1006:Z1006))</f>
        <v>1</v>
      </c>
      <c r="AC1006" s="259">
        <f>SUM(I1006:AA1006)</f>
        <v>100</v>
      </c>
      <c r="AD1006" s="24"/>
      <c r="AE1006" s="24"/>
      <c r="AF1006" s="24"/>
      <c r="AG1006" s="25" t="s">
        <v>127</v>
      </c>
      <c r="AH1006" s="26" t="s">
        <v>826</v>
      </c>
      <c r="AI1006" s="83" t="s">
        <v>827</v>
      </c>
      <c r="AJ1006" s="83"/>
      <c r="AK1006" s="19"/>
      <c r="AL1006" s="25">
        <f>(B1006-DATE(1970,1,1))*86400</f>
        <v>1635206400</v>
      </c>
      <c r="AM1006" s="25">
        <f>(C1006-DATE(1970,1,1))*86400</f>
        <v>1636070400</v>
      </c>
      <c r="AN1006" s="25">
        <f>AVERAGE(AL1006:AM1006)</f>
        <v>1635638400</v>
      </c>
    </row>
    <row r="1007" spans="1:40" ht="15.75" customHeight="1" x14ac:dyDescent="0.2">
      <c r="A1007" s="288" t="s">
        <v>133</v>
      </c>
      <c r="B1007" s="60">
        <v>44494</v>
      </c>
      <c r="C1007" s="60">
        <v>44498</v>
      </c>
      <c r="D1007" s="61" t="s">
        <v>168</v>
      </c>
      <c r="E1007" s="334" t="s">
        <v>125</v>
      </c>
      <c r="F1007" s="61"/>
      <c r="G1007" s="61" t="s">
        <v>126</v>
      </c>
      <c r="H1007" s="334">
        <v>1000</v>
      </c>
      <c r="I1007" s="63">
        <v>32</v>
      </c>
      <c r="J1007" s="63">
        <v>5</v>
      </c>
      <c r="K1007" s="63">
        <v>9</v>
      </c>
      <c r="L1007" s="63">
        <v>2</v>
      </c>
      <c r="M1007" s="63">
        <v>12</v>
      </c>
      <c r="N1007" s="63"/>
      <c r="O1007" s="63">
        <v>3</v>
      </c>
      <c r="P1007" s="63">
        <v>7</v>
      </c>
      <c r="Q1007" s="63"/>
      <c r="R1007" s="64"/>
      <c r="S1007" s="63"/>
      <c r="T1007" s="63"/>
      <c r="U1007" s="63"/>
      <c r="V1007" s="63">
        <v>2</v>
      </c>
      <c r="W1007" s="63"/>
      <c r="X1007" s="63">
        <v>2</v>
      </c>
      <c r="Y1007" s="63"/>
      <c r="Z1007" s="63">
        <v>2</v>
      </c>
      <c r="AA1007" s="63">
        <v>24</v>
      </c>
      <c r="AB1007" s="65">
        <f>100/(SUM(I1007:Z1007))</f>
        <v>1.3157894736842106</v>
      </c>
      <c r="AC1007" s="259">
        <f>SUM(I1007:AA1007)</f>
        <v>100</v>
      </c>
      <c r="AD1007" s="63"/>
      <c r="AE1007" s="64">
        <v>1</v>
      </c>
      <c r="AF1007" s="64">
        <v>18</v>
      </c>
      <c r="AG1007" s="66" t="s">
        <v>127</v>
      </c>
      <c r="AH1007" s="67" t="s">
        <v>828</v>
      </c>
      <c r="AI1007" s="67" t="s">
        <v>829</v>
      </c>
      <c r="AJ1007" s="67"/>
      <c r="AK1007" s="61" t="s">
        <v>812</v>
      </c>
      <c r="AL1007" s="66">
        <f>(B1007-DATE(1970,1,1))*86400</f>
        <v>1635120000</v>
      </c>
      <c r="AM1007" s="66">
        <f>(C1007-DATE(1970,1,1))*86400</f>
        <v>1635465600</v>
      </c>
      <c r="AN1007" s="66">
        <f>AVERAGE(AL1007:AM1007)</f>
        <v>1635292800</v>
      </c>
    </row>
    <row r="1008" spans="1:40" ht="15.75" customHeight="1" x14ac:dyDescent="0.2">
      <c r="A1008" s="288" t="s">
        <v>133</v>
      </c>
      <c r="B1008" s="60">
        <v>44494</v>
      </c>
      <c r="C1008" s="60">
        <v>44498</v>
      </c>
      <c r="D1008" s="61" t="s">
        <v>168</v>
      </c>
      <c r="E1008" s="334" t="s">
        <v>125</v>
      </c>
      <c r="F1008" s="61"/>
      <c r="G1008" s="61" t="s">
        <v>126</v>
      </c>
      <c r="H1008" s="334">
        <v>1000</v>
      </c>
      <c r="I1008" s="63">
        <v>42</v>
      </c>
      <c r="J1008" s="63">
        <v>7</v>
      </c>
      <c r="K1008" s="63">
        <v>11</v>
      </c>
      <c r="L1008" s="63">
        <v>3</v>
      </c>
      <c r="M1008" s="63">
        <v>16</v>
      </c>
      <c r="N1008" s="63"/>
      <c r="O1008" s="63">
        <v>4</v>
      </c>
      <c r="P1008" s="63">
        <v>10</v>
      </c>
      <c r="Q1008" s="63"/>
      <c r="R1008" s="64"/>
      <c r="S1008" s="63"/>
      <c r="T1008" s="63"/>
      <c r="U1008" s="63"/>
      <c r="V1008" s="63">
        <v>3</v>
      </c>
      <c r="W1008" s="63"/>
      <c r="X1008" s="63">
        <v>2</v>
      </c>
      <c r="Y1008" s="63"/>
      <c r="Z1008" s="63">
        <v>2</v>
      </c>
      <c r="AA1008" s="63">
        <v>0</v>
      </c>
      <c r="AB1008" s="65">
        <f>100/(SUM(I1008:Z1008))</f>
        <v>1</v>
      </c>
      <c r="AC1008" s="259">
        <f>SUM(I1008:AA1008)</f>
        <v>100</v>
      </c>
      <c r="AD1008" s="63"/>
      <c r="AE1008" s="63"/>
      <c r="AF1008" s="63"/>
      <c r="AG1008" s="66" t="s">
        <v>127</v>
      </c>
      <c r="AH1008" s="67" t="s">
        <v>828</v>
      </c>
      <c r="AI1008" s="67" t="s">
        <v>829</v>
      </c>
      <c r="AJ1008" s="67"/>
      <c r="AK1008" s="61"/>
      <c r="AL1008" s="66">
        <f>(B1008-DATE(1970,1,1))*86400</f>
        <v>1635120000</v>
      </c>
      <c r="AM1008" s="66">
        <f>(C1008-DATE(1970,1,1))*86400</f>
        <v>1635465600</v>
      </c>
      <c r="AN1008" s="66">
        <f>AVERAGE(AL1008:AM1008)</f>
        <v>1635292800</v>
      </c>
    </row>
    <row r="1009" spans="1:40" ht="15.75" customHeight="1" x14ac:dyDescent="0.2">
      <c r="A1009" s="279" t="s">
        <v>123</v>
      </c>
      <c r="B1009" s="14">
        <v>44494</v>
      </c>
      <c r="C1009" s="14">
        <v>44496</v>
      </c>
      <c r="D1009" s="13" t="s">
        <v>124</v>
      </c>
      <c r="E1009" s="324" t="s">
        <v>125</v>
      </c>
      <c r="F1009" s="13" t="s">
        <v>390</v>
      </c>
      <c r="G1009" s="13" t="s">
        <v>126</v>
      </c>
      <c r="H1009" s="372">
        <v>1000</v>
      </c>
      <c r="I1009" s="15">
        <v>56</v>
      </c>
      <c r="J1009" s="15"/>
      <c r="K1009" s="15"/>
      <c r="L1009" s="15"/>
      <c r="M1009" s="15"/>
      <c r="N1009" s="15"/>
      <c r="O1009" s="15"/>
      <c r="P1009" s="15"/>
      <c r="Q1009" s="15"/>
      <c r="R1009" s="15"/>
      <c r="S1009" s="15"/>
      <c r="T1009" s="15"/>
      <c r="U1009" s="15">
        <v>42</v>
      </c>
      <c r="V1009" s="15"/>
      <c r="W1009" s="15"/>
      <c r="X1009" s="15"/>
      <c r="Y1009" s="15"/>
      <c r="Z1009" s="15">
        <v>2</v>
      </c>
      <c r="AA1009" s="15">
        <v>0</v>
      </c>
      <c r="AB1009" s="16">
        <f>100/(SUM(I1009:Z1009))</f>
        <v>1</v>
      </c>
      <c r="AC1009" s="259">
        <f>SUM(I1009:AA1009)</f>
        <v>100</v>
      </c>
      <c r="AD1009" s="15"/>
      <c r="AE1009" s="15"/>
      <c r="AF1009" s="15"/>
      <c r="AG1009" s="17" t="s">
        <v>127</v>
      </c>
      <c r="AH1009" s="18" t="s">
        <v>1789</v>
      </c>
      <c r="AI1009" s="18" t="s">
        <v>825</v>
      </c>
      <c r="AJ1009" s="18"/>
      <c r="AK1009" s="13" t="s">
        <v>819</v>
      </c>
      <c r="AL1009" s="17">
        <f>(B1009-DATE(1970,1,1))*86400</f>
        <v>1635120000</v>
      </c>
      <c r="AM1009" s="17">
        <f>(C1009-DATE(1970,1,1))*86400</f>
        <v>1635292800</v>
      </c>
      <c r="AN1009" s="17">
        <f>AVERAGE(AL1009:AM1009)</f>
        <v>1635206400</v>
      </c>
    </row>
    <row r="1010" spans="1:40" ht="15.75" customHeight="1" x14ac:dyDescent="0.2">
      <c r="A1010" s="298" t="s">
        <v>133</v>
      </c>
      <c r="B1010" s="85">
        <v>44483</v>
      </c>
      <c r="C1010" s="85">
        <v>44497</v>
      </c>
      <c r="D1010" s="84" t="s">
        <v>830</v>
      </c>
      <c r="E1010" s="341" t="s">
        <v>184</v>
      </c>
      <c r="F1010" s="84"/>
      <c r="G1010" s="84" t="s">
        <v>149</v>
      </c>
      <c r="H1010" s="341">
        <v>1000</v>
      </c>
      <c r="I1010" s="86">
        <v>36</v>
      </c>
      <c r="J1010" s="86">
        <v>6</v>
      </c>
      <c r="K1010" s="86">
        <v>7</v>
      </c>
      <c r="L1010" s="86">
        <v>1</v>
      </c>
      <c r="M1010" s="86">
        <v>11</v>
      </c>
      <c r="N1010" s="86"/>
      <c r="O1010" s="86">
        <v>1</v>
      </c>
      <c r="P1010" s="86">
        <v>3</v>
      </c>
      <c r="Q1010" s="86"/>
      <c r="R1010" s="128"/>
      <c r="S1010" s="86"/>
      <c r="T1010" s="86"/>
      <c r="U1010" s="86">
        <v>1</v>
      </c>
      <c r="V1010" s="86">
        <v>1</v>
      </c>
      <c r="W1010" s="86"/>
      <c r="X1010" s="86">
        <v>2</v>
      </c>
      <c r="Y1010" s="86"/>
      <c r="Z1010" s="86"/>
      <c r="AA1010" s="86">
        <v>31</v>
      </c>
      <c r="AB1010" s="87">
        <f>100/(SUM(I1010:Z1010))</f>
        <v>1.4492753623188406</v>
      </c>
      <c r="AC1010" s="259">
        <f>SUM(I1010:AA1010)</f>
        <v>100</v>
      </c>
      <c r="AD1010" s="86"/>
      <c r="AE1010" s="86"/>
      <c r="AF1010" s="86"/>
      <c r="AG1010" s="88" t="s">
        <v>831</v>
      </c>
      <c r="AH1010" s="88" t="s">
        <v>832</v>
      </c>
      <c r="AI1010" s="89" t="s">
        <v>833</v>
      </c>
      <c r="AJ1010" s="89"/>
      <c r="AK1010" s="84" t="s">
        <v>836</v>
      </c>
      <c r="AL1010" s="88">
        <f>(B1010-DATE(1970,1,1))*86400</f>
        <v>1634169600</v>
      </c>
      <c r="AM1010" s="88">
        <f>(C1010-DATE(1970,1,1))*86400</f>
        <v>1635379200</v>
      </c>
      <c r="AN1010" s="88">
        <f>AVERAGE(AL1010:AM1010)</f>
        <v>1634774400</v>
      </c>
    </row>
    <row r="1011" spans="1:40" ht="15.75" customHeight="1" x14ac:dyDescent="0.2">
      <c r="A1011" s="298" t="s">
        <v>133</v>
      </c>
      <c r="B1011" s="85">
        <v>44483</v>
      </c>
      <c r="C1011" s="85">
        <v>44497</v>
      </c>
      <c r="D1011" s="84" t="s">
        <v>830</v>
      </c>
      <c r="E1011" s="341" t="s">
        <v>184</v>
      </c>
      <c r="F1011" s="84" t="s">
        <v>390</v>
      </c>
      <c r="G1011" s="84" t="s">
        <v>149</v>
      </c>
      <c r="H1011" s="341">
        <v>1000</v>
      </c>
      <c r="I1011" s="86">
        <v>36</v>
      </c>
      <c r="J1011" s="86"/>
      <c r="K1011" s="86"/>
      <c r="L1011" s="86"/>
      <c r="M1011" s="86"/>
      <c r="N1011" s="86"/>
      <c r="O1011" s="86"/>
      <c r="P1011" s="86"/>
      <c r="Q1011" s="86"/>
      <c r="R1011" s="128"/>
      <c r="S1011" s="86"/>
      <c r="T1011" s="86"/>
      <c r="U1011" s="86">
        <v>34</v>
      </c>
      <c r="V1011" s="86"/>
      <c r="W1011" s="86"/>
      <c r="X1011" s="86"/>
      <c r="Y1011" s="86"/>
      <c r="Z1011" s="86">
        <v>1</v>
      </c>
      <c r="AA1011" s="86">
        <v>29</v>
      </c>
      <c r="AB1011" s="87">
        <f>100/(SUM(I1011:Z1011))</f>
        <v>1.408450704225352</v>
      </c>
      <c r="AC1011" s="259">
        <f>SUM(I1011:AA1011)</f>
        <v>100</v>
      </c>
      <c r="AD1011" s="86"/>
      <c r="AE1011" s="86"/>
      <c r="AF1011" s="86"/>
      <c r="AG1011" s="88" t="s">
        <v>831</v>
      </c>
      <c r="AH1011" s="88" t="s">
        <v>832</v>
      </c>
      <c r="AI1011" s="89" t="s">
        <v>833</v>
      </c>
      <c r="AJ1011" s="89"/>
      <c r="AK1011" s="84" t="s">
        <v>834</v>
      </c>
      <c r="AL1011" s="88">
        <f>(B1011-DATE(1970,1,1))*86400</f>
        <v>1634169600</v>
      </c>
      <c r="AM1011" s="88">
        <f>(C1011-DATE(1970,1,1))*86400</f>
        <v>1635379200</v>
      </c>
      <c r="AN1011" s="88">
        <f>AVERAGE(AL1011:AM1011)</f>
        <v>1634774400</v>
      </c>
    </row>
    <row r="1012" spans="1:40" ht="15.75" customHeight="1" x14ac:dyDescent="0.2">
      <c r="A1012" s="298" t="s">
        <v>133</v>
      </c>
      <c r="B1012" s="85">
        <v>44483</v>
      </c>
      <c r="C1012" s="85">
        <v>44497</v>
      </c>
      <c r="D1012" s="84" t="s">
        <v>830</v>
      </c>
      <c r="E1012" s="341" t="s">
        <v>184</v>
      </c>
      <c r="F1012" s="84" t="s">
        <v>390</v>
      </c>
      <c r="G1012" s="84" t="s">
        <v>149</v>
      </c>
      <c r="H1012" s="341">
        <v>1000</v>
      </c>
      <c r="I1012" s="86">
        <v>51</v>
      </c>
      <c r="J1012" s="86"/>
      <c r="K1012" s="86"/>
      <c r="L1012" s="86"/>
      <c r="M1012" s="86"/>
      <c r="N1012" s="86"/>
      <c r="O1012" s="86"/>
      <c r="P1012" s="86"/>
      <c r="Q1012" s="86"/>
      <c r="R1012" s="128"/>
      <c r="S1012" s="86"/>
      <c r="T1012" s="86"/>
      <c r="U1012" s="86">
        <v>48</v>
      </c>
      <c r="V1012" s="86"/>
      <c r="W1012" s="86"/>
      <c r="X1012" s="86"/>
      <c r="Y1012" s="86"/>
      <c r="Z1012" s="86">
        <v>1</v>
      </c>
      <c r="AA1012" s="86">
        <v>0</v>
      </c>
      <c r="AB1012" s="87">
        <f>100/(SUM(I1012:Z1012))</f>
        <v>1</v>
      </c>
      <c r="AC1012" s="259">
        <f>SUM(I1012:AA1012)</f>
        <v>100</v>
      </c>
      <c r="AD1012" s="86"/>
      <c r="AE1012" s="86"/>
      <c r="AF1012" s="86"/>
      <c r="AG1012" s="88" t="s">
        <v>831</v>
      </c>
      <c r="AH1012" s="88" t="s">
        <v>832</v>
      </c>
      <c r="AI1012" s="89" t="s">
        <v>833</v>
      </c>
      <c r="AJ1012" s="89"/>
      <c r="AK1012" s="84" t="s">
        <v>834</v>
      </c>
      <c r="AL1012" s="88">
        <f>(B1012-DATE(1970,1,1))*86400</f>
        <v>1634169600</v>
      </c>
      <c r="AM1012" s="88">
        <f>(C1012-DATE(1970,1,1))*86400</f>
        <v>1635379200</v>
      </c>
      <c r="AN1012" s="88">
        <f>AVERAGE(AL1012:AM1012)</f>
        <v>1634774400</v>
      </c>
    </row>
    <row r="1013" spans="1:40" ht="15.75" customHeight="1" x14ac:dyDescent="0.2">
      <c r="A1013" s="298" t="s">
        <v>133</v>
      </c>
      <c r="B1013" s="85">
        <v>44483</v>
      </c>
      <c r="C1013" s="85">
        <v>44497</v>
      </c>
      <c r="D1013" s="84" t="s">
        <v>830</v>
      </c>
      <c r="E1013" s="341" t="s">
        <v>184</v>
      </c>
      <c r="F1013" s="84"/>
      <c r="G1013" s="84" t="s">
        <v>149</v>
      </c>
      <c r="H1013" s="341">
        <v>1000</v>
      </c>
      <c r="I1013" s="86">
        <v>52</v>
      </c>
      <c r="J1013" s="86">
        <v>9</v>
      </c>
      <c r="K1013" s="86">
        <v>11</v>
      </c>
      <c r="L1013" s="86">
        <v>2</v>
      </c>
      <c r="M1013" s="86">
        <v>16</v>
      </c>
      <c r="N1013" s="86"/>
      <c r="O1013" s="86">
        <v>1</v>
      </c>
      <c r="P1013" s="86">
        <v>4</v>
      </c>
      <c r="Q1013" s="86"/>
      <c r="R1013" s="128"/>
      <c r="S1013" s="86"/>
      <c r="T1013" s="86"/>
      <c r="U1013" s="86">
        <v>1</v>
      </c>
      <c r="V1013" s="86">
        <v>1</v>
      </c>
      <c r="W1013" s="86"/>
      <c r="X1013" s="86">
        <v>3</v>
      </c>
      <c r="Y1013" s="86"/>
      <c r="Z1013" s="86"/>
      <c r="AA1013" s="86">
        <v>0</v>
      </c>
      <c r="AB1013" s="87">
        <f>100/(SUM(I1013:Z1013))</f>
        <v>1</v>
      </c>
      <c r="AC1013" s="259">
        <f>SUM(I1013:AA1013)</f>
        <v>100</v>
      </c>
      <c r="AD1013" s="86"/>
      <c r="AE1013" s="86"/>
      <c r="AF1013" s="86"/>
      <c r="AG1013" s="88" t="s">
        <v>831</v>
      </c>
      <c r="AH1013" s="88" t="s">
        <v>832</v>
      </c>
      <c r="AI1013" s="89" t="s">
        <v>833</v>
      </c>
      <c r="AJ1013" s="89"/>
      <c r="AK1013" s="84" t="s">
        <v>835</v>
      </c>
      <c r="AL1013" s="88">
        <f>(B1013-DATE(1970,1,1))*86400</f>
        <v>1634169600</v>
      </c>
      <c r="AM1013" s="88">
        <f>(C1013-DATE(1970,1,1))*86400</f>
        <v>1635379200</v>
      </c>
      <c r="AN1013" s="88">
        <f>AVERAGE(AL1013:AM1013)</f>
        <v>1634774400</v>
      </c>
    </row>
    <row r="1014" spans="1:40" ht="15.75" customHeight="1" x14ac:dyDescent="0.2">
      <c r="A1014" s="283" t="s">
        <v>133</v>
      </c>
      <c r="B1014" s="28">
        <v>44488</v>
      </c>
      <c r="C1014" s="28">
        <v>44490</v>
      </c>
      <c r="D1014" s="27" t="s">
        <v>139</v>
      </c>
      <c r="E1014" s="331" t="s">
        <v>184</v>
      </c>
      <c r="F1014" s="27" t="s">
        <v>390</v>
      </c>
      <c r="G1014" s="27" t="s">
        <v>126</v>
      </c>
      <c r="H1014" s="374">
        <v>1000</v>
      </c>
      <c r="I1014" s="29">
        <v>46</v>
      </c>
      <c r="J1014" s="29"/>
      <c r="K1014" s="29"/>
      <c r="L1014" s="29"/>
      <c r="M1014" s="29"/>
      <c r="N1014" s="29"/>
      <c r="O1014" s="29"/>
      <c r="P1014" s="29"/>
      <c r="Q1014" s="29"/>
      <c r="R1014" s="29"/>
      <c r="S1014" s="29"/>
      <c r="T1014" s="29"/>
      <c r="U1014" s="29">
        <v>42</v>
      </c>
      <c r="V1014" s="29"/>
      <c r="W1014" s="29"/>
      <c r="X1014" s="29"/>
      <c r="Y1014" s="29"/>
      <c r="Z1014" s="29">
        <v>2</v>
      </c>
      <c r="AA1014" s="29">
        <v>10</v>
      </c>
      <c r="AB1014" s="30">
        <f>100/(SUM(I1014:Z1014))</f>
        <v>1.1111111111111112</v>
      </c>
      <c r="AC1014" s="259">
        <f>SUM(I1014:AA1014)</f>
        <v>100</v>
      </c>
      <c r="AD1014" s="29"/>
      <c r="AE1014" s="29">
        <v>3</v>
      </c>
      <c r="AF1014" s="29">
        <v>15</v>
      </c>
      <c r="AG1014" s="31" t="s">
        <v>127</v>
      </c>
      <c r="AH1014" s="32" t="s">
        <v>837</v>
      </c>
      <c r="AI1014" s="32" t="s">
        <v>838</v>
      </c>
      <c r="AJ1014" s="32" t="s">
        <v>780</v>
      </c>
      <c r="AK1014" s="27" t="s">
        <v>782</v>
      </c>
      <c r="AL1014" s="31">
        <f>(B1014-DATE(1970,1,1))*86400</f>
        <v>1634601600</v>
      </c>
      <c r="AM1014" s="31">
        <f>(C1014-DATE(1970,1,1))*86400</f>
        <v>1634774400</v>
      </c>
      <c r="AN1014" s="31">
        <f>AVERAGE(AL1014:AM1014)</f>
        <v>1634688000</v>
      </c>
    </row>
    <row r="1015" spans="1:40" ht="15.75" customHeight="1" x14ac:dyDescent="0.2">
      <c r="A1015" s="283" t="s">
        <v>123</v>
      </c>
      <c r="B1015" s="28">
        <v>44488</v>
      </c>
      <c r="C1015" s="28">
        <v>44490</v>
      </c>
      <c r="D1015" s="27" t="s">
        <v>139</v>
      </c>
      <c r="E1015" s="331" t="s">
        <v>184</v>
      </c>
      <c r="F1015" s="27" t="s">
        <v>390</v>
      </c>
      <c r="G1015" s="27" t="s">
        <v>126</v>
      </c>
      <c r="H1015" s="374">
        <v>1000</v>
      </c>
      <c r="I1015" s="29">
        <v>55</v>
      </c>
      <c r="J1015" s="29"/>
      <c r="K1015" s="29"/>
      <c r="L1015" s="29"/>
      <c r="M1015" s="29"/>
      <c r="N1015" s="29"/>
      <c r="O1015" s="29"/>
      <c r="P1015" s="29"/>
      <c r="Q1015" s="29"/>
      <c r="R1015" s="29"/>
      <c r="S1015" s="29"/>
      <c r="T1015" s="29"/>
      <c r="U1015" s="29">
        <v>44</v>
      </c>
      <c r="V1015" s="29"/>
      <c r="W1015" s="29"/>
      <c r="X1015" s="29"/>
      <c r="Y1015" s="29"/>
      <c r="Z1015" s="29">
        <v>1</v>
      </c>
      <c r="AA1015" s="29">
        <v>0</v>
      </c>
      <c r="AB1015" s="30">
        <f>100/(SUM(I1015:Z1015))</f>
        <v>1</v>
      </c>
      <c r="AC1015" s="259">
        <f>SUM(I1015:AA1015)</f>
        <v>100</v>
      </c>
      <c r="AD1015" s="29"/>
      <c r="AE1015" s="29">
        <v>3</v>
      </c>
      <c r="AF1015" s="29">
        <v>15</v>
      </c>
      <c r="AG1015" s="31" t="s">
        <v>127</v>
      </c>
      <c r="AH1015" s="32" t="s">
        <v>837</v>
      </c>
      <c r="AI1015" s="32" t="s">
        <v>838</v>
      </c>
      <c r="AJ1015" s="32" t="s">
        <v>780</v>
      </c>
      <c r="AK1015" s="27" t="s">
        <v>782</v>
      </c>
      <c r="AL1015" s="31">
        <f>(B1015-DATE(1970,1,1))*86400</f>
        <v>1634601600</v>
      </c>
      <c r="AM1015" s="31">
        <f>(C1015-DATE(1970,1,1))*86400</f>
        <v>1634774400</v>
      </c>
      <c r="AN1015" s="31">
        <f>AVERAGE(AL1015:AM1015)</f>
        <v>1634688000</v>
      </c>
    </row>
    <row r="1016" spans="1:40" ht="15.75" customHeight="1" x14ac:dyDescent="0.2">
      <c r="A1016" s="285" t="s">
        <v>133</v>
      </c>
      <c r="B1016" s="107">
        <v>44486</v>
      </c>
      <c r="C1016" s="107">
        <v>44491</v>
      </c>
      <c r="D1016" s="33" t="s">
        <v>143</v>
      </c>
      <c r="E1016" s="319" t="s">
        <v>125</v>
      </c>
      <c r="F1016" s="33" t="s">
        <v>2495</v>
      </c>
      <c r="G1016" s="33" t="s">
        <v>126</v>
      </c>
      <c r="H1016" s="353">
        <v>1000</v>
      </c>
      <c r="I1016" s="35">
        <v>31</v>
      </c>
      <c r="J1016" s="35"/>
      <c r="K1016" s="35"/>
      <c r="L1016" s="35"/>
      <c r="M1016" s="35"/>
      <c r="N1016" s="35"/>
      <c r="O1016" s="35"/>
      <c r="P1016" s="35"/>
      <c r="Q1016" s="35"/>
      <c r="R1016" s="36"/>
      <c r="S1016" s="35"/>
      <c r="T1016" s="35"/>
      <c r="U1016" s="35">
        <v>44</v>
      </c>
      <c r="V1016" s="35">
        <v>6</v>
      </c>
      <c r="W1016" s="35"/>
      <c r="X1016" s="35">
        <v>3</v>
      </c>
      <c r="Y1016" s="35"/>
      <c r="Z1016" s="35">
        <v>0</v>
      </c>
      <c r="AA1016" s="35">
        <v>16</v>
      </c>
      <c r="AB1016" s="37">
        <f>100/(SUM(I1016:Z1016))</f>
        <v>1.1904761904761905</v>
      </c>
      <c r="AC1016" s="259">
        <f>SUM(I1016:AA1016)</f>
        <v>100</v>
      </c>
      <c r="AD1016" s="35"/>
      <c r="AE1016" s="35"/>
      <c r="AF1016" s="35"/>
      <c r="AG1016" s="33" t="s">
        <v>144</v>
      </c>
      <c r="AH1016" s="33" t="s">
        <v>839</v>
      </c>
      <c r="AI1016" s="38"/>
      <c r="AJ1016" s="33"/>
      <c r="AK1016" s="33"/>
      <c r="AL1016" s="39">
        <f>(B1016-DATE(1970,1,1))*86400</f>
        <v>1634428800</v>
      </c>
      <c r="AM1016" s="39">
        <f>(C1016-DATE(1970,1,1))*86400</f>
        <v>1634860800</v>
      </c>
      <c r="AN1016" s="39">
        <f>AVERAGE(AL1016:AM1016)</f>
        <v>1634644800</v>
      </c>
    </row>
    <row r="1017" spans="1:40" ht="15.75" customHeight="1" x14ac:dyDescent="0.2">
      <c r="A1017" s="285" t="s">
        <v>133</v>
      </c>
      <c r="B1017" s="107">
        <v>44486</v>
      </c>
      <c r="C1017" s="107">
        <v>44491</v>
      </c>
      <c r="D1017" s="33" t="s">
        <v>143</v>
      </c>
      <c r="E1017" s="319" t="s">
        <v>125</v>
      </c>
      <c r="F1017" s="33" t="s">
        <v>2495</v>
      </c>
      <c r="G1017" s="33" t="s">
        <v>126</v>
      </c>
      <c r="H1017" s="353">
        <v>1000</v>
      </c>
      <c r="I1017" s="35"/>
      <c r="J1017" s="35"/>
      <c r="K1017" s="35">
        <v>4</v>
      </c>
      <c r="L1017" s="35"/>
      <c r="M1017" s="35">
        <v>13</v>
      </c>
      <c r="N1017" s="35"/>
      <c r="O1017" s="35"/>
      <c r="P1017" s="35">
        <v>7</v>
      </c>
      <c r="Q1017" s="35"/>
      <c r="R1017" s="36"/>
      <c r="S1017" s="35">
        <v>6</v>
      </c>
      <c r="T1017" s="35"/>
      <c r="U1017" s="35"/>
      <c r="V1017" s="35">
        <v>6</v>
      </c>
      <c r="W1017" s="35"/>
      <c r="X1017" s="35"/>
      <c r="Y1017" s="35"/>
      <c r="Z1017" s="35"/>
      <c r="AA1017" s="35"/>
      <c r="AB1017" s="37">
        <f>100/(SUM(I1017:Z1017))</f>
        <v>2.7777777777777777</v>
      </c>
      <c r="AC1017" s="259">
        <f>SUM(I1017:AA1017)</f>
        <v>36</v>
      </c>
      <c r="AD1017" s="35"/>
      <c r="AE1017" s="35"/>
      <c r="AF1017" s="35"/>
      <c r="AG1017" s="33" t="s">
        <v>144</v>
      </c>
      <c r="AH1017" s="38" t="s">
        <v>839</v>
      </c>
      <c r="AI1017" s="38"/>
      <c r="AJ1017" s="33"/>
      <c r="AK1017" s="33" t="s">
        <v>840</v>
      </c>
      <c r="AL1017" s="39">
        <f>(B1017-DATE(1970,1,1))*86400</f>
        <v>1634428800</v>
      </c>
      <c r="AM1017" s="39">
        <f>(C1017-DATE(1970,1,1))*86400</f>
        <v>1634860800</v>
      </c>
      <c r="AN1017" s="39">
        <f>AVERAGE(AL1017:AM1017)</f>
        <v>1634644800</v>
      </c>
    </row>
    <row r="1018" spans="1:40" ht="15.75" customHeight="1" x14ac:dyDescent="0.2">
      <c r="A1018" s="279" t="s">
        <v>123</v>
      </c>
      <c r="B1018" s="14">
        <v>44487</v>
      </c>
      <c r="C1018" s="14">
        <v>44489</v>
      </c>
      <c r="D1018" s="13" t="s">
        <v>124</v>
      </c>
      <c r="E1018" s="324" t="s">
        <v>125</v>
      </c>
      <c r="F1018" s="13" t="s">
        <v>390</v>
      </c>
      <c r="G1018" s="13" t="s">
        <v>126</v>
      </c>
      <c r="H1018" s="372">
        <v>1000</v>
      </c>
      <c r="I1018" s="15">
        <v>56</v>
      </c>
      <c r="J1018" s="15"/>
      <c r="K1018" s="15"/>
      <c r="L1018" s="15"/>
      <c r="M1018" s="15"/>
      <c r="N1018" s="15"/>
      <c r="O1018" s="15"/>
      <c r="P1018" s="15"/>
      <c r="Q1018" s="15"/>
      <c r="R1018" s="15"/>
      <c r="S1018" s="15"/>
      <c r="T1018" s="15"/>
      <c r="U1018" s="15">
        <v>43</v>
      </c>
      <c r="V1018" s="15"/>
      <c r="W1018" s="15"/>
      <c r="X1018" s="15"/>
      <c r="Y1018" s="15"/>
      <c r="Z1018" s="15">
        <v>2</v>
      </c>
      <c r="AA1018" s="15">
        <v>0</v>
      </c>
      <c r="AB1018" s="16">
        <f>100/(SUM(I1018:Z1018))</f>
        <v>0.99009900990099009</v>
      </c>
      <c r="AC1018" s="259">
        <f>SUM(I1018:AA1018)</f>
        <v>101</v>
      </c>
      <c r="AD1018" s="15"/>
      <c r="AE1018" s="15"/>
      <c r="AF1018" s="15"/>
      <c r="AG1018" s="17" t="s">
        <v>841</v>
      </c>
      <c r="AH1018" s="18" t="s">
        <v>1790</v>
      </c>
      <c r="AI1018" s="18"/>
      <c r="AJ1018" s="18" t="s">
        <v>842</v>
      </c>
      <c r="AK1018" s="13" t="s">
        <v>788</v>
      </c>
      <c r="AL1018" s="17">
        <f>(B1018-DATE(1970,1,1))*86400</f>
        <v>1634515200</v>
      </c>
      <c r="AM1018" s="17">
        <f>(C1018-DATE(1970,1,1))*86400</f>
        <v>1634688000</v>
      </c>
      <c r="AN1018" s="17">
        <f>AVERAGE(AL1018:AM1018)</f>
        <v>1634601600</v>
      </c>
    </row>
    <row r="1019" spans="1:40" ht="15.75" customHeight="1" x14ac:dyDescent="0.2">
      <c r="A1019" s="286" t="s">
        <v>133</v>
      </c>
      <c r="B1019" s="41">
        <v>44480</v>
      </c>
      <c r="C1019" s="41">
        <v>44488</v>
      </c>
      <c r="D1019" s="40" t="s">
        <v>148</v>
      </c>
      <c r="E1019" s="325" t="s">
        <v>125</v>
      </c>
      <c r="F1019" s="40"/>
      <c r="G1019" s="40" t="s">
        <v>149</v>
      </c>
      <c r="H1019" s="325">
        <v>1000</v>
      </c>
      <c r="I1019" s="42">
        <v>33.9</v>
      </c>
      <c r="J1019" s="42">
        <v>6</v>
      </c>
      <c r="K1019" s="42">
        <v>10.7</v>
      </c>
      <c r="L1019" s="42">
        <v>1.8</v>
      </c>
      <c r="M1019" s="42">
        <v>13.3</v>
      </c>
      <c r="N1019" s="42"/>
      <c r="O1019" s="42">
        <v>2</v>
      </c>
      <c r="P1019" s="42">
        <v>4</v>
      </c>
      <c r="Q1019" s="42"/>
      <c r="R1019" s="43"/>
      <c r="S1019" s="42"/>
      <c r="T1019" s="42"/>
      <c r="U1019" s="42"/>
      <c r="V1019" s="42">
        <v>1.2</v>
      </c>
      <c r="W1019" s="42"/>
      <c r="X1019" s="42">
        <v>0.9</v>
      </c>
      <c r="Y1019" s="42"/>
      <c r="Z1019" s="42">
        <v>1.4</v>
      </c>
      <c r="AA1019" s="42">
        <v>24.7</v>
      </c>
      <c r="AB1019" s="44">
        <f>100/(SUM(I1019:Z1019))</f>
        <v>1.3297872340425532</v>
      </c>
      <c r="AC1019" s="259">
        <f>SUM(I1019:AA1019)</f>
        <v>99.9</v>
      </c>
      <c r="AD1019" s="42"/>
      <c r="AE1019" s="42"/>
      <c r="AF1019" s="42"/>
      <c r="AG1019" s="45"/>
      <c r="AH1019" s="42" t="s">
        <v>532</v>
      </c>
      <c r="AI1019" s="46" t="s">
        <v>843</v>
      </c>
      <c r="AJ1019" s="46" t="s">
        <v>844</v>
      </c>
      <c r="AK1019" s="40"/>
      <c r="AL1019" s="45">
        <f>(B1019-DATE(1970,1,1))*86400</f>
        <v>1633910400</v>
      </c>
      <c r="AM1019" s="45">
        <f>(C1019-DATE(1970,1,1))*86400</f>
        <v>1634601600</v>
      </c>
      <c r="AN1019" s="45">
        <f>AVERAGE(AL1019:AM1019)</f>
        <v>1634256000</v>
      </c>
    </row>
    <row r="1020" spans="1:40" ht="15.75" customHeight="1" x14ac:dyDescent="0.2">
      <c r="A1020" s="286" t="s">
        <v>133</v>
      </c>
      <c r="B1020" s="41">
        <v>44480</v>
      </c>
      <c r="C1020" s="41">
        <v>44488</v>
      </c>
      <c r="D1020" s="40" t="s">
        <v>148</v>
      </c>
      <c r="E1020" s="325" t="s">
        <v>125</v>
      </c>
      <c r="F1020" s="40" t="s">
        <v>390</v>
      </c>
      <c r="G1020" s="40" t="s">
        <v>149</v>
      </c>
      <c r="H1020" s="325">
        <v>1000</v>
      </c>
      <c r="I1020" s="42">
        <v>34.9</v>
      </c>
      <c r="J1020" s="42"/>
      <c r="K1020" s="42"/>
      <c r="L1020" s="42"/>
      <c r="M1020" s="42"/>
      <c r="N1020" s="42"/>
      <c r="O1020" s="42"/>
      <c r="P1020" s="42"/>
      <c r="Q1020" s="42"/>
      <c r="R1020" s="43"/>
      <c r="S1020" s="42"/>
      <c r="T1020" s="42"/>
      <c r="U1020" s="42">
        <v>39.299999999999997</v>
      </c>
      <c r="V1020" s="42"/>
      <c r="W1020" s="42"/>
      <c r="X1020" s="42"/>
      <c r="Y1020" s="42"/>
      <c r="Z1020" s="42">
        <v>2.8</v>
      </c>
      <c r="AA1020" s="42">
        <v>23</v>
      </c>
      <c r="AB1020" s="44">
        <f>100/(SUM(I1020:Z1020))</f>
        <v>1.2987012987012989</v>
      </c>
      <c r="AC1020" s="259">
        <f>SUM(I1020:AA1020)</f>
        <v>99.999999999999986</v>
      </c>
      <c r="AD1020" s="42">
        <v>74.5</v>
      </c>
      <c r="AE1020" s="43">
        <f>SUM(PRODUCT(39,100/73),PRODUCT(37,100/77,-1))</f>
        <v>5.372709482298518</v>
      </c>
      <c r="AF1020" s="43">
        <f>SUM(PRODUCT(58,100/86),PRODUCT(39,100/77,-1))</f>
        <v>16.792509815765627</v>
      </c>
      <c r="AG1020" s="45"/>
      <c r="AH1020" s="42" t="s">
        <v>532</v>
      </c>
      <c r="AI1020" s="46" t="s">
        <v>843</v>
      </c>
      <c r="AJ1020" s="132" t="s">
        <v>844</v>
      </c>
      <c r="AK1020" s="40" t="s">
        <v>845</v>
      </c>
      <c r="AL1020" s="45">
        <f>(B1020-DATE(1970,1,1))*86400</f>
        <v>1633910400</v>
      </c>
      <c r="AM1020" s="45">
        <f>(C1020-DATE(1970,1,1))*86400</f>
        <v>1634601600</v>
      </c>
      <c r="AN1020" s="45">
        <f>AVERAGE(AL1020:AM1020)</f>
        <v>1634256000</v>
      </c>
    </row>
    <row r="1021" spans="1:40" ht="15.75" customHeight="1" x14ac:dyDescent="0.2">
      <c r="A1021" s="286" t="s">
        <v>123</v>
      </c>
      <c r="B1021" s="41">
        <v>44480</v>
      </c>
      <c r="C1021" s="41">
        <v>44488</v>
      </c>
      <c r="D1021" s="40" t="s">
        <v>148</v>
      </c>
      <c r="E1021" s="325" t="s">
        <v>125</v>
      </c>
      <c r="F1021" s="40" t="s">
        <v>390</v>
      </c>
      <c r="G1021" s="40" t="s">
        <v>149</v>
      </c>
      <c r="H1021" s="325">
        <v>1000</v>
      </c>
      <c r="I1021" s="42">
        <v>47.5</v>
      </c>
      <c r="J1021" s="42"/>
      <c r="K1021" s="42"/>
      <c r="L1021" s="42"/>
      <c r="M1021" s="42"/>
      <c r="N1021" s="42"/>
      <c r="O1021" s="42"/>
      <c r="P1021" s="42"/>
      <c r="Q1021" s="42"/>
      <c r="R1021" s="43"/>
      <c r="S1021" s="42"/>
      <c r="T1021" s="42"/>
      <c r="U1021" s="42">
        <v>49.6</v>
      </c>
      <c r="V1021" s="42"/>
      <c r="W1021" s="42"/>
      <c r="X1021" s="42"/>
      <c r="Y1021" s="42"/>
      <c r="Z1021" s="42">
        <v>2.9</v>
      </c>
      <c r="AA1021" s="42">
        <v>0</v>
      </c>
      <c r="AB1021" s="44">
        <f>100/(SUM(I1021:Z1021))</f>
        <v>1</v>
      </c>
      <c r="AC1021" s="259">
        <f>SUM(I1021:AA1021)</f>
        <v>100</v>
      </c>
      <c r="AD1021" s="42"/>
      <c r="AE1021" s="42"/>
      <c r="AF1021" s="42"/>
      <c r="AG1021" s="45"/>
      <c r="AH1021" s="42" t="s">
        <v>532</v>
      </c>
      <c r="AI1021" s="46" t="s">
        <v>843</v>
      </c>
      <c r="AJ1021" s="132" t="s">
        <v>844</v>
      </c>
      <c r="AK1021" s="40"/>
      <c r="AL1021" s="45">
        <f>(B1021-DATE(1970,1,1))*86400</f>
        <v>1633910400</v>
      </c>
      <c r="AM1021" s="45">
        <f>(C1021-DATE(1970,1,1))*86400</f>
        <v>1634601600</v>
      </c>
      <c r="AN1021" s="45">
        <f>AVERAGE(AL1021:AM1021)</f>
        <v>1634256000</v>
      </c>
    </row>
    <row r="1022" spans="1:40" ht="15.75" customHeight="1" x14ac:dyDescent="0.2">
      <c r="A1022" s="286" t="s">
        <v>123</v>
      </c>
      <c r="B1022" s="41">
        <v>44480</v>
      </c>
      <c r="C1022" s="41">
        <v>44488</v>
      </c>
      <c r="D1022" s="40" t="s">
        <v>148</v>
      </c>
      <c r="E1022" s="325" t="s">
        <v>125</v>
      </c>
      <c r="F1022" s="40"/>
      <c r="G1022" s="40" t="s">
        <v>149</v>
      </c>
      <c r="H1022" s="325">
        <v>1000</v>
      </c>
      <c r="I1022" s="42">
        <v>47.2</v>
      </c>
      <c r="J1022" s="42">
        <v>6.8</v>
      </c>
      <c r="K1022" s="42">
        <v>13.8</v>
      </c>
      <c r="L1022" s="42">
        <v>2.2000000000000002</v>
      </c>
      <c r="M1022" s="42">
        <v>18.899999999999999</v>
      </c>
      <c r="N1022" s="42"/>
      <c r="O1022" s="42">
        <v>3.1</v>
      </c>
      <c r="P1022" s="42">
        <v>4.4000000000000004</v>
      </c>
      <c r="Q1022" s="42"/>
      <c r="R1022" s="43"/>
      <c r="S1022" s="42"/>
      <c r="T1022" s="42"/>
      <c r="U1022" s="42"/>
      <c r="V1022" s="42">
        <v>1.3</v>
      </c>
      <c r="W1022" s="42"/>
      <c r="X1022" s="42">
        <v>0.6</v>
      </c>
      <c r="Y1022" s="42"/>
      <c r="Z1022" s="42">
        <v>1.7</v>
      </c>
      <c r="AA1022" s="42">
        <v>0</v>
      </c>
      <c r="AB1022" s="44">
        <f>100/(SUM(I1022:Z1022))</f>
        <v>1</v>
      </c>
      <c r="AC1022" s="259">
        <f>SUM(I1022:AA1022)</f>
        <v>100</v>
      </c>
      <c r="AD1022" s="42"/>
      <c r="AE1022" s="42"/>
      <c r="AF1022" s="42"/>
      <c r="AG1022" s="45"/>
      <c r="AH1022" s="42" t="s">
        <v>532</v>
      </c>
      <c r="AI1022" s="46" t="s">
        <v>843</v>
      </c>
      <c r="AJ1022" s="46" t="s">
        <v>844</v>
      </c>
      <c r="AK1022" s="40"/>
      <c r="AL1022" s="45">
        <f>(B1022-DATE(1970,1,1))*86400</f>
        <v>1633910400</v>
      </c>
      <c r="AM1022" s="45">
        <f>(C1022-DATE(1970,1,1))*86400</f>
        <v>1634601600</v>
      </c>
      <c r="AN1022" s="45">
        <f>AVERAGE(AL1022:AM1022)</f>
        <v>1634256000</v>
      </c>
    </row>
    <row r="1023" spans="1:40" ht="15.75" customHeight="1" x14ac:dyDescent="0.2">
      <c r="A1023" s="280" t="s">
        <v>123</v>
      </c>
      <c r="B1023" s="108">
        <v>44470</v>
      </c>
      <c r="C1023" s="108">
        <v>44493</v>
      </c>
      <c r="D1023" s="76" t="s">
        <v>200</v>
      </c>
      <c r="E1023" s="320" t="s">
        <v>125</v>
      </c>
      <c r="F1023" s="76" t="s">
        <v>2495</v>
      </c>
      <c r="G1023" s="76" t="s">
        <v>126</v>
      </c>
      <c r="H1023" s="320">
        <v>1000</v>
      </c>
      <c r="I1023" s="78">
        <v>41</v>
      </c>
      <c r="J1023" s="78"/>
      <c r="K1023" s="78"/>
      <c r="L1023" s="78"/>
      <c r="M1023" s="78"/>
      <c r="N1023" s="78"/>
      <c r="O1023" s="78"/>
      <c r="P1023" s="78"/>
      <c r="Q1023" s="78"/>
      <c r="R1023" s="78"/>
      <c r="S1023" s="78"/>
      <c r="T1023" s="78"/>
      <c r="U1023" s="78"/>
      <c r="V1023" s="78"/>
      <c r="W1023" s="78"/>
      <c r="X1023" s="78"/>
      <c r="Y1023" s="78"/>
      <c r="Z1023" s="78"/>
      <c r="AA1023" s="78"/>
      <c r="AB1023" s="79">
        <f>100/(SUM(I1023:Z1023))</f>
        <v>2.4390243902439024</v>
      </c>
      <c r="AC1023" s="259">
        <f>SUM(I1023:AA1023)</f>
        <v>41</v>
      </c>
      <c r="AD1023" s="78"/>
      <c r="AE1023" s="78"/>
      <c r="AF1023" s="78" t="s">
        <v>846</v>
      </c>
      <c r="AG1023" s="80" t="s">
        <v>127</v>
      </c>
      <c r="AH1023" s="81" t="s">
        <v>847</v>
      </c>
      <c r="AI1023" s="194" t="s">
        <v>1860</v>
      </c>
      <c r="AJ1023" s="81"/>
      <c r="AK1023" s="76" t="s">
        <v>848</v>
      </c>
      <c r="AL1023" s="80">
        <f>(B1023-DATE(1970,1,1))*86400</f>
        <v>1633046400</v>
      </c>
      <c r="AM1023" s="80">
        <f>(C1023-DATE(1970,1,1))*86400</f>
        <v>1635033600</v>
      </c>
      <c r="AN1023" s="80">
        <f>AVERAGE(AL1023:AM1023)</f>
        <v>1634040000</v>
      </c>
    </row>
    <row r="1024" spans="1:40" ht="15.75" customHeight="1" x14ac:dyDescent="0.2">
      <c r="A1024" s="279" t="s">
        <v>123</v>
      </c>
      <c r="B1024" s="14">
        <v>44480</v>
      </c>
      <c r="C1024" s="14">
        <v>44482</v>
      </c>
      <c r="D1024" s="13" t="s">
        <v>124</v>
      </c>
      <c r="E1024" s="324" t="s">
        <v>125</v>
      </c>
      <c r="F1024" s="13" t="s">
        <v>390</v>
      </c>
      <c r="G1024" s="13" t="s">
        <v>126</v>
      </c>
      <c r="H1024" s="372">
        <v>1000</v>
      </c>
      <c r="I1024" s="15">
        <v>56</v>
      </c>
      <c r="J1024" s="15"/>
      <c r="K1024" s="15"/>
      <c r="L1024" s="15"/>
      <c r="M1024" s="15"/>
      <c r="N1024" s="15"/>
      <c r="O1024" s="15"/>
      <c r="P1024" s="15"/>
      <c r="Q1024" s="15"/>
      <c r="R1024" s="15"/>
      <c r="S1024" s="15"/>
      <c r="T1024" s="15"/>
      <c r="U1024" s="15">
        <v>42</v>
      </c>
      <c r="V1024" s="15"/>
      <c r="W1024" s="15"/>
      <c r="X1024" s="15"/>
      <c r="Y1024" s="15"/>
      <c r="Z1024" s="15">
        <v>1</v>
      </c>
      <c r="AA1024" s="15">
        <v>0</v>
      </c>
      <c r="AB1024" s="16">
        <f>100/(SUM(I1024:Z1024))</f>
        <v>1.0101010101010102</v>
      </c>
      <c r="AC1024" s="259">
        <f>SUM(I1024:AA1024)</f>
        <v>99</v>
      </c>
      <c r="AD1024" s="15"/>
      <c r="AE1024" s="15"/>
      <c r="AF1024" s="15"/>
      <c r="AG1024" s="17" t="s">
        <v>127</v>
      </c>
      <c r="AH1024" s="18" t="s">
        <v>1789</v>
      </c>
      <c r="AI1024" s="18" t="s">
        <v>825</v>
      </c>
      <c r="AJ1024" s="18"/>
      <c r="AK1024" s="13" t="s">
        <v>819</v>
      </c>
      <c r="AL1024" s="17">
        <f>(B1024-DATE(1970,1,1))*86400</f>
        <v>1633910400</v>
      </c>
      <c r="AM1024" s="17">
        <f>(C1024-DATE(1970,1,1))*86400</f>
        <v>1634083200</v>
      </c>
      <c r="AN1024" s="17">
        <f>AVERAGE(AL1024:AM1024)</f>
        <v>1633996800</v>
      </c>
    </row>
    <row r="1025" spans="1:40" ht="15.75" customHeight="1" x14ac:dyDescent="0.2">
      <c r="A1025" s="302" t="s">
        <v>133</v>
      </c>
      <c r="B1025" s="122">
        <v>44476</v>
      </c>
      <c r="C1025" s="122">
        <v>44485</v>
      </c>
      <c r="D1025" s="121" t="s">
        <v>718</v>
      </c>
      <c r="E1025" s="322" t="s">
        <v>184</v>
      </c>
      <c r="F1025" s="121"/>
      <c r="G1025" s="121" t="s">
        <v>126</v>
      </c>
      <c r="H1025" s="369">
        <v>1000</v>
      </c>
      <c r="I1025" s="123">
        <v>44</v>
      </c>
      <c r="J1025" s="123">
        <v>1</v>
      </c>
      <c r="K1025" s="123">
        <v>3</v>
      </c>
      <c r="L1025" s="123">
        <v>1</v>
      </c>
      <c r="M1025" s="123">
        <v>18</v>
      </c>
      <c r="N1025" s="123"/>
      <c r="O1025" s="123">
        <v>0</v>
      </c>
      <c r="P1025" s="123">
        <v>4</v>
      </c>
      <c r="Q1025" s="252"/>
      <c r="R1025" s="252"/>
      <c r="S1025" s="252"/>
      <c r="T1025" s="252"/>
      <c r="U1025" s="252"/>
      <c r="V1025" s="252">
        <v>2</v>
      </c>
      <c r="W1025" s="252"/>
      <c r="X1025" s="252">
        <v>3</v>
      </c>
      <c r="Y1025" s="252"/>
      <c r="Z1025" s="252">
        <v>0</v>
      </c>
      <c r="AA1025" s="123">
        <v>25</v>
      </c>
      <c r="AB1025" s="125">
        <f>100/(SUM(I1025:Z1025))</f>
        <v>1.3157894736842106</v>
      </c>
      <c r="AC1025" s="259">
        <f>SUM(I1025:AA1025)</f>
        <v>101</v>
      </c>
      <c r="AD1025" s="123">
        <v>57</v>
      </c>
      <c r="AE1025" s="123"/>
      <c r="AF1025" s="123"/>
      <c r="AG1025" s="126" t="s">
        <v>719</v>
      </c>
      <c r="AH1025" s="127" t="s">
        <v>2020</v>
      </c>
      <c r="AI1025" s="127"/>
      <c r="AJ1025" s="127"/>
      <c r="AK1025" s="121"/>
      <c r="AL1025" s="126">
        <f>(B1025-DATE(1970,1,1))*86400</f>
        <v>1633564800</v>
      </c>
      <c r="AM1025" s="126">
        <f>(C1025-DATE(1970,1,1))*86400</f>
        <v>1634342400</v>
      </c>
      <c r="AN1025" s="126">
        <f>AVERAGE(AL1025:AM1025)</f>
        <v>1633953600</v>
      </c>
    </row>
    <row r="1026" spans="1:40" ht="15.75" customHeight="1" x14ac:dyDescent="0.2">
      <c r="A1026" s="302" t="s">
        <v>133</v>
      </c>
      <c r="B1026" s="122">
        <v>44476</v>
      </c>
      <c r="C1026" s="122">
        <v>44485</v>
      </c>
      <c r="D1026" s="121" t="s">
        <v>718</v>
      </c>
      <c r="E1026" s="322" t="s">
        <v>184</v>
      </c>
      <c r="F1026" s="121" t="s">
        <v>2049</v>
      </c>
      <c r="G1026" s="121" t="s">
        <v>126</v>
      </c>
      <c r="H1026" s="369">
        <v>1000</v>
      </c>
      <c r="I1026" s="123">
        <v>43</v>
      </c>
      <c r="J1026" s="123"/>
      <c r="K1026" s="123"/>
      <c r="L1026" s="123"/>
      <c r="M1026" s="123"/>
      <c r="N1026" s="123"/>
      <c r="O1026" s="123"/>
      <c r="P1026" s="123"/>
      <c r="Q1026" s="123"/>
      <c r="R1026" s="124"/>
      <c r="S1026" s="123"/>
      <c r="T1026" s="123"/>
      <c r="U1026" s="123">
        <v>42</v>
      </c>
      <c r="V1026" s="124"/>
      <c r="W1026" s="124"/>
      <c r="X1026" s="124"/>
      <c r="Y1026" s="124"/>
      <c r="Z1026" s="124"/>
      <c r="AA1026" s="123">
        <v>14</v>
      </c>
      <c r="AB1026" s="125">
        <f>100/(SUM(I1026:Z1026))</f>
        <v>1.1764705882352942</v>
      </c>
      <c r="AC1026" s="259">
        <f>SUM(I1026:AA1026)</f>
        <v>99</v>
      </c>
      <c r="AD1026" s="123">
        <v>57</v>
      </c>
      <c r="AE1026" s="123"/>
      <c r="AF1026" s="123"/>
      <c r="AG1026" s="126" t="s">
        <v>719</v>
      </c>
      <c r="AH1026" s="127" t="s">
        <v>2020</v>
      </c>
      <c r="AI1026" s="127"/>
      <c r="AJ1026" s="127"/>
      <c r="AK1026" s="121" t="s">
        <v>721</v>
      </c>
      <c r="AL1026" s="126">
        <f>(B1026-DATE(1970,1,1))*86400</f>
        <v>1633564800</v>
      </c>
      <c r="AM1026" s="126">
        <f>(C1026-DATE(1970,1,1))*86400</f>
        <v>1634342400</v>
      </c>
      <c r="AN1026" s="126">
        <f>AVERAGE(AL1026:AM1026)</f>
        <v>1633953600</v>
      </c>
    </row>
    <row r="1027" spans="1:40" ht="15.75" customHeight="1" x14ac:dyDescent="0.2">
      <c r="A1027" s="280" t="s">
        <v>123</v>
      </c>
      <c r="B1027" s="108">
        <v>44470</v>
      </c>
      <c r="C1027" s="108">
        <v>44480</v>
      </c>
      <c r="D1027" s="76" t="s">
        <v>200</v>
      </c>
      <c r="E1027" s="320" t="s">
        <v>125</v>
      </c>
      <c r="F1027" s="76" t="s">
        <v>390</v>
      </c>
      <c r="G1027" s="76" t="s">
        <v>126</v>
      </c>
      <c r="H1027" s="320">
        <v>1000</v>
      </c>
      <c r="I1027" s="78">
        <v>45</v>
      </c>
      <c r="J1027" s="78"/>
      <c r="K1027" s="78"/>
      <c r="L1027" s="78"/>
      <c r="M1027" s="78"/>
      <c r="N1027" s="78"/>
      <c r="O1027" s="78"/>
      <c r="P1027" s="78"/>
      <c r="Q1027" s="78"/>
      <c r="R1027" s="78"/>
      <c r="S1027" s="78"/>
      <c r="T1027" s="78"/>
      <c r="U1027" s="78">
        <v>36</v>
      </c>
      <c r="V1027" s="78">
        <v>5</v>
      </c>
      <c r="W1027" s="78"/>
      <c r="X1027" s="78">
        <v>3</v>
      </c>
      <c r="Y1027" s="78"/>
      <c r="Z1027" s="78">
        <v>4</v>
      </c>
      <c r="AA1027" s="78">
        <v>7</v>
      </c>
      <c r="AB1027" s="79">
        <f>100/(SUM(I1027:Z1027))</f>
        <v>1.075268817204301</v>
      </c>
      <c r="AC1027" s="259">
        <f>SUM(I1027:AA1027)</f>
        <v>100</v>
      </c>
      <c r="AD1027" s="78"/>
      <c r="AE1027" s="78"/>
      <c r="AF1027" s="78"/>
      <c r="AG1027" s="80" t="s">
        <v>127</v>
      </c>
      <c r="AH1027" s="81" t="s">
        <v>849</v>
      </c>
      <c r="AI1027" s="195" t="s">
        <v>850</v>
      </c>
      <c r="AJ1027" s="81" t="s">
        <v>851</v>
      </c>
      <c r="AK1027" s="76" t="s">
        <v>1792</v>
      </c>
      <c r="AL1027" s="80">
        <f>(B1027-DATE(1970,1,1))*86400</f>
        <v>1633046400</v>
      </c>
      <c r="AM1027" s="80">
        <f>(C1027-DATE(1970,1,1))*86400</f>
        <v>1633910400</v>
      </c>
      <c r="AN1027" s="80">
        <f>AVERAGE(AL1027:AM1027)</f>
        <v>1633478400</v>
      </c>
    </row>
    <row r="1028" spans="1:40" ht="15.75" customHeight="1" x14ac:dyDescent="0.2">
      <c r="A1028" s="279" t="s">
        <v>123</v>
      </c>
      <c r="B1028" s="14">
        <v>44473</v>
      </c>
      <c r="C1028" s="14">
        <v>44475</v>
      </c>
      <c r="D1028" s="13" t="s">
        <v>124</v>
      </c>
      <c r="E1028" s="324" t="s">
        <v>125</v>
      </c>
      <c r="F1028" s="13" t="s">
        <v>390</v>
      </c>
      <c r="G1028" s="13" t="s">
        <v>126</v>
      </c>
      <c r="H1028" s="372">
        <v>1000</v>
      </c>
      <c r="I1028" s="15">
        <v>54</v>
      </c>
      <c r="J1028" s="15"/>
      <c r="K1028" s="15"/>
      <c r="L1028" s="15"/>
      <c r="M1028" s="15"/>
      <c r="N1028" s="15"/>
      <c r="O1028" s="15"/>
      <c r="P1028" s="15"/>
      <c r="Q1028" s="15"/>
      <c r="R1028" s="15"/>
      <c r="S1028" s="15"/>
      <c r="T1028" s="15"/>
      <c r="U1028" s="15">
        <v>43</v>
      </c>
      <c r="V1028" s="15"/>
      <c r="W1028" s="15"/>
      <c r="X1028" s="15"/>
      <c r="Y1028" s="15"/>
      <c r="Z1028" s="15">
        <v>2</v>
      </c>
      <c r="AA1028" s="15">
        <v>0</v>
      </c>
      <c r="AB1028" s="16">
        <f>100/(SUM(I1028:Z1028))</f>
        <v>1.0101010101010102</v>
      </c>
      <c r="AC1028" s="259">
        <f>SUM(I1028:AA1028)</f>
        <v>99</v>
      </c>
      <c r="AD1028" s="15"/>
      <c r="AE1028" s="15"/>
      <c r="AF1028" s="15"/>
      <c r="AG1028" s="17" t="s">
        <v>127</v>
      </c>
      <c r="AH1028" s="18" t="s">
        <v>1789</v>
      </c>
      <c r="AI1028" s="18" t="s">
        <v>825</v>
      </c>
      <c r="AJ1028" s="18" t="s">
        <v>1861</v>
      </c>
      <c r="AK1028" s="13" t="s">
        <v>819</v>
      </c>
      <c r="AL1028" s="17">
        <f>(B1028-DATE(1970,1,1))*86400</f>
        <v>1633305600</v>
      </c>
      <c r="AM1028" s="17">
        <f>(C1028-DATE(1970,1,1))*86400</f>
        <v>1633478400</v>
      </c>
      <c r="AN1028" s="17">
        <f>AVERAGE(AL1028:AM1028)</f>
        <v>1633392000</v>
      </c>
    </row>
    <row r="1029" spans="1:40" ht="15.75" customHeight="1" x14ac:dyDescent="0.2">
      <c r="A1029" s="284" t="s">
        <v>133</v>
      </c>
      <c r="B1029" s="20">
        <v>44469</v>
      </c>
      <c r="C1029" s="20">
        <v>44478</v>
      </c>
      <c r="D1029" s="19" t="s">
        <v>134</v>
      </c>
      <c r="E1029" s="332" t="s">
        <v>125</v>
      </c>
      <c r="F1029" s="19"/>
      <c r="G1029" s="19" t="s">
        <v>135</v>
      </c>
      <c r="H1029" s="332">
        <v>2000</v>
      </c>
      <c r="I1029" s="21">
        <v>33</v>
      </c>
      <c r="J1029" s="21">
        <v>5</v>
      </c>
      <c r="K1029" s="21">
        <v>8</v>
      </c>
      <c r="L1029" s="21">
        <v>2</v>
      </c>
      <c r="M1029" s="21">
        <v>12</v>
      </c>
      <c r="N1029" s="21"/>
      <c r="O1029" s="21">
        <v>2</v>
      </c>
      <c r="P1029" s="21">
        <v>6</v>
      </c>
      <c r="Q1029" s="21"/>
      <c r="R1029" s="22"/>
      <c r="S1029" s="21"/>
      <c r="T1029" s="21"/>
      <c r="U1029" s="21"/>
      <c r="V1029" s="21">
        <v>2</v>
      </c>
      <c r="W1029" s="21"/>
      <c r="X1029" s="21">
        <v>3</v>
      </c>
      <c r="Y1029" s="21"/>
      <c r="Z1029" s="21">
        <v>0</v>
      </c>
      <c r="AA1029" s="21">
        <v>27</v>
      </c>
      <c r="AB1029" s="23">
        <f>100/(SUM(I1029:Z1029))</f>
        <v>1.3698630136986301</v>
      </c>
      <c r="AC1029" s="259">
        <f>SUM(I1029:AA1029)</f>
        <v>100</v>
      </c>
      <c r="AD1029" s="24"/>
      <c r="AE1029" s="24"/>
      <c r="AF1029" s="24"/>
      <c r="AG1029" s="25" t="s">
        <v>127</v>
      </c>
      <c r="AH1029" s="26" t="s">
        <v>852</v>
      </c>
      <c r="AI1029" s="83"/>
      <c r="AJ1029" s="83"/>
      <c r="AK1029" s="19"/>
      <c r="AL1029" s="25">
        <f>(B1029-DATE(1970,1,1))*86400</f>
        <v>1632960000</v>
      </c>
      <c r="AM1029" s="25">
        <f>(C1029-DATE(1970,1,1))*86400</f>
        <v>1633737600</v>
      </c>
      <c r="AN1029" s="25">
        <f>AVERAGE(AL1029:AM1029)</f>
        <v>1633348800</v>
      </c>
    </row>
    <row r="1030" spans="1:40" ht="15.75" customHeight="1" x14ac:dyDescent="0.2">
      <c r="A1030" s="284" t="s">
        <v>133</v>
      </c>
      <c r="B1030" s="20">
        <v>44469</v>
      </c>
      <c r="C1030" s="20">
        <v>44478</v>
      </c>
      <c r="D1030" s="19" t="s">
        <v>134</v>
      </c>
      <c r="E1030" s="332" t="s">
        <v>125</v>
      </c>
      <c r="F1030" s="19" t="s">
        <v>390</v>
      </c>
      <c r="G1030" s="19" t="s">
        <v>135</v>
      </c>
      <c r="H1030" s="332">
        <v>2000</v>
      </c>
      <c r="I1030" s="21">
        <v>38</v>
      </c>
      <c r="J1030" s="21"/>
      <c r="K1030" s="21"/>
      <c r="L1030" s="21"/>
      <c r="M1030" s="21"/>
      <c r="N1030" s="21"/>
      <c r="O1030" s="21"/>
      <c r="P1030" s="21"/>
      <c r="Q1030" s="21"/>
      <c r="R1030" s="22"/>
      <c r="S1030" s="21"/>
      <c r="T1030" s="21"/>
      <c r="U1030" s="21">
        <v>40</v>
      </c>
      <c r="V1030" s="21">
        <v>2</v>
      </c>
      <c r="W1030" s="21"/>
      <c r="X1030" s="21">
        <v>3</v>
      </c>
      <c r="Y1030" s="21"/>
      <c r="Z1030" s="21">
        <v>1</v>
      </c>
      <c r="AA1030" s="21">
        <v>16</v>
      </c>
      <c r="AB1030" s="23">
        <f>100/(SUM(I1030:Z1030))</f>
        <v>1.1904761904761905</v>
      </c>
      <c r="AC1030" s="259">
        <f>SUM(I1030:AA1030)</f>
        <v>100</v>
      </c>
      <c r="AD1030" s="24"/>
      <c r="AE1030" s="24"/>
      <c r="AF1030" s="24"/>
      <c r="AG1030" s="25" t="s">
        <v>127</v>
      </c>
      <c r="AH1030" s="26" t="s">
        <v>852</v>
      </c>
      <c r="AI1030" s="83"/>
      <c r="AJ1030" s="83"/>
      <c r="AK1030" s="19"/>
      <c r="AL1030" s="25">
        <f>(B1030-DATE(1970,1,1))*86400</f>
        <v>1632960000</v>
      </c>
      <c r="AM1030" s="25">
        <f>(C1030-DATE(1970,1,1))*86400</f>
        <v>1633737600</v>
      </c>
      <c r="AN1030" s="25">
        <f>AVERAGE(AL1030:AM1030)</f>
        <v>1633348800</v>
      </c>
    </row>
    <row r="1031" spans="1:40" ht="15.75" customHeight="1" x14ac:dyDescent="0.2">
      <c r="A1031" s="284" t="s">
        <v>123</v>
      </c>
      <c r="B1031" s="20">
        <v>44469</v>
      </c>
      <c r="C1031" s="20">
        <v>44478</v>
      </c>
      <c r="D1031" s="19" t="s">
        <v>134</v>
      </c>
      <c r="E1031" s="332" t="s">
        <v>125</v>
      </c>
      <c r="F1031" s="19" t="s">
        <v>390</v>
      </c>
      <c r="G1031" s="19" t="s">
        <v>135</v>
      </c>
      <c r="H1031" s="332">
        <v>2000</v>
      </c>
      <c r="I1031" s="21">
        <v>47</v>
      </c>
      <c r="J1031" s="21"/>
      <c r="K1031" s="21"/>
      <c r="L1031" s="21"/>
      <c r="M1031" s="21"/>
      <c r="N1031" s="21"/>
      <c r="O1031" s="21"/>
      <c r="P1031" s="21"/>
      <c r="Q1031" s="21"/>
      <c r="R1031" s="22"/>
      <c r="S1031" s="21"/>
      <c r="T1031" s="21"/>
      <c r="U1031" s="21">
        <v>47</v>
      </c>
      <c r="V1031" s="21">
        <v>3</v>
      </c>
      <c r="W1031" s="21"/>
      <c r="X1031" s="21">
        <v>3</v>
      </c>
      <c r="Y1031" s="21"/>
      <c r="Z1031" s="21">
        <v>0</v>
      </c>
      <c r="AA1031" s="21">
        <v>0</v>
      </c>
      <c r="AB1031" s="23">
        <f>100/(SUM(I1031:Z1031))</f>
        <v>1</v>
      </c>
      <c r="AC1031" s="259">
        <f>SUM(I1031:AA1031)</f>
        <v>100</v>
      </c>
      <c r="AD1031" s="24"/>
      <c r="AE1031" s="24"/>
      <c r="AF1031" s="24"/>
      <c r="AG1031" s="25" t="s">
        <v>127</v>
      </c>
      <c r="AH1031" s="26" t="s">
        <v>852</v>
      </c>
      <c r="AI1031" s="83"/>
      <c r="AJ1031" s="83"/>
      <c r="AK1031" s="19"/>
      <c r="AL1031" s="25">
        <f>(B1031-DATE(1970,1,1))*86400</f>
        <v>1632960000</v>
      </c>
      <c r="AM1031" s="25">
        <f>(C1031-DATE(1970,1,1))*86400</f>
        <v>1633737600</v>
      </c>
      <c r="AN1031" s="25">
        <f>AVERAGE(AL1031:AM1031)</f>
        <v>1633348800</v>
      </c>
    </row>
    <row r="1032" spans="1:40" ht="15.75" customHeight="1" x14ac:dyDescent="0.2">
      <c r="A1032" s="284" t="s">
        <v>123</v>
      </c>
      <c r="B1032" s="20">
        <v>44469</v>
      </c>
      <c r="C1032" s="20">
        <v>44478</v>
      </c>
      <c r="D1032" s="19" t="s">
        <v>134</v>
      </c>
      <c r="E1032" s="332" t="s">
        <v>125</v>
      </c>
      <c r="F1032" s="19"/>
      <c r="G1032" s="19" t="s">
        <v>135</v>
      </c>
      <c r="H1032" s="332">
        <v>2000</v>
      </c>
      <c r="I1032" s="21">
        <v>46</v>
      </c>
      <c r="J1032" s="21">
        <v>5</v>
      </c>
      <c r="K1032" s="21">
        <v>11</v>
      </c>
      <c r="L1032" s="21">
        <v>2</v>
      </c>
      <c r="M1032" s="21">
        <v>18</v>
      </c>
      <c r="N1032" s="21"/>
      <c r="O1032" s="21">
        <v>2</v>
      </c>
      <c r="P1032" s="21">
        <v>9</v>
      </c>
      <c r="Q1032" s="21"/>
      <c r="R1032" s="22"/>
      <c r="S1032" s="21"/>
      <c r="T1032" s="21"/>
      <c r="U1032" s="21"/>
      <c r="V1032" s="21">
        <v>3</v>
      </c>
      <c r="W1032" s="21"/>
      <c r="X1032" s="21">
        <v>3</v>
      </c>
      <c r="Y1032" s="21"/>
      <c r="Z1032" s="21">
        <v>1</v>
      </c>
      <c r="AA1032" s="21">
        <v>0</v>
      </c>
      <c r="AB1032" s="23">
        <f>100/(SUM(I1032:Z1032))</f>
        <v>1</v>
      </c>
      <c r="AC1032" s="259">
        <f>SUM(I1032:AA1032)</f>
        <v>100</v>
      </c>
      <c r="AD1032" s="24"/>
      <c r="AE1032" s="24"/>
      <c r="AF1032" s="24"/>
      <c r="AG1032" s="25" t="s">
        <v>127</v>
      </c>
      <c r="AH1032" s="26" t="s">
        <v>852</v>
      </c>
      <c r="AI1032" s="83"/>
      <c r="AJ1032" s="83"/>
      <c r="AK1032" s="19"/>
      <c r="AL1032" s="25">
        <f>(B1032-DATE(1970,1,1))*86400</f>
        <v>1632960000</v>
      </c>
      <c r="AM1032" s="25">
        <f>(C1032-DATE(1970,1,1))*86400</f>
        <v>1633737600</v>
      </c>
      <c r="AN1032" s="25">
        <f>AVERAGE(AL1032:AM1032)</f>
        <v>1633348800</v>
      </c>
    </row>
    <row r="1033" spans="1:40" ht="15.75" customHeight="1" x14ac:dyDescent="0.2">
      <c r="A1033" s="281" t="s">
        <v>133</v>
      </c>
      <c r="B1033" s="54">
        <v>44471</v>
      </c>
      <c r="C1033" s="54">
        <v>44473</v>
      </c>
      <c r="D1033" s="53" t="s">
        <v>154</v>
      </c>
      <c r="E1033" s="323" t="s">
        <v>125</v>
      </c>
      <c r="F1033" s="53"/>
      <c r="G1033" s="53" t="s">
        <v>126</v>
      </c>
      <c r="H1033" s="357">
        <v>1004</v>
      </c>
      <c r="I1033" s="55">
        <v>29</v>
      </c>
      <c r="J1033" s="55"/>
      <c r="K1033" s="55">
        <v>5</v>
      </c>
      <c r="L1033" s="55">
        <v>1</v>
      </c>
      <c r="M1033" s="55">
        <v>11</v>
      </c>
      <c r="N1033" s="55"/>
      <c r="O1033" s="55"/>
      <c r="P1033" s="55">
        <v>4</v>
      </c>
      <c r="Q1033" s="55"/>
      <c r="R1033" s="55">
        <v>7</v>
      </c>
      <c r="S1033" s="55">
        <v>4</v>
      </c>
      <c r="T1033" s="55"/>
      <c r="U1033" s="55">
        <v>6</v>
      </c>
      <c r="V1033" s="55">
        <v>1</v>
      </c>
      <c r="W1033" s="55"/>
      <c r="X1033" s="55">
        <v>1</v>
      </c>
      <c r="Y1033" s="55"/>
      <c r="Z1033" s="55">
        <v>0</v>
      </c>
      <c r="AA1033" s="55">
        <v>31</v>
      </c>
      <c r="AB1033" s="57">
        <f>100/(SUM(I1033:Z1033))</f>
        <v>1.4492753623188406</v>
      </c>
      <c r="AC1033" s="259">
        <f>SUM(I1033:AA1033)</f>
        <v>100</v>
      </c>
      <c r="AD1033" s="55"/>
      <c r="AE1033" s="55"/>
      <c r="AF1033" s="55"/>
      <c r="AG1033" s="58" t="s">
        <v>155</v>
      </c>
      <c r="AH1033" s="59" t="s">
        <v>853</v>
      </c>
      <c r="AI1033" s="59"/>
      <c r="AJ1033" s="59"/>
      <c r="AK1033" s="53"/>
      <c r="AL1033" s="58">
        <f>(B1033-DATE(1970,1,1))*86400</f>
        <v>1633132800</v>
      </c>
      <c r="AM1033" s="58">
        <f>(C1033-DATE(1970,1,1))*86400</f>
        <v>1633305600</v>
      </c>
      <c r="AN1033" s="58">
        <f>AVERAGE(AL1033:AM1033)</f>
        <v>1633219200</v>
      </c>
    </row>
    <row r="1034" spans="1:40" ht="15.75" customHeight="1" x14ac:dyDescent="0.2">
      <c r="A1034" s="281" t="s">
        <v>133</v>
      </c>
      <c r="B1034" s="54">
        <v>44471</v>
      </c>
      <c r="C1034" s="54">
        <v>44473</v>
      </c>
      <c r="D1034" s="53" t="s">
        <v>154</v>
      </c>
      <c r="E1034" s="323" t="s">
        <v>125</v>
      </c>
      <c r="F1034" s="53" t="s">
        <v>390</v>
      </c>
      <c r="G1034" s="53" t="s">
        <v>126</v>
      </c>
      <c r="H1034" s="357">
        <v>1004</v>
      </c>
      <c r="I1034" s="55"/>
      <c r="J1034" s="55"/>
      <c r="K1034" s="55"/>
      <c r="L1034" s="55"/>
      <c r="M1034" s="55"/>
      <c r="N1034" s="55"/>
      <c r="O1034" s="55"/>
      <c r="P1034" s="55"/>
      <c r="Q1034" s="55"/>
      <c r="R1034" s="56"/>
      <c r="S1034" s="55"/>
      <c r="T1034" s="55"/>
      <c r="U1034" s="55"/>
      <c r="V1034" s="55"/>
      <c r="W1034" s="55"/>
      <c r="X1034" s="55"/>
      <c r="Y1034" s="55"/>
      <c r="Z1034" s="55"/>
      <c r="AA1034" s="55"/>
      <c r="AB1034" s="57" t="e">
        <f>100/(SUM(I1034:Z1034))</f>
        <v>#DIV/0!</v>
      </c>
      <c r="AC1034" s="259">
        <f>SUM(I1034:AA1034)</f>
        <v>0</v>
      </c>
      <c r="AD1034" s="55"/>
      <c r="AE1034" s="55"/>
      <c r="AF1034" s="55"/>
      <c r="AG1034" s="58" t="s">
        <v>155</v>
      </c>
      <c r="AH1034" s="59" t="s">
        <v>853</v>
      </c>
      <c r="AI1034" s="59"/>
      <c r="AJ1034" s="59"/>
      <c r="AK1034" s="53"/>
      <c r="AL1034" s="58">
        <f>(B1034-DATE(1970,1,1))*86400</f>
        <v>1633132800</v>
      </c>
      <c r="AM1034" s="58">
        <f>(C1034-DATE(1970,1,1))*86400</f>
        <v>1633305600</v>
      </c>
      <c r="AN1034" s="58">
        <f>AVERAGE(AL1034:AM1034)</f>
        <v>1633219200</v>
      </c>
    </row>
    <row r="1035" spans="1:40" ht="15.75" customHeight="1" x14ac:dyDescent="0.2">
      <c r="A1035" s="281" t="s">
        <v>123</v>
      </c>
      <c r="B1035" s="54">
        <v>44471</v>
      </c>
      <c r="C1035" s="54">
        <v>44473</v>
      </c>
      <c r="D1035" s="53" t="s">
        <v>154</v>
      </c>
      <c r="E1035" s="323" t="s">
        <v>125</v>
      </c>
      <c r="F1035" s="53"/>
      <c r="G1035" s="53" t="s">
        <v>126</v>
      </c>
      <c r="H1035" s="357">
        <v>1004</v>
      </c>
      <c r="I1035" s="55">
        <v>35</v>
      </c>
      <c r="J1035" s="55"/>
      <c r="K1035" s="55">
        <v>6</v>
      </c>
      <c r="L1035" s="55">
        <v>1</v>
      </c>
      <c r="M1035" s="55">
        <v>12</v>
      </c>
      <c r="N1035" s="55"/>
      <c r="O1035" s="55"/>
      <c r="P1035" s="55">
        <v>5</v>
      </c>
      <c r="Q1035" s="55"/>
      <c r="R1035" s="55">
        <v>8</v>
      </c>
      <c r="S1035" s="55">
        <v>4</v>
      </c>
      <c r="T1035" s="55"/>
      <c r="U1035" s="55">
        <v>8</v>
      </c>
      <c r="V1035" s="55">
        <v>0</v>
      </c>
      <c r="W1035" s="55"/>
      <c r="X1035" s="55">
        <v>1</v>
      </c>
      <c r="Y1035" s="55"/>
      <c r="Z1035" s="55">
        <v>1</v>
      </c>
      <c r="AA1035" s="55">
        <v>18</v>
      </c>
      <c r="AB1035" s="57">
        <f>100/(SUM(I1035:Z1035))</f>
        <v>1.2345679012345678</v>
      </c>
      <c r="AC1035" s="259">
        <f>SUM(I1035:AA1035)</f>
        <v>99</v>
      </c>
      <c r="AD1035" s="55"/>
      <c r="AE1035" s="55"/>
      <c r="AF1035" s="55"/>
      <c r="AG1035" s="58" t="s">
        <v>155</v>
      </c>
      <c r="AH1035" s="59" t="s">
        <v>853</v>
      </c>
      <c r="AI1035" s="59"/>
      <c r="AJ1035" s="59"/>
      <c r="AK1035" s="53"/>
      <c r="AL1035" s="58">
        <f>(B1035-DATE(1970,1,1))*86400</f>
        <v>1633132800</v>
      </c>
      <c r="AM1035" s="58">
        <f>(C1035-DATE(1970,1,1))*86400</f>
        <v>1633305600</v>
      </c>
      <c r="AN1035" s="58">
        <f>AVERAGE(AL1035:AM1035)</f>
        <v>1633219200</v>
      </c>
    </row>
    <row r="1036" spans="1:40" ht="15.75" customHeight="1" x14ac:dyDescent="0.2">
      <c r="A1036" s="281" t="s">
        <v>123</v>
      </c>
      <c r="B1036" s="54">
        <v>44471</v>
      </c>
      <c r="C1036" s="54">
        <v>44473</v>
      </c>
      <c r="D1036" s="53" t="s">
        <v>154</v>
      </c>
      <c r="E1036" s="323" t="s">
        <v>125</v>
      </c>
      <c r="F1036" s="53"/>
      <c r="G1036" s="53" t="s">
        <v>126</v>
      </c>
      <c r="H1036" s="357">
        <v>1004</v>
      </c>
      <c r="I1036" s="55">
        <v>44</v>
      </c>
      <c r="J1036" s="55"/>
      <c r="K1036" s="55">
        <v>7</v>
      </c>
      <c r="L1036" s="55">
        <v>1</v>
      </c>
      <c r="M1036" s="55">
        <v>14</v>
      </c>
      <c r="N1036" s="55"/>
      <c r="O1036" s="55"/>
      <c r="P1036" s="55">
        <v>6</v>
      </c>
      <c r="Q1036" s="55"/>
      <c r="R1036" s="55">
        <v>10</v>
      </c>
      <c r="S1036" s="55">
        <v>5</v>
      </c>
      <c r="T1036" s="55"/>
      <c r="U1036" s="55">
        <v>9</v>
      </c>
      <c r="V1036" s="55">
        <v>1</v>
      </c>
      <c r="W1036" s="55"/>
      <c r="X1036" s="55">
        <v>1</v>
      </c>
      <c r="Y1036" s="55"/>
      <c r="Z1036" s="55">
        <v>1</v>
      </c>
      <c r="AA1036" s="55">
        <v>0</v>
      </c>
      <c r="AB1036" s="57">
        <f>100/(SUM(I1036:Z1036))</f>
        <v>1.0101010101010102</v>
      </c>
      <c r="AC1036" s="259">
        <f>SUM(I1036:AA1036)</f>
        <v>99</v>
      </c>
      <c r="AD1036" s="55"/>
      <c r="AE1036" s="55"/>
      <c r="AF1036" s="55"/>
      <c r="AG1036" s="58" t="s">
        <v>155</v>
      </c>
      <c r="AH1036" s="59" t="s">
        <v>853</v>
      </c>
      <c r="AI1036" s="59"/>
      <c r="AJ1036" s="59"/>
      <c r="AK1036" s="53"/>
      <c r="AL1036" s="58">
        <f>(B1036-DATE(1970,1,1))*86400</f>
        <v>1633132800</v>
      </c>
      <c r="AM1036" s="58">
        <f>(C1036-DATE(1970,1,1))*86400</f>
        <v>1633305600</v>
      </c>
      <c r="AN1036" s="58">
        <f>AVERAGE(AL1036:AM1036)</f>
        <v>1633219200</v>
      </c>
    </row>
    <row r="1037" spans="1:40" ht="15.75" customHeight="1" x14ac:dyDescent="0.2">
      <c r="A1037" s="281" t="s">
        <v>123</v>
      </c>
      <c r="B1037" s="54">
        <v>44471</v>
      </c>
      <c r="C1037" s="54">
        <v>44473</v>
      </c>
      <c r="D1037" s="53" t="s">
        <v>154</v>
      </c>
      <c r="E1037" s="323" t="s">
        <v>125</v>
      </c>
      <c r="F1037" s="53" t="s">
        <v>390</v>
      </c>
      <c r="G1037" s="53" t="s">
        <v>126</v>
      </c>
      <c r="H1037" s="357">
        <v>1004</v>
      </c>
      <c r="I1037" s="55"/>
      <c r="J1037" s="55"/>
      <c r="K1037" s="55"/>
      <c r="L1037" s="55"/>
      <c r="M1037" s="55"/>
      <c r="N1037" s="55"/>
      <c r="O1037" s="55"/>
      <c r="P1037" s="55"/>
      <c r="Q1037" s="55"/>
      <c r="R1037" s="55"/>
      <c r="S1037" s="55"/>
      <c r="T1037" s="55"/>
      <c r="U1037" s="55"/>
      <c r="V1037" s="55"/>
      <c r="W1037" s="55"/>
      <c r="X1037" s="55"/>
      <c r="Y1037" s="55"/>
      <c r="Z1037" s="55"/>
      <c r="AA1037" s="55"/>
      <c r="AB1037" s="57" t="e">
        <f>100/(SUM(I1037:Z1037))</f>
        <v>#DIV/0!</v>
      </c>
      <c r="AC1037" s="259">
        <f>SUM(I1037:AA1037)</f>
        <v>0</v>
      </c>
      <c r="AD1037" s="55"/>
      <c r="AE1037" s="55"/>
      <c r="AF1037" s="55"/>
      <c r="AG1037" s="58" t="s">
        <v>155</v>
      </c>
      <c r="AH1037" s="59" t="s">
        <v>853</v>
      </c>
      <c r="AI1037" s="59"/>
      <c r="AJ1037" s="59"/>
      <c r="AK1037" s="53"/>
      <c r="AL1037" s="58">
        <f>(B1037-DATE(1970,1,1))*86400</f>
        <v>1633132800</v>
      </c>
      <c r="AM1037" s="58">
        <f>(C1037-DATE(1970,1,1))*86400</f>
        <v>1633305600</v>
      </c>
      <c r="AN1037" s="58">
        <f>AVERAGE(AL1037:AM1037)</f>
        <v>1633219200</v>
      </c>
    </row>
    <row r="1038" spans="1:40" ht="15.75" customHeight="1" x14ac:dyDescent="0.2">
      <c r="A1038" s="286" t="s">
        <v>133</v>
      </c>
      <c r="B1038" s="41">
        <v>44471</v>
      </c>
      <c r="C1038" s="41">
        <v>44473</v>
      </c>
      <c r="D1038" s="40" t="s">
        <v>148</v>
      </c>
      <c r="E1038" s="325" t="s">
        <v>125</v>
      </c>
      <c r="F1038" s="40" t="s">
        <v>140</v>
      </c>
      <c r="G1038" s="40" t="s">
        <v>126</v>
      </c>
      <c r="H1038" s="325">
        <v>1066</v>
      </c>
      <c r="I1038" s="42"/>
      <c r="J1038" s="42"/>
      <c r="K1038" s="42"/>
      <c r="L1038" s="42"/>
      <c r="M1038" s="42"/>
      <c r="N1038" s="42"/>
      <c r="O1038" s="42"/>
      <c r="P1038" s="42"/>
      <c r="Q1038" s="42"/>
      <c r="R1038" s="43"/>
      <c r="S1038" s="42"/>
      <c r="T1038" s="42"/>
      <c r="U1038" s="42"/>
      <c r="V1038" s="42"/>
      <c r="W1038" s="42"/>
      <c r="X1038" s="42"/>
      <c r="Y1038" s="42"/>
      <c r="Z1038" s="42"/>
      <c r="AA1038" s="42"/>
      <c r="AB1038" s="44" t="e">
        <f>100/(SUM(I1038:Z1038))</f>
        <v>#DIV/0!</v>
      </c>
      <c r="AC1038" s="259">
        <f>SUM(I1038:AA1038)</f>
        <v>0</v>
      </c>
      <c r="AD1038" s="42"/>
      <c r="AE1038" s="42"/>
      <c r="AF1038" s="42"/>
      <c r="AG1038" s="45" t="s">
        <v>854</v>
      </c>
      <c r="AH1038" s="42"/>
      <c r="AI1038" s="46"/>
      <c r="AJ1038" s="132" t="s">
        <v>855</v>
      </c>
      <c r="AK1038" s="40"/>
      <c r="AL1038" s="45">
        <f>(B1038-DATE(1970,1,1))*86400</f>
        <v>1633132800</v>
      </c>
      <c r="AM1038" s="45">
        <f>(C1038-DATE(1970,1,1))*86400</f>
        <v>1633305600</v>
      </c>
      <c r="AN1038" s="45">
        <f>AVERAGE(AL1038:AM1038)</f>
        <v>1633219200</v>
      </c>
    </row>
    <row r="1039" spans="1:40" ht="15.75" customHeight="1" x14ac:dyDescent="0.2">
      <c r="A1039" s="288" t="s">
        <v>133</v>
      </c>
      <c r="B1039" s="60">
        <v>44470</v>
      </c>
      <c r="C1039" s="60">
        <v>44473</v>
      </c>
      <c r="D1039" s="61" t="s">
        <v>168</v>
      </c>
      <c r="E1039" s="334" t="s">
        <v>125</v>
      </c>
      <c r="F1039" s="61"/>
      <c r="G1039" s="61" t="s">
        <v>126</v>
      </c>
      <c r="H1039" s="334">
        <v>1000</v>
      </c>
      <c r="I1039" s="63">
        <v>34</v>
      </c>
      <c r="J1039" s="63">
        <v>6</v>
      </c>
      <c r="K1039" s="63">
        <v>10</v>
      </c>
      <c r="L1039" s="63">
        <v>2</v>
      </c>
      <c r="M1039" s="63">
        <v>14</v>
      </c>
      <c r="N1039" s="63"/>
      <c r="O1039" s="63">
        <v>1</v>
      </c>
      <c r="P1039" s="63">
        <v>7</v>
      </c>
      <c r="Q1039" s="63"/>
      <c r="R1039" s="64"/>
      <c r="S1039" s="63"/>
      <c r="T1039" s="63"/>
      <c r="U1039" s="63"/>
      <c r="V1039" s="63">
        <v>2</v>
      </c>
      <c r="W1039" s="63"/>
      <c r="X1039" s="63">
        <v>1</v>
      </c>
      <c r="Y1039" s="63"/>
      <c r="Z1039" s="63">
        <v>1</v>
      </c>
      <c r="AA1039" s="63">
        <v>22</v>
      </c>
      <c r="AB1039" s="65">
        <f>100/(SUM(I1039:Z1039))</f>
        <v>1.2820512820512822</v>
      </c>
      <c r="AC1039" s="259">
        <f>SUM(I1039:AA1039)</f>
        <v>100</v>
      </c>
      <c r="AD1039" s="63"/>
      <c r="AE1039" s="63"/>
      <c r="AF1039" s="63"/>
      <c r="AG1039" s="66" t="s">
        <v>127</v>
      </c>
      <c r="AH1039" s="67" t="s">
        <v>856</v>
      </c>
      <c r="AI1039" s="67"/>
      <c r="AJ1039" s="67"/>
      <c r="AK1039" s="61"/>
      <c r="AL1039" s="66">
        <f>(B1039-DATE(1970,1,1))*86400</f>
        <v>1633046400</v>
      </c>
      <c r="AM1039" s="66">
        <f>(C1039-DATE(1970,1,1))*86400</f>
        <v>1633305600</v>
      </c>
      <c r="AN1039" s="66">
        <f>AVERAGE(AL1039:AM1039)</f>
        <v>1633176000</v>
      </c>
    </row>
    <row r="1040" spans="1:40" ht="15.75" customHeight="1" x14ac:dyDescent="0.2">
      <c r="A1040" s="288" t="s">
        <v>133</v>
      </c>
      <c r="B1040" s="60">
        <v>44470</v>
      </c>
      <c r="C1040" s="60">
        <v>44473</v>
      </c>
      <c r="D1040" s="61" t="s">
        <v>168</v>
      </c>
      <c r="E1040" s="334" t="s">
        <v>125</v>
      </c>
      <c r="F1040" s="61"/>
      <c r="G1040" s="61" t="s">
        <v>126</v>
      </c>
      <c r="H1040" s="334">
        <v>1000</v>
      </c>
      <c r="I1040" s="63">
        <v>44</v>
      </c>
      <c r="J1040" s="63">
        <v>8</v>
      </c>
      <c r="K1040" s="63">
        <v>13</v>
      </c>
      <c r="L1040" s="63">
        <v>2</v>
      </c>
      <c r="M1040" s="63">
        <v>18</v>
      </c>
      <c r="N1040" s="63"/>
      <c r="O1040" s="63">
        <v>2</v>
      </c>
      <c r="P1040" s="63">
        <v>9</v>
      </c>
      <c r="Q1040" s="63"/>
      <c r="R1040" s="64"/>
      <c r="S1040" s="63"/>
      <c r="T1040" s="63"/>
      <c r="U1040" s="63"/>
      <c r="V1040" s="63">
        <v>2</v>
      </c>
      <c r="W1040" s="63"/>
      <c r="X1040" s="63">
        <v>1</v>
      </c>
      <c r="Y1040" s="63"/>
      <c r="Z1040" s="63">
        <v>1</v>
      </c>
      <c r="AA1040" s="63">
        <v>0</v>
      </c>
      <c r="AB1040" s="65">
        <f>100/(SUM(I1040:Z1040))</f>
        <v>1</v>
      </c>
      <c r="AC1040" s="259">
        <f>SUM(I1040:AA1040)</f>
        <v>100</v>
      </c>
      <c r="AD1040" s="63"/>
      <c r="AE1040" s="63"/>
      <c r="AF1040" s="63"/>
      <c r="AG1040" s="66" t="s">
        <v>127</v>
      </c>
      <c r="AH1040" s="67" t="s">
        <v>856</v>
      </c>
      <c r="AI1040" s="67"/>
      <c r="AJ1040" s="67"/>
      <c r="AK1040" s="61"/>
      <c r="AL1040" s="66">
        <f>(B1040-DATE(1970,1,1))*86400</f>
        <v>1633046400</v>
      </c>
      <c r="AM1040" s="66">
        <f>(C1040-DATE(1970,1,1))*86400</f>
        <v>1633305600</v>
      </c>
      <c r="AN1040" s="66">
        <f>AVERAGE(AL1040:AM1040)</f>
        <v>1633176000</v>
      </c>
    </row>
    <row r="1041" spans="1:65" ht="15.75" customHeight="1" x14ac:dyDescent="0.2">
      <c r="A1041" s="285" t="s">
        <v>133</v>
      </c>
      <c r="B1041" s="34">
        <v>44468</v>
      </c>
      <c r="C1041" s="34">
        <v>44473</v>
      </c>
      <c r="D1041" s="33" t="s">
        <v>143</v>
      </c>
      <c r="E1041" s="319" t="s">
        <v>125</v>
      </c>
      <c r="F1041" s="33" t="s">
        <v>390</v>
      </c>
      <c r="G1041" s="33" t="s">
        <v>126</v>
      </c>
      <c r="H1041" s="353">
        <v>1000</v>
      </c>
      <c r="I1041" s="35">
        <v>37</v>
      </c>
      <c r="J1041" s="35"/>
      <c r="K1041" s="35"/>
      <c r="L1041" s="35"/>
      <c r="M1041" s="35"/>
      <c r="N1041" s="35"/>
      <c r="O1041" s="35"/>
      <c r="P1041" s="35"/>
      <c r="Q1041" s="35"/>
      <c r="R1041" s="36"/>
      <c r="S1041" s="35"/>
      <c r="T1041" s="35"/>
      <c r="U1041" s="35">
        <v>37</v>
      </c>
      <c r="V1041" s="35">
        <v>5</v>
      </c>
      <c r="W1041" s="35"/>
      <c r="X1041" s="35">
        <v>4</v>
      </c>
      <c r="Y1041" s="35"/>
      <c r="Z1041" s="35"/>
      <c r="AA1041" s="35">
        <v>17</v>
      </c>
      <c r="AB1041" s="37">
        <f>100/(SUM(I1041:Z1041))</f>
        <v>1.2048192771084338</v>
      </c>
      <c r="AC1041" s="259">
        <f>SUM(I1041:AA1041)</f>
        <v>100</v>
      </c>
      <c r="AD1041" s="35"/>
      <c r="AE1041" s="35"/>
      <c r="AF1041" s="35"/>
      <c r="AG1041" s="33" t="s">
        <v>144</v>
      </c>
      <c r="AH1041" s="33" t="s">
        <v>857</v>
      </c>
      <c r="AI1041" s="38" t="s">
        <v>858</v>
      </c>
      <c r="AJ1041" s="33"/>
      <c r="AK1041" s="33"/>
      <c r="AL1041" s="39">
        <f>(B1041-DATE(1970,1,1))*86400</f>
        <v>1632873600</v>
      </c>
      <c r="AM1041" s="39">
        <f>(C1041-DATE(1970,1,1))*86400</f>
        <v>1633305600</v>
      </c>
      <c r="AN1041" s="39">
        <f>AVERAGE(AL1041:AM1041)</f>
        <v>1633089600</v>
      </c>
    </row>
    <row r="1042" spans="1:65" ht="15.75" customHeight="1" x14ac:dyDescent="0.2">
      <c r="A1042" s="285" t="s">
        <v>133</v>
      </c>
      <c r="B1042" s="34">
        <v>44468</v>
      </c>
      <c r="C1042" s="34">
        <v>44473</v>
      </c>
      <c r="D1042" s="33" t="s">
        <v>143</v>
      </c>
      <c r="E1042" s="319" t="s">
        <v>125</v>
      </c>
      <c r="F1042" s="33"/>
      <c r="G1042" s="33" t="s">
        <v>126</v>
      </c>
      <c r="H1042" s="353">
        <v>1000</v>
      </c>
      <c r="I1042" s="35">
        <v>36</v>
      </c>
      <c r="J1042" s="35">
        <v>2</v>
      </c>
      <c r="K1042" s="35">
        <v>11</v>
      </c>
      <c r="L1042" s="35">
        <v>3</v>
      </c>
      <c r="M1042" s="35">
        <v>11</v>
      </c>
      <c r="N1042" s="35"/>
      <c r="O1042" s="35">
        <v>2</v>
      </c>
      <c r="P1042" s="35">
        <v>6</v>
      </c>
      <c r="Q1042" s="35"/>
      <c r="R1042" s="36"/>
      <c r="S1042" s="35">
        <v>2</v>
      </c>
      <c r="T1042" s="35"/>
      <c r="U1042" s="35"/>
      <c r="V1042" s="35">
        <v>6</v>
      </c>
      <c r="W1042" s="35"/>
      <c r="X1042" s="35">
        <v>4</v>
      </c>
      <c r="Y1042" s="35"/>
      <c r="Z1042" s="35">
        <v>1</v>
      </c>
      <c r="AA1042" s="35">
        <v>16</v>
      </c>
      <c r="AB1042" s="37">
        <f>100/(SUM(I1042:Z1042))</f>
        <v>1.1904761904761905</v>
      </c>
      <c r="AC1042" s="259">
        <f>SUM(I1042:AA1042)</f>
        <v>100</v>
      </c>
      <c r="AD1042" s="35"/>
      <c r="AE1042" s="35"/>
      <c r="AF1042" s="35"/>
      <c r="AG1042" s="33" t="s">
        <v>144</v>
      </c>
      <c r="AH1042" s="38" t="s">
        <v>857</v>
      </c>
      <c r="AI1042" s="38" t="s">
        <v>858</v>
      </c>
      <c r="AJ1042" s="33"/>
      <c r="AK1042" s="33" t="s">
        <v>1862</v>
      </c>
      <c r="AL1042" s="39">
        <f>(B1042-DATE(1970,1,1))*86400</f>
        <v>1632873600</v>
      </c>
      <c r="AM1042" s="39">
        <f>(C1042-DATE(1970,1,1))*86400</f>
        <v>1633305600</v>
      </c>
      <c r="AN1042" s="39">
        <f>AVERAGE(AL1042:AM1042)</f>
        <v>1633089600</v>
      </c>
    </row>
    <row r="1043" spans="1:65" ht="15.75" customHeight="1" x14ac:dyDescent="0.2">
      <c r="A1043" s="285" t="s">
        <v>133</v>
      </c>
      <c r="B1043" s="34">
        <v>44468</v>
      </c>
      <c r="C1043" s="34">
        <v>44473</v>
      </c>
      <c r="D1043" s="33" t="s">
        <v>143</v>
      </c>
      <c r="E1043" s="319" t="s">
        <v>125</v>
      </c>
      <c r="F1043" s="33" t="s">
        <v>390</v>
      </c>
      <c r="G1043" s="33" t="s">
        <v>126</v>
      </c>
      <c r="H1043" s="353">
        <v>1000</v>
      </c>
      <c r="I1043" s="35">
        <v>44</v>
      </c>
      <c r="J1043" s="35"/>
      <c r="K1043" s="35"/>
      <c r="L1043" s="35"/>
      <c r="M1043" s="35"/>
      <c r="N1043" s="35"/>
      <c r="O1043" s="35"/>
      <c r="P1043" s="35"/>
      <c r="Q1043" s="35"/>
      <c r="R1043" s="36"/>
      <c r="S1043" s="35"/>
      <c r="T1043" s="35"/>
      <c r="U1043" s="35">
        <v>45</v>
      </c>
      <c r="V1043" s="35">
        <v>6</v>
      </c>
      <c r="W1043" s="35"/>
      <c r="X1043" s="35">
        <v>5</v>
      </c>
      <c r="Y1043" s="35"/>
      <c r="Z1043" s="35"/>
      <c r="AA1043" s="35">
        <v>0</v>
      </c>
      <c r="AB1043" s="37">
        <f>100/(SUM(I1043:Z1043))</f>
        <v>1</v>
      </c>
      <c r="AC1043" s="259">
        <f>SUM(I1043:AA1043)</f>
        <v>100</v>
      </c>
      <c r="AD1043" s="35"/>
      <c r="AE1043" s="35"/>
      <c r="AF1043" s="35"/>
      <c r="AG1043" s="33" t="s">
        <v>144</v>
      </c>
      <c r="AH1043" s="33" t="s">
        <v>857</v>
      </c>
      <c r="AI1043" s="38" t="s">
        <v>858</v>
      </c>
      <c r="AJ1043" s="33"/>
      <c r="AK1043" s="33"/>
      <c r="AL1043" s="39">
        <f>(B1043-DATE(1970,1,1))*86400</f>
        <v>1632873600</v>
      </c>
      <c r="AM1043" s="39">
        <f>(C1043-DATE(1970,1,1))*86400</f>
        <v>1633305600</v>
      </c>
      <c r="AN1043" s="39">
        <f>AVERAGE(AL1043:AM1043)</f>
        <v>1633089600</v>
      </c>
    </row>
    <row r="1044" spans="1:65" ht="15.75" customHeight="1" x14ac:dyDescent="0.2">
      <c r="A1044" s="285" t="s">
        <v>133</v>
      </c>
      <c r="B1044" s="34">
        <v>44468</v>
      </c>
      <c r="C1044" s="34">
        <v>44473</v>
      </c>
      <c r="D1044" s="33" t="s">
        <v>143</v>
      </c>
      <c r="E1044" s="319" t="s">
        <v>125</v>
      </c>
      <c r="F1044" s="33"/>
      <c r="G1044" s="33" t="s">
        <v>126</v>
      </c>
      <c r="H1044" s="353">
        <v>1000</v>
      </c>
      <c r="I1044" s="35">
        <v>43</v>
      </c>
      <c r="J1044" s="35">
        <v>2</v>
      </c>
      <c r="K1044" s="35">
        <v>13</v>
      </c>
      <c r="L1044" s="35">
        <v>3</v>
      </c>
      <c r="M1044" s="35">
        <v>13</v>
      </c>
      <c r="N1044" s="35"/>
      <c r="O1044" s="35">
        <v>2</v>
      </c>
      <c r="P1044" s="35">
        <v>7</v>
      </c>
      <c r="Q1044" s="35"/>
      <c r="R1044" s="36"/>
      <c r="S1044" s="35">
        <v>2</v>
      </c>
      <c r="T1044" s="35"/>
      <c r="U1044" s="35"/>
      <c r="V1044" s="35">
        <v>8</v>
      </c>
      <c r="W1044" s="35"/>
      <c r="X1044" s="35">
        <v>5</v>
      </c>
      <c r="Y1044" s="35"/>
      <c r="Z1044" s="35">
        <v>1</v>
      </c>
      <c r="AA1044" s="35">
        <v>0</v>
      </c>
      <c r="AB1044" s="37">
        <f>100/(SUM(I1044:Z1044))</f>
        <v>1.0101010101010102</v>
      </c>
      <c r="AC1044" s="259">
        <f>SUM(I1044:AA1044)</f>
        <v>99</v>
      </c>
      <c r="AD1044" s="35"/>
      <c r="AE1044" s="35"/>
      <c r="AF1044" s="35"/>
      <c r="AG1044" s="33" t="s">
        <v>144</v>
      </c>
      <c r="AH1044" s="33" t="s">
        <v>857</v>
      </c>
      <c r="AI1044" s="38" t="s">
        <v>858</v>
      </c>
      <c r="AJ1044" s="33"/>
      <c r="AK1044" s="33" t="s">
        <v>1862</v>
      </c>
      <c r="AL1044" s="39">
        <f>(B1044-DATE(1970,1,1))*86400</f>
        <v>1632873600</v>
      </c>
      <c r="AM1044" s="39">
        <f>(C1044-DATE(1970,1,1))*86400</f>
        <v>1633305600</v>
      </c>
      <c r="AN1044" s="39">
        <f>AVERAGE(AL1044:AM1044)</f>
        <v>1633089600</v>
      </c>
    </row>
    <row r="1045" spans="1:65" ht="15.75" customHeight="1" x14ac:dyDescent="0.2">
      <c r="A1045" s="285" t="s">
        <v>123</v>
      </c>
      <c r="B1045" s="34">
        <v>44468</v>
      </c>
      <c r="C1045" s="34">
        <v>44473</v>
      </c>
      <c r="D1045" s="33" t="s">
        <v>143</v>
      </c>
      <c r="E1045" s="319" t="s">
        <v>125</v>
      </c>
      <c r="F1045" s="33" t="s">
        <v>390</v>
      </c>
      <c r="G1045" s="33" t="s">
        <v>126</v>
      </c>
      <c r="H1045" s="353">
        <v>1000</v>
      </c>
      <c r="I1045" s="35">
        <v>44</v>
      </c>
      <c r="J1045" s="35"/>
      <c r="K1045" s="35"/>
      <c r="L1045" s="35"/>
      <c r="M1045" s="35"/>
      <c r="N1045" s="35"/>
      <c r="O1045" s="35"/>
      <c r="P1045" s="35"/>
      <c r="Q1045" s="35"/>
      <c r="R1045" s="36"/>
      <c r="S1045" s="35"/>
      <c r="T1045" s="35"/>
      <c r="U1045" s="35">
        <v>47</v>
      </c>
      <c r="V1045" s="35">
        <v>5</v>
      </c>
      <c r="W1045" s="35"/>
      <c r="X1045" s="35">
        <v>4</v>
      </c>
      <c r="Y1045" s="35"/>
      <c r="Z1045" s="35"/>
      <c r="AA1045" s="35">
        <v>0</v>
      </c>
      <c r="AB1045" s="37">
        <f>100/(SUM(I1045:Z1045))</f>
        <v>1</v>
      </c>
      <c r="AC1045" s="259">
        <f>SUM(I1045:AA1045)</f>
        <v>100</v>
      </c>
      <c r="AD1045" s="35"/>
      <c r="AE1045" s="35"/>
      <c r="AF1045" s="35"/>
      <c r="AG1045" s="33" t="s">
        <v>144</v>
      </c>
      <c r="AH1045" s="33" t="s">
        <v>857</v>
      </c>
      <c r="AI1045" s="38" t="s">
        <v>858</v>
      </c>
      <c r="AJ1045" s="33"/>
      <c r="AK1045" s="33"/>
      <c r="AL1045" s="39">
        <f>(B1045-DATE(1970,1,1))*86400</f>
        <v>1632873600</v>
      </c>
      <c r="AM1045" s="39">
        <f>(C1045-DATE(1970,1,1))*86400</f>
        <v>1633305600</v>
      </c>
      <c r="AN1045" s="39">
        <f>AVERAGE(AL1045:AM1045)</f>
        <v>1633089600</v>
      </c>
    </row>
    <row r="1046" spans="1:65" ht="15.75" customHeight="1" x14ac:dyDescent="0.2">
      <c r="A1046" s="285" t="s">
        <v>123</v>
      </c>
      <c r="B1046" s="34">
        <v>44468</v>
      </c>
      <c r="C1046" s="34">
        <v>44473</v>
      </c>
      <c r="D1046" s="33" t="s">
        <v>143</v>
      </c>
      <c r="E1046" s="319" t="s">
        <v>125</v>
      </c>
      <c r="F1046" s="33"/>
      <c r="G1046" s="33" t="s">
        <v>126</v>
      </c>
      <c r="H1046" s="353">
        <v>1000</v>
      </c>
      <c r="I1046" s="35">
        <v>44</v>
      </c>
      <c r="J1046" s="35">
        <v>3</v>
      </c>
      <c r="K1046" s="35">
        <v>13</v>
      </c>
      <c r="L1046" s="35">
        <v>2</v>
      </c>
      <c r="M1046" s="35">
        <v>14</v>
      </c>
      <c r="N1046" s="35"/>
      <c r="O1046" s="35">
        <v>3</v>
      </c>
      <c r="P1046" s="35">
        <v>7</v>
      </c>
      <c r="Q1046" s="35"/>
      <c r="R1046" s="36"/>
      <c r="S1046" s="35">
        <v>2</v>
      </c>
      <c r="T1046" s="35"/>
      <c r="U1046" s="35"/>
      <c r="V1046" s="35">
        <v>7</v>
      </c>
      <c r="W1046" s="35"/>
      <c r="X1046" s="35">
        <v>4</v>
      </c>
      <c r="Y1046" s="35"/>
      <c r="Z1046" s="35">
        <v>1</v>
      </c>
      <c r="AA1046" s="35">
        <v>0</v>
      </c>
      <c r="AB1046" s="37">
        <f>100/(SUM(I1046:Z1046))</f>
        <v>1</v>
      </c>
      <c r="AC1046" s="259">
        <f>SUM(I1046:AA1046)</f>
        <v>100</v>
      </c>
      <c r="AD1046" s="35"/>
      <c r="AE1046" s="35"/>
      <c r="AF1046" s="35"/>
      <c r="AG1046" s="33" t="s">
        <v>144</v>
      </c>
      <c r="AH1046" s="33" t="s">
        <v>857</v>
      </c>
      <c r="AI1046" s="38" t="s">
        <v>858</v>
      </c>
      <c r="AJ1046" s="33"/>
      <c r="AK1046" s="33" t="s">
        <v>1862</v>
      </c>
      <c r="AL1046" s="39">
        <f>(B1046-DATE(1970,1,1))*86400</f>
        <v>1632873600</v>
      </c>
      <c r="AM1046" s="39">
        <f>(C1046-DATE(1970,1,1))*86400</f>
        <v>1633305600</v>
      </c>
      <c r="AN1046" s="39">
        <f>AVERAGE(AL1046:AM1046)</f>
        <v>1633089600</v>
      </c>
    </row>
    <row r="1047" spans="1:65" ht="15.75" customHeight="1" x14ac:dyDescent="0.2">
      <c r="A1047" s="279" t="s">
        <v>133</v>
      </c>
      <c r="B1047" s="14">
        <v>44466</v>
      </c>
      <c r="C1047" s="14">
        <v>44468</v>
      </c>
      <c r="D1047" s="13" t="s">
        <v>124</v>
      </c>
      <c r="E1047" s="324" t="s">
        <v>125</v>
      </c>
      <c r="F1047" s="13" t="s">
        <v>140</v>
      </c>
      <c r="G1047" s="13" t="s">
        <v>126</v>
      </c>
      <c r="H1047" s="372">
        <v>1000</v>
      </c>
      <c r="I1047" s="15"/>
      <c r="J1047" s="15"/>
      <c r="K1047" s="15"/>
      <c r="L1047" s="15"/>
      <c r="M1047" s="15"/>
      <c r="N1047" s="15"/>
      <c r="O1047" s="15"/>
      <c r="P1047" s="15"/>
      <c r="Q1047" s="15"/>
      <c r="R1047" s="15"/>
      <c r="S1047" s="15"/>
      <c r="T1047" s="15"/>
      <c r="U1047" s="15"/>
      <c r="V1047" s="15"/>
      <c r="W1047" s="15"/>
      <c r="X1047" s="15"/>
      <c r="Y1047" s="15"/>
      <c r="Z1047" s="15"/>
      <c r="AA1047" s="15"/>
      <c r="AB1047" s="16" t="e">
        <f>100/(SUM(I1047:Z1047))</f>
        <v>#DIV/0!</v>
      </c>
      <c r="AC1047" s="259">
        <f>SUM(I1047:AA1047)</f>
        <v>0</v>
      </c>
      <c r="AD1047" s="15"/>
      <c r="AE1047" s="15"/>
      <c r="AF1047" s="15"/>
      <c r="AG1047" s="17" t="s">
        <v>127</v>
      </c>
      <c r="AH1047" s="18" t="s">
        <v>824</v>
      </c>
      <c r="AI1047" s="18" t="s">
        <v>825</v>
      </c>
      <c r="AJ1047" s="18"/>
      <c r="AK1047" s="13" t="s">
        <v>788</v>
      </c>
      <c r="AL1047" s="17">
        <f>(B1047-DATE(1970,1,1))*86400</f>
        <v>1632700800</v>
      </c>
      <c r="AM1047" s="17">
        <f>(C1047-DATE(1970,1,1))*86400</f>
        <v>1632873600</v>
      </c>
      <c r="AN1047" s="17">
        <f>AVERAGE(AL1047:AM1047)</f>
        <v>1632787200</v>
      </c>
    </row>
    <row r="1048" spans="1:65" ht="15.75" customHeight="1" x14ac:dyDescent="0.2">
      <c r="A1048" s="279" t="s">
        <v>123</v>
      </c>
      <c r="B1048" s="14">
        <v>44466</v>
      </c>
      <c r="C1048" s="14">
        <v>44468</v>
      </c>
      <c r="D1048" s="13" t="s">
        <v>124</v>
      </c>
      <c r="E1048" s="324" t="s">
        <v>125</v>
      </c>
      <c r="F1048" s="13" t="s">
        <v>390</v>
      </c>
      <c r="G1048" s="13" t="s">
        <v>126</v>
      </c>
      <c r="H1048" s="372">
        <v>1000</v>
      </c>
      <c r="I1048" s="15">
        <v>54</v>
      </c>
      <c r="J1048" s="15"/>
      <c r="K1048" s="15"/>
      <c r="L1048" s="15"/>
      <c r="M1048" s="15"/>
      <c r="N1048" s="15"/>
      <c r="O1048" s="15"/>
      <c r="P1048" s="15"/>
      <c r="Q1048" s="15"/>
      <c r="R1048" s="15"/>
      <c r="S1048" s="15"/>
      <c r="T1048" s="15"/>
      <c r="U1048" s="15">
        <v>44</v>
      </c>
      <c r="V1048" s="15"/>
      <c r="W1048" s="15"/>
      <c r="X1048" s="15"/>
      <c r="Y1048" s="15"/>
      <c r="Z1048" s="15">
        <v>2</v>
      </c>
      <c r="AA1048" s="15">
        <v>0</v>
      </c>
      <c r="AB1048" s="16">
        <f>100/(SUM(I1048:Z1048))</f>
        <v>1</v>
      </c>
      <c r="AC1048" s="259">
        <f>SUM(I1048:AA1048)</f>
        <v>100</v>
      </c>
      <c r="AD1048" s="15"/>
      <c r="AE1048" s="15"/>
      <c r="AF1048" s="15"/>
      <c r="AG1048" s="17" t="s">
        <v>127</v>
      </c>
      <c r="AH1048" s="18" t="s">
        <v>1789</v>
      </c>
      <c r="AI1048" s="18" t="s">
        <v>825</v>
      </c>
      <c r="AJ1048" s="18"/>
      <c r="AK1048" s="13" t="s">
        <v>819</v>
      </c>
      <c r="AL1048" s="17">
        <f>(B1048-DATE(1970,1,1))*86400</f>
        <v>1632700800</v>
      </c>
      <c r="AM1048" s="17">
        <f>(C1048-DATE(1970,1,1))*86400</f>
        <v>1632873600</v>
      </c>
      <c r="AN1048" s="17">
        <f>AVERAGE(AL1048:AM1048)</f>
        <v>1632787200</v>
      </c>
    </row>
    <row r="1049" spans="1:65" ht="15.75" customHeight="1" x14ac:dyDescent="0.2">
      <c r="A1049" s="281" t="s">
        <v>133</v>
      </c>
      <c r="B1049" s="54">
        <v>44463</v>
      </c>
      <c r="C1049" s="54">
        <v>44464</v>
      </c>
      <c r="D1049" s="53" t="s">
        <v>154</v>
      </c>
      <c r="E1049" s="323" t="s">
        <v>125</v>
      </c>
      <c r="F1049" s="53" t="s">
        <v>140</v>
      </c>
      <c r="G1049" s="53" t="s">
        <v>126</v>
      </c>
      <c r="H1049" s="357">
        <v>1198</v>
      </c>
      <c r="I1049" s="55"/>
      <c r="J1049" s="55"/>
      <c r="K1049" s="55"/>
      <c r="L1049" s="55"/>
      <c r="M1049" s="55"/>
      <c r="N1049" s="55"/>
      <c r="O1049" s="55"/>
      <c r="P1049" s="55"/>
      <c r="Q1049" s="55"/>
      <c r="R1049" s="56"/>
      <c r="S1049" s="55"/>
      <c r="T1049" s="55"/>
      <c r="U1049" s="55"/>
      <c r="V1049" s="55"/>
      <c r="W1049" s="55"/>
      <c r="X1049" s="55"/>
      <c r="Y1049" s="55"/>
      <c r="Z1049" s="55"/>
      <c r="AA1049" s="55"/>
      <c r="AB1049" s="57" t="e">
        <f>100/(SUM(I1049:Z1049))</f>
        <v>#DIV/0!</v>
      </c>
      <c r="AC1049" s="259">
        <f>SUM(I1049:AA1049)</f>
        <v>0</v>
      </c>
      <c r="AD1049" s="55"/>
      <c r="AE1049" s="55"/>
      <c r="AF1049" s="55"/>
      <c r="AG1049" s="58" t="s">
        <v>155</v>
      </c>
      <c r="AH1049" s="59"/>
      <c r="AI1049" s="59"/>
      <c r="AJ1049" s="59"/>
      <c r="AK1049" s="53"/>
      <c r="AL1049" s="58">
        <f>(B1049-DATE(1970,1,1))*86400</f>
        <v>1632441600</v>
      </c>
      <c r="AM1049" s="58">
        <f>(C1049-DATE(1970,1,1))*86400</f>
        <v>1632528000</v>
      </c>
      <c r="AN1049" s="58">
        <f>AVERAGE(AL1049:AM1049)</f>
        <v>1632484800</v>
      </c>
    </row>
    <row r="1050" spans="1:65" ht="15.75" customHeight="1" x14ac:dyDescent="0.2">
      <c r="A1050" s="281" t="s">
        <v>133</v>
      </c>
      <c r="B1050" s="54">
        <v>44463</v>
      </c>
      <c r="C1050" s="54">
        <v>44464</v>
      </c>
      <c r="D1050" s="53" t="s">
        <v>154</v>
      </c>
      <c r="E1050" s="323" t="s">
        <v>125</v>
      </c>
      <c r="F1050" s="53" t="s">
        <v>140</v>
      </c>
      <c r="G1050" s="53" t="s">
        <v>126</v>
      </c>
      <c r="H1050" s="357">
        <v>1198</v>
      </c>
      <c r="I1050" s="55"/>
      <c r="J1050" s="55"/>
      <c r="K1050" s="55"/>
      <c r="L1050" s="55"/>
      <c r="M1050" s="55"/>
      <c r="N1050" s="55"/>
      <c r="O1050" s="55"/>
      <c r="P1050" s="55"/>
      <c r="Q1050" s="55"/>
      <c r="R1050" s="55"/>
      <c r="S1050" s="55"/>
      <c r="T1050" s="55"/>
      <c r="U1050" s="55"/>
      <c r="V1050" s="55"/>
      <c r="W1050" s="55"/>
      <c r="X1050" s="55"/>
      <c r="Y1050" s="55"/>
      <c r="Z1050" s="55"/>
      <c r="AA1050" s="55"/>
      <c r="AB1050" s="57" t="e">
        <f>100/(SUM(I1050:Z1050))</f>
        <v>#DIV/0!</v>
      </c>
      <c r="AC1050" s="259">
        <f>SUM(I1050:AA1050)</f>
        <v>0</v>
      </c>
      <c r="AD1050" s="55"/>
      <c r="AE1050" s="55"/>
      <c r="AF1050" s="55"/>
      <c r="AG1050" s="58" t="s">
        <v>155</v>
      </c>
      <c r="AH1050" s="59"/>
      <c r="AI1050" s="59"/>
      <c r="AJ1050" s="59"/>
      <c r="AK1050" s="53"/>
      <c r="AL1050" s="58">
        <f>(B1050-DATE(1970,1,1))*86400</f>
        <v>1632441600</v>
      </c>
      <c r="AM1050" s="58">
        <f>(C1050-DATE(1970,1,1))*86400</f>
        <v>1632528000</v>
      </c>
      <c r="AN1050" s="58">
        <f>AVERAGE(AL1050:AM1050)</f>
        <v>1632484800</v>
      </c>
    </row>
    <row r="1051" spans="1:65" ht="15.75" customHeight="1" x14ac:dyDescent="0.2">
      <c r="A1051" s="281" t="s">
        <v>123</v>
      </c>
      <c r="B1051" s="54">
        <v>44463</v>
      </c>
      <c r="C1051" s="54">
        <v>44464</v>
      </c>
      <c r="D1051" s="53" t="s">
        <v>154</v>
      </c>
      <c r="E1051" s="323" t="s">
        <v>125</v>
      </c>
      <c r="F1051" s="53" t="s">
        <v>140</v>
      </c>
      <c r="G1051" s="53" t="s">
        <v>126</v>
      </c>
      <c r="H1051" s="357">
        <v>1198</v>
      </c>
      <c r="I1051" s="55"/>
      <c r="J1051" s="55"/>
      <c r="K1051" s="55"/>
      <c r="L1051" s="55"/>
      <c r="M1051" s="55"/>
      <c r="N1051" s="55"/>
      <c r="O1051" s="55"/>
      <c r="P1051" s="55"/>
      <c r="Q1051" s="55"/>
      <c r="R1051" s="55"/>
      <c r="S1051" s="55"/>
      <c r="T1051" s="55"/>
      <c r="U1051" s="55"/>
      <c r="V1051" s="55"/>
      <c r="W1051" s="55"/>
      <c r="X1051" s="55"/>
      <c r="Y1051" s="55"/>
      <c r="Z1051" s="55"/>
      <c r="AA1051" s="55"/>
      <c r="AB1051" s="57" t="e">
        <f>100/(SUM(I1051:Z1051))</f>
        <v>#DIV/0!</v>
      </c>
      <c r="AC1051" s="259">
        <f>SUM(I1051:AA1051)</f>
        <v>0</v>
      </c>
      <c r="AD1051" s="55"/>
      <c r="AE1051" s="55"/>
      <c r="AF1051" s="55"/>
      <c r="AG1051" s="58" t="s">
        <v>155</v>
      </c>
      <c r="AH1051" s="59"/>
      <c r="AI1051" s="59"/>
      <c r="AJ1051" s="59"/>
      <c r="AK1051" s="53"/>
      <c r="AL1051" s="58">
        <f>(B1051-DATE(1970,1,1))*86400</f>
        <v>1632441600</v>
      </c>
      <c r="AM1051" s="58">
        <f>(C1051-DATE(1970,1,1))*86400</f>
        <v>1632528000</v>
      </c>
      <c r="AN1051" s="58">
        <f>AVERAGE(AL1051:AM1051)</f>
        <v>1632484800</v>
      </c>
    </row>
    <row r="1052" spans="1:65" ht="15.75" customHeight="1" x14ac:dyDescent="0.2">
      <c r="A1052" s="281" t="s">
        <v>123</v>
      </c>
      <c r="B1052" s="54">
        <v>44463</v>
      </c>
      <c r="C1052" s="54">
        <v>44464</v>
      </c>
      <c r="D1052" s="53" t="s">
        <v>154</v>
      </c>
      <c r="E1052" s="323" t="s">
        <v>125</v>
      </c>
      <c r="F1052" s="53" t="s">
        <v>140</v>
      </c>
      <c r="G1052" s="53" t="s">
        <v>126</v>
      </c>
      <c r="H1052" s="357">
        <v>1198</v>
      </c>
      <c r="I1052" s="55"/>
      <c r="J1052" s="55"/>
      <c r="K1052" s="55"/>
      <c r="L1052" s="55"/>
      <c r="M1052" s="55"/>
      <c r="N1052" s="55"/>
      <c r="O1052" s="55"/>
      <c r="P1052" s="55"/>
      <c r="Q1052" s="55"/>
      <c r="R1052" s="55"/>
      <c r="S1052" s="55"/>
      <c r="T1052" s="55"/>
      <c r="U1052" s="55"/>
      <c r="V1052" s="55"/>
      <c r="W1052" s="55"/>
      <c r="X1052" s="55"/>
      <c r="Y1052" s="55"/>
      <c r="Z1052" s="55"/>
      <c r="AA1052" s="55"/>
      <c r="AB1052" s="57" t="e">
        <f>100/(SUM(I1052:Z1052))</f>
        <v>#DIV/0!</v>
      </c>
      <c r="AC1052" s="259">
        <f>SUM(I1052:AA1052)</f>
        <v>0</v>
      </c>
      <c r="AD1052" s="55"/>
      <c r="AE1052" s="55"/>
      <c r="AF1052" s="55"/>
      <c r="AG1052" s="58" t="s">
        <v>155</v>
      </c>
      <c r="AH1052" s="59"/>
      <c r="AI1052" s="59"/>
      <c r="AJ1052" s="59" t="s">
        <v>859</v>
      </c>
      <c r="AK1052" s="53"/>
      <c r="AL1052" s="58">
        <f>(B1052-DATE(1970,1,1))*86400</f>
        <v>1632441600</v>
      </c>
      <c r="AM1052" s="58">
        <f>(C1052-DATE(1970,1,1))*86400</f>
        <v>1632528000</v>
      </c>
      <c r="AN1052" s="58">
        <f>AVERAGE(AL1052:AM1052)</f>
        <v>1632484800</v>
      </c>
    </row>
    <row r="1053" spans="1:65" ht="15.75" customHeight="1" x14ac:dyDescent="0.2">
      <c r="A1053" s="305" t="s">
        <v>133</v>
      </c>
      <c r="B1053" s="90">
        <v>44440</v>
      </c>
      <c r="C1053" s="90">
        <v>44481</v>
      </c>
      <c r="D1053" s="47" t="s">
        <v>152</v>
      </c>
      <c r="E1053" s="337" t="s">
        <v>184</v>
      </c>
      <c r="F1053" s="47" t="s">
        <v>140</v>
      </c>
      <c r="G1053" s="47"/>
      <c r="H1053" s="337"/>
      <c r="I1053" s="49">
        <v>45</v>
      </c>
      <c r="J1053" s="49"/>
      <c r="K1053" s="49"/>
      <c r="L1053" s="49"/>
      <c r="M1053" s="49"/>
      <c r="N1053" s="49"/>
      <c r="O1053" s="49"/>
      <c r="P1053" s="49"/>
      <c r="Q1053" s="49"/>
      <c r="R1053" s="49"/>
      <c r="S1053" s="49"/>
      <c r="T1053" s="49"/>
      <c r="U1053" s="49">
        <v>37</v>
      </c>
      <c r="V1053" s="49"/>
      <c r="W1053" s="49"/>
      <c r="X1053" s="49"/>
      <c r="Y1053" s="49"/>
      <c r="Z1053" s="49"/>
      <c r="AA1053" s="49"/>
      <c r="AB1053" s="50">
        <f>100/(SUM(I1053:Z1053))</f>
        <v>1.2195121951219512</v>
      </c>
      <c r="AC1053" s="259">
        <f>SUM(I1053:AA1053)</f>
        <v>82</v>
      </c>
      <c r="AD1053" s="49"/>
      <c r="AE1053" s="49"/>
      <c r="AF1053" s="49"/>
      <c r="AG1053" s="133"/>
      <c r="AH1053" s="52" t="s">
        <v>860</v>
      </c>
      <c r="AI1053" s="52"/>
      <c r="AJ1053" s="52"/>
      <c r="AK1053" s="47" t="s">
        <v>861</v>
      </c>
      <c r="AL1053" s="51">
        <f>(B1053-DATE(1970,1,1))*86400</f>
        <v>1630454400</v>
      </c>
      <c r="AM1053" s="51">
        <f>(C1053-DATE(1970,1,1))*86400</f>
        <v>1633996800</v>
      </c>
      <c r="AN1053" s="51">
        <f>AVERAGE(AL1053:AM1053)</f>
        <v>1632225600</v>
      </c>
    </row>
    <row r="1054" spans="1:65" ht="15.75" customHeight="1" x14ac:dyDescent="0.2">
      <c r="A1054" s="279" t="s">
        <v>133</v>
      </c>
      <c r="B1054" s="14">
        <v>44459</v>
      </c>
      <c r="C1054" s="14">
        <v>44460</v>
      </c>
      <c r="D1054" s="13" t="s">
        <v>124</v>
      </c>
      <c r="E1054" s="324" t="s">
        <v>125</v>
      </c>
      <c r="F1054" s="13" t="s">
        <v>140</v>
      </c>
      <c r="G1054" s="13" t="s">
        <v>126</v>
      </c>
      <c r="H1054" s="372">
        <v>1000</v>
      </c>
      <c r="I1054" s="15"/>
      <c r="J1054" s="15"/>
      <c r="K1054" s="15"/>
      <c r="L1054" s="15"/>
      <c r="M1054" s="15"/>
      <c r="N1054" s="15"/>
      <c r="O1054" s="15"/>
      <c r="P1054" s="15"/>
      <c r="Q1054" s="15"/>
      <c r="R1054" s="15"/>
      <c r="S1054" s="15"/>
      <c r="T1054" s="15"/>
      <c r="U1054" s="15"/>
      <c r="V1054" s="15"/>
      <c r="W1054" s="15"/>
      <c r="X1054" s="15"/>
      <c r="Y1054" s="15"/>
      <c r="Z1054" s="15"/>
      <c r="AA1054" s="15"/>
      <c r="AB1054" s="16" t="e">
        <f>100/(SUM(I1054:Z1054))</f>
        <v>#DIV/0!</v>
      </c>
      <c r="AC1054" s="259">
        <f>SUM(I1054:AA1054)</f>
        <v>0</v>
      </c>
      <c r="AD1054" s="15"/>
      <c r="AE1054" s="15"/>
      <c r="AF1054" s="15"/>
      <c r="AG1054" s="17" t="s">
        <v>127</v>
      </c>
      <c r="AH1054" s="18" t="s">
        <v>862</v>
      </c>
      <c r="AI1054" s="18" t="s">
        <v>863</v>
      </c>
      <c r="AJ1054" s="18" t="s">
        <v>864</v>
      </c>
      <c r="AK1054" s="13" t="s">
        <v>788</v>
      </c>
      <c r="AL1054" s="17">
        <f>(B1054-DATE(1970,1,1))*86400</f>
        <v>1632096000</v>
      </c>
      <c r="AM1054" s="17">
        <f>(C1054-DATE(1970,1,1))*86400</f>
        <v>1632182400</v>
      </c>
      <c r="AN1054" s="17">
        <f>AVERAGE(AL1054:AM1054)</f>
        <v>1632139200</v>
      </c>
    </row>
    <row r="1055" spans="1:65" ht="15.75" customHeight="1" x14ac:dyDescent="0.2">
      <c r="A1055" s="279" t="s">
        <v>123</v>
      </c>
      <c r="B1055" s="14">
        <v>44459</v>
      </c>
      <c r="C1055" s="14">
        <v>44460</v>
      </c>
      <c r="D1055" s="13" t="s">
        <v>124</v>
      </c>
      <c r="E1055" s="324" t="s">
        <v>125</v>
      </c>
      <c r="F1055" s="13" t="s">
        <v>390</v>
      </c>
      <c r="G1055" s="13" t="s">
        <v>126</v>
      </c>
      <c r="H1055" s="372">
        <v>1000</v>
      </c>
      <c r="I1055" s="15">
        <v>53</v>
      </c>
      <c r="J1055" s="15"/>
      <c r="K1055" s="15"/>
      <c r="L1055" s="15"/>
      <c r="M1055" s="15"/>
      <c r="N1055" s="15"/>
      <c r="O1055" s="15"/>
      <c r="P1055" s="15"/>
      <c r="Q1055" s="15"/>
      <c r="R1055" s="15"/>
      <c r="S1055" s="15"/>
      <c r="T1055" s="15"/>
      <c r="U1055" s="15">
        <v>45</v>
      </c>
      <c r="V1055" s="15"/>
      <c r="W1055" s="15"/>
      <c r="X1055" s="15"/>
      <c r="Y1055" s="15"/>
      <c r="Z1055" s="15">
        <v>2</v>
      </c>
      <c r="AA1055" s="15">
        <v>0</v>
      </c>
      <c r="AB1055" s="16">
        <f>100/(SUM(I1055:Z1055))</f>
        <v>1</v>
      </c>
      <c r="AC1055" s="259">
        <f>SUM(I1055:AA1055)</f>
        <v>100</v>
      </c>
      <c r="AD1055" s="15"/>
      <c r="AE1055" s="15"/>
      <c r="AF1055" s="15"/>
      <c r="AG1055" s="17" t="s">
        <v>127</v>
      </c>
      <c r="AH1055" s="18" t="s">
        <v>1788</v>
      </c>
      <c r="AI1055" s="18" t="s">
        <v>863</v>
      </c>
      <c r="AJ1055" s="18" t="s">
        <v>864</v>
      </c>
      <c r="AK1055" s="13" t="s">
        <v>788</v>
      </c>
      <c r="AL1055" s="17">
        <f>(B1055-DATE(1970,1,1))*86400</f>
        <v>1632096000</v>
      </c>
      <c r="AM1055" s="17">
        <f>(C1055-DATE(1970,1,1))*86400</f>
        <v>1632182400</v>
      </c>
      <c r="AN1055" s="17">
        <f>AVERAGE(AL1055:AM1055)</f>
        <v>1632139200</v>
      </c>
    </row>
    <row r="1056" spans="1:65" ht="15.75" customHeight="1" x14ac:dyDescent="0.2">
      <c r="A1056" s="286" t="s">
        <v>133</v>
      </c>
      <c r="B1056" s="41">
        <v>44452</v>
      </c>
      <c r="C1056" s="41">
        <v>44459</v>
      </c>
      <c r="D1056" s="40" t="s">
        <v>148</v>
      </c>
      <c r="E1056" s="325" t="s">
        <v>125</v>
      </c>
      <c r="F1056" s="40"/>
      <c r="G1056" s="40" t="s">
        <v>149</v>
      </c>
      <c r="H1056" s="325">
        <v>1000</v>
      </c>
      <c r="I1056" s="42">
        <v>34.9</v>
      </c>
      <c r="J1056" s="42">
        <v>5.0999999999999996</v>
      </c>
      <c r="K1056" s="42">
        <v>12.3</v>
      </c>
      <c r="L1056" s="42">
        <v>2.2999999999999998</v>
      </c>
      <c r="M1056" s="42">
        <v>11</v>
      </c>
      <c r="N1056" s="42"/>
      <c r="O1056" s="42">
        <v>1.2</v>
      </c>
      <c r="P1056" s="42">
        <v>4.3</v>
      </c>
      <c r="Q1056" s="42"/>
      <c r="R1056" s="43"/>
      <c r="S1056" s="42"/>
      <c r="T1056" s="42"/>
      <c r="U1056" s="42"/>
      <c r="V1056" s="42">
        <v>1.3</v>
      </c>
      <c r="W1056" s="42"/>
      <c r="X1056" s="42">
        <v>0.9</v>
      </c>
      <c r="Y1056" s="42"/>
      <c r="Z1056" s="42">
        <v>0.7</v>
      </c>
      <c r="AA1056" s="42">
        <v>26</v>
      </c>
      <c r="AB1056" s="44">
        <f>100/(SUM(I1056:Z1056))</f>
        <v>1.3513513513513513</v>
      </c>
      <c r="AC1056" s="259">
        <f>SUM(I1056:AA1056)</f>
        <v>100</v>
      </c>
      <c r="AD1056" s="42"/>
      <c r="AE1056" s="42"/>
      <c r="AF1056" s="42"/>
      <c r="AG1056" s="45" t="s">
        <v>127</v>
      </c>
      <c r="AH1056" s="42" t="s">
        <v>532</v>
      </c>
      <c r="AI1056" s="46" t="s">
        <v>865</v>
      </c>
      <c r="AJ1056" s="46" t="s">
        <v>866</v>
      </c>
      <c r="AK1056" s="40"/>
      <c r="AL1056" s="45">
        <f>(B1056-DATE(1970,1,1))*86400</f>
        <v>1631491200</v>
      </c>
      <c r="AM1056" s="45">
        <f>(C1056-DATE(1970,1,1))*86400</f>
        <v>1632096000</v>
      </c>
      <c r="AN1056" s="45">
        <f>AVERAGE(AL1056:AM1056)</f>
        <v>1631793600</v>
      </c>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row>
    <row r="1057" spans="1:65" ht="15.75" customHeight="1" x14ac:dyDescent="0.2">
      <c r="A1057" s="286" t="s">
        <v>133</v>
      </c>
      <c r="B1057" s="41">
        <v>44452</v>
      </c>
      <c r="C1057" s="41">
        <v>44459</v>
      </c>
      <c r="D1057" s="40" t="s">
        <v>148</v>
      </c>
      <c r="E1057" s="325" t="s">
        <v>125</v>
      </c>
      <c r="F1057" s="40" t="s">
        <v>390</v>
      </c>
      <c r="G1057" s="40" t="s">
        <v>149</v>
      </c>
      <c r="H1057" s="325">
        <v>1000</v>
      </c>
      <c r="I1057" s="42">
        <v>37</v>
      </c>
      <c r="J1057" s="42"/>
      <c r="K1057" s="42"/>
      <c r="L1057" s="42"/>
      <c r="M1057" s="42"/>
      <c r="N1057" s="42"/>
      <c r="O1057" s="42"/>
      <c r="P1057" s="42"/>
      <c r="Q1057" s="42"/>
      <c r="R1057" s="43"/>
      <c r="S1057" s="42"/>
      <c r="T1057" s="42"/>
      <c r="U1057" s="42">
        <v>38.1</v>
      </c>
      <c r="V1057" s="42"/>
      <c r="W1057" s="42"/>
      <c r="X1057" s="42"/>
      <c r="Y1057" s="42"/>
      <c r="Z1057" s="42">
        <v>2.4</v>
      </c>
      <c r="AA1057" s="42">
        <v>22.5</v>
      </c>
      <c r="AB1057" s="44">
        <f>100/(SUM(I1057:Z1057))</f>
        <v>1.2903225806451613</v>
      </c>
      <c r="AC1057" s="259">
        <f>SUM(I1057:AA1057)</f>
        <v>100</v>
      </c>
      <c r="AD1057" s="42"/>
      <c r="AE1057" s="42"/>
      <c r="AF1057" s="42"/>
      <c r="AG1057" s="45" t="s">
        <v>127</v>
      </c>
      <c r="AH1057" s="42" t="s">
        <v>532</v>
      </c>
      <c r="AI1057" s="46" t="s">
        <v>865</v>
      </c>
      <c r="AJ1057" s="132" t="s">
        <v>866</v>
      </c>
      <c r="AK1057" s="40"/>
      <c r="AL1057" s="45">
        <f>(B1057-DATE(1970,1,1))*86400</f>
        <v>1631491200</v>
      </c>
      <c r="AM1057" s="45">
        <f>(C1057-DATE(1970,1,1))*86400</f>
        <v>1632096000</v>
      </c>
      <c r="AN1057" s="45">
        <f>AVERAGE(AL1057:AM1057)</f>
        <v>1631793600</v>
      </c>
    </row>
    <row r="1058" spans="1:65" ht="15.75" customHeight="1" x14ac:dyDescent="0.2">
      <c r="A1058" s="286" t="s">
        <v>123</v>
      </c>
      <c r="B1058" s="41">
        <v>44452</v>
      </c>
      <c r="C1058" s="41">
        <v>44459</v>
      </c>
      <c r="D1058" s="40" t="s">
        <v>148</v>
      </c>
      <c r="E1058" s="325" t="s">
        <v>125</v>
      </c>
      <c r="F1058" s="40" t="s">
        <v>390</v>
      </c>
      <c r="G1058" s="40" t="s">
        <v>149</v>
      </c>
      <c r="H1058" s="325">
        <v>1000</v>
      </c>
      <c r="I1058" s="42">
        <v>48.7</v>
      </c>
      <c r="J1058" s="42"/>
      <c r="K1058" s="42"/>
      <c r="L1058" s="42"/>
      <c r="M1058" s="42"/>
      <c r="N1058" s="42"/>
      <c r="O1058" s="42"/>
      <c r="P1058" s="42"/>
      <c r="Q1058" s="42"/>
      <c r="R1058" s="43"/>
      <c r="S1058" s="42"/>
      <c r="T1058" s="42"/>
      <c r="U1058" s="42">
        <v>49.2</v>
      </c>
      <c r="V1058" s="42"/>
      <c r="W1058" s="42"/>
      <c r="X1058" s="42"/>
      <c r="Y1058" s="42"/>
      <c r="Z1058" s="42">
        <v>2.1</v>
      </c>
      <c r="AA1058" s="42">
        <v>0</v>
      </c>
      <c r="AB1058" s="44">
        <f>100/(SUM(I1058:Z1058))</f>
        <v>1</v>
      </c>
      <c r="AC1058" s="259">
        <f>SUM(I1058:AA1058)</f>
        <v>100</v>
      </c>
      <c r="AD1058" s="42"/>
      <c r="AE1058" s="42"/>
      <c r="AF1058" s="42"/>
      <c r="AG1058" s="45" t="s">
        <v>127</v>
      </c>
      <c r="AH1058" s="42" t="s">
        <v>532</v>
      </c>
      <c r="AI1058" s="46" t="s">
        <v>865</v>
      </c>
      <c r="AJ1058" s="132" t="s">
        <v>866</v>
      </c>
      <c r="AK1058" s="40"/>
      <c r="AL1058" s="45">
        <f>(B1058-DATE(1970,1,1))*86400</f>
        <v>1631491200</v>
      </c>
      <c r="AM1058" s="45">
        <f>(C1058-DATE(1970,1,1))*86400</f>
        <v>1632096000</v>
      </c>
      <c r="AN1058" s="45">
        <f>AVERAGE(AL1058:AM1058)</f>
        <v>1631793600</v>
      </c>
    </row>
    <row r="1059" spans="1:65" ht="15.75" customHeight="1" x14ac:dyDescent="0.2">
      <c r="A1059" s="286" t="s">
        <v>123</v>
      </c>
      <c r="B1059" s="41">
        <v>44452</v>
      </c>
      <c r="C1059" s="41">
        <v>44459</v>
      </c>
      <c r="D1059" s="40" t="s">
        <v>148</v>
      </c>
      <c r="E1059" s="325" t="s">
        <v>125</v>
      </c>
      <c r="F1059" s="40"/>
      <c r="G1059" s="40" t="s">
        <v>149</v>
      </c>
      <c r="H1059" s="325">
        <v>1000</v>
      </c>
      <c r="I1059" s="42">
        <v>47.9</v>
      </c>
      <c r="J1059" s="42">
        <v>7</v>
      </c>
      <c r="K1059" s="42">
        <v>15.2</v>
      </c>
      <c r="L1059" s="42">
        <v>2.7</v>
      </c>
      <c r="M1059" s="42">
        <v>17.899999999999999</v>
      </c>
      <c r="N1059" s="42"/>
      <c r="O1059" s="42">
        <v>1.9</v>
      </c>
      <c r="P1059" s="42">
        <v>5.4</v>
      </c>
      <c r="Q1059" s="42"/>
      <c r="R1059" s="43"/>
      <c r="S1059" s="42"/>
      <c r="T1059" s="42"/>
      <c r="U1059" s="42"/>
      <c r="V1059" s="42">
        <v>0.6</v>
      </c>
      <c r="W1059" s="42"/>
      <c r="X1059" s="42">
        <v>0.7</v>
      </c>
      <c r="Y1059" s="42"/>
      <c r="Z1059" s="42">
        <v>0.7</v>
      </c>
      <c r="AA1059" s="42">
        <v>0</v>
      </c>
      <c r="AB1059" s="44">
        <f>100/(SUM(I1059:Z1059))</f>
        <v>1</v>
      </c>
      <c r="AC1059" s="259">
        <f>SUM(I1059:AA1059)</f>
        <v>100</v>
      </c>
      <c r="AD1059" s="42"/>
      <c r="AE1059" s="42"/>
      <c r="AF1059" s="42"/>
      <c r="AG1059" s="45" t="s">
        <v>127</v>
      </c>
      <c r="AH1059" s="42" t="s">
        <v>532</v>
      </c>
      <c r="AI1059" s="46" t="s">
        <v>865</v>
      </c>
      <c r="AJ1059" s="46" t="s">
        <v>866</v>
      </c>
      <c r="AK1059" s="40"/>
      <c r="AL1059" s="45">
        <f>(B1059-DATE(1970,1,1))*86400</f>
        <v>1631491200</v>
      </c>
      <c r="AM1059" s="45">
        <f>(C1059-DATE(1970,1,1))*86400</f>
        <v>1632096000</v>
      </c>
      <c r="AN1059" s="45">
        <f>AVERAGE(AL1059:AM1059)</f>
        <v>1631793600</v>
      </c>
    </row>
    <row r="1060" spans="1:65" ht="15.75" customHeight="1" x14ac:dyDescent="0.2">
      <c r="A1060" s="302" t="s">
        <v>133</v>
      </c>
      <c r="B1060" s="122">
        <v>44449</v>
      </c>
      <c r="C1060" s="122">
        <v>44457</v>
      </c>
      <c r="D1060" s="121" t="s">
        <v>718</v>
      </c>
      <c r="E1060" s="322" t="s">
        <v>184</v>
      </c>
      <c r="F1060" s="121"/>
      <c r="G1060" s="121" t="s">
        <v>126</v>
      </c>
      <c r="H1060" s="369">
        <v>1000</v>
      </c>
      <c r="I1060" s="123">
        <v>45</v>
      </c>
      <c r="J1060" s="123">
        <v>2</v>
      </c>
      <c r="K1060" s="123">
        <v>5</v>
      </c>
      <c r="L1060" s="123">
        <v>1</v>
      </c>
      <c r="M1060" s="123">
        <v>13</v>
      </c>
      <c r="N1060" s="123"/>
      <c r="O1060" s="123"/>
      <c r="P1060" s="123">
        <v>4</v>
      </c>
      <c r="Q1060" s="123"/>
      <c r="R1060" s="124"/>
      <c r="S1060" s="123"/>
      <c r="T1060" s="123"/>
      <c r="U1060" s="123"/>
      <c r="V1060" s="123">
        <v>2</v>
      </c>
      <c r="W1060" s="123"/>
      <c r="X1060" s="123">
        <v>1</v>
      </c>
      <c r="Y1060" s="123"/>
      <c r="Z1060" s="123">
        <v>0</v>
      </c>
      <c r="AA1060" s="123">
        <v>27</v>
      </c>
      <c r="AB1060" s="125">
        <f>100/(SUM(I1060:Z1060))</f>
        <v>1.3698630136986301</v>
      </c>
      <c r="AC1060" s="259">
        <f>SUM(I1060:AA1060)</f>
        <v>100</v>
      </c>
      <c r="AD1060" s="123">
        <v>59</v>
      </c>
      <c r="AE1060" s="123"/>
      <c r="AF1060" s="123"/>
      <c r="AG1060" s="126" t="s">
        <v>719</v>
      </c>
      <c r="AH1060" s="253" t="s">
        <v>2021</v>
      </c>
      <c r="AI1060" s="253" t="s">
        <v>1990</v>
      </c>
      <c r="AJ1060" s="253" t="s">
        <v>1996</v>
      </c>
      <c r="AK1060" s="121" t="s">
        <v>1994</v>
      </c>
      <c r="AL1060" s="126">
        <f>(B1060-DATE(1970,1,1))*86400</f>
        <v>1631232000</v>
      </c>
      <c r="AM1060" s="126">
        <f>(C1060-DATE(1970,1,1))*86400</f>
        <v>1631923200</v>
      </c>
      <c r="AN1060" s="126">
        <f>AVERAGE(AL1060:AM1060)</f>
        <v>1631577600</v>
      </c>
    </row>
    <row r="1061" spans="1:65" ht="15.75" customHeight="1" x14ac:dyDescent="0.2">
      <c r="A1061" s="302" t="s">
        <v>133</v>
      </c>
      <c r="B1061" s="122">
        <v>44449</v>
      </c>
      <c r="C1061" s="122">
        <v>44457</v>
      </c>
      <c r="D1061" s="121" t="s">
        <v>718</v>
      </c>
      <c r="E1061" s="322" t="s">
        <v>184</v>
      </c>
      <c r="F1061" s="121" t="s">
        <v>2049</v>
      </c>
      <c r="G1061" s="121" t="s">
        <v>126</v>
      </c>
      <c r="H1061" s="369">
        <v>1000</v>
      </c>
      <c r="I1061" s="123">
        <v>44</v>
      </c>
      <c r="J1061" s="123"/>
      <c r="K1061" s="123"/>
      <c r="L1061" s="123"/>
      <c r="M1061" s="123"/>
      <c r="N1061" s="123"/>
      <c r="O1061" s="123"/>
      <c r="P1061" s="123"/>
      <c r="Q1061" s="123"/>
      <c r="R1061" s="124"/>
      <c r="S1061" s="123"/>
      <c r="T1061" s="123"/>
      <c r="U1061" s="123">
        <v>41</v>
      </c>
      <c r="V1061" s="123"/>
      <c r="W1061" s="123"/>
      <c r="X1061" s="123"/>
      <c r="Y1061" s="123"/>
      <c r="Z1061" s="123"/>
      <c r="AA1061" s="123">
        <v>15</v>
      </c>
      <c r="AB1061" s="125">
        <f>100/(SUM(I1061:Z1061))</f>
        <v>1.1764705882352942</v>
      </c>
      <c r="AC1061" s="259">
        <f>SUM(I1061:AA1061)</f>
        <v>100</v>
      </c>
      <c r="AD1061" s="123"/>
      <c r="AE1061" s="123"/>
      <c r="AF1061" s="123"/>
      <c r="AG1061" s="126" t="s">
        <v>719</v>
      </c>
      <c r="AH1061" s="253" t="s">
        <v>2021</v>
      </c>
      <c r="AI1061" s="253" t="s">
        <v>1990</v>
      </c>
      <c r="AJ1061" s="253" t="s">
        <v>1996</v>
      </c>
      <c r="AK1061" s="121" t="s">
        <v>1995</v>
      </c>
      <c r="AL1061" s="126">
        <f>(B1061-DATE(1970,1,1))*86400</f>
        <v>1631232000</v>
      </c>
      <c r="AM1061" s="126">
        <f>(C1061-DATE(1970,1,1))*86400</f>
        <v>1631923200</v>
      </c>
      <c r="AN1061" s="126">
        <f>AVERAGE(AL1061:AM1061)</f>
        <v>1631577600</v>
      </c>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row>
    <row r="1062" spans="1:65" ht="15.75" customHeight="1" x14ac:dyDescent="0.2">
      <c r="A1062" s="284" t="s">
        <v>133</v>
      </c>
      <c r="B1062" s="20">
        <v>44439</v>
      </c>
      <c r="C1062" s="20">
        <v>44446</v>
      </c>
      <c r="D1062" s="19" t="s">
        <v>134</v>
      </c>
      <c r="E1062" s="332" t="s">
        <v>125</v>
      </c>
      <c r="F1062" s="19"/>
      <c r="G1062" s="19" t="s">
        <v>135</v>
      </c>
      <c r="H1062" s="332">
        <v>2000</v>
      </c>
      <c r="I1062" s="21">
        <v>34</v>
      </c>
      <c r="J1062" s="21">
        <v>5</v>
      </c>
      <c r="K1062" s="21">
        <v>9</v>
      </c>
      <c r="L1062" s="21">
        <v>2</v>
      </c>
      <c r="M1062" s="21">
        <v>11</v>
      </c>
      <c r="N1062" s="21"/>
      <c r="O1062" s="21">
        <v>2</v>
      </c>
      <c r="P1062" s="21">
        <v>5</v>
      </c>
      <c r="Q1062" s="21"/>
      <c r="R1062" s="22"/>
      <c r="S1062" s="21"/>
      <c r="T1062" s="21"/>
      <c r="U1062" s="21"/>
      <c r="V1062" s="21">
        <v>3</v>
      </c>
      <c r="W1062" s="21"/>
      <c r="X1062" s="21">
        <v>3</v>
      </c>
      <c r="Y1062" s="21"/>
      <c r="Z1062" s="21">
        <v>0</v>
      </c>
      <c r="AA1062" s="21">
        <v>26</v>
      </c>
      <c r="AB1062" s="23">
        <f>100/(SUM(I1062:Z1062))</f>
        <v>1.3513513513513513</v>
      </c>
      <c r="AC1062" s="259">
        <f>SUM(I1062:AA1062)</f>
        <v>100</v>
      </c>
      <c r="AD1062" s="24"/>
      <c r="AE1062" s="24"/>
      <c r="AF1062" s="24"/>
      <c r="AG1062" s="25" t="s">
        <v>127</v>
      </c>
      <c r="AH1062" s="26" t="s">
        <v>867</v>
      </c>
      <c r="AI1062" s="83" t="s">
        <v>868</v>
      </c>
      <c r="AJ1062" s="83"/>
      <c r="AK1062" s="19"/>
      <c r="AL1062" s="25">
        <f>(B1062-DATE(1970,1,1))*86400</f>
        <v>1630368000</v>
      </c>
      <c r="AM1062" s="25">
        <f>(C1062-DATE(1970,1,1))*86400</f>
        <v>1630972800</v>
      </c>
      <c r="AN1062" s="25">
        <f>AVERAGE(AL1062:AM1062)</f>
        <v>1630670400</v>
      </c>
    </row>
    <row r="1063" spans="1:65" ht="15.75" customHeight="1" x14ac:dyDescent="0.2">
      <c r="A1063" s="284" t="s">
        <v>133</v>
      </c>
      <c r="B1063" s="20">
        <v>44439</v>
      </c>
      <c r="C1063" s="20">
        <v>44446</v>
      </c>
      <c r="D1063" s="19" t="s">
        <v>134</v>
      </c>
      <c r="E1063" s="332" t="s">
        <v>125</v>
      </c>
      <c r="F1063" s="19" t="s">
        <v>390</v>
      </c>
      <c r="G1063" s="19" t="s">
        <v>135</v>
      </c>
      <c r="H1063" s="332">
        <v>2000</v>
      </c>
      <c r="I1063" s="21">
        <v>38</v>
      </c>
      <c r="J1063" s="21"/>
      <c r="K1063" s="21"/>
      <c r="L1063" s="21"/>
      <c r="M1063" s="21"/>
      <c r="N1063" s="21"/>
      <c r="O1063" s="21"/>
      <c r="P1063" s="21"/>
      <c r="Q1063" s="21"/>
      <c r="R1063" s="22"/>
      <c r="S1063" s="21"/>
      <c r="T1063" s="21"/>
      <c r="U1063" s="21">
        <v>39</v>
      </c>
      <c r="V1063" s="21">
        <v>2</v>
      </c>
      <c r="W1063" s="21"/>
      <c r="X1063" s="21">
        <v>3</v>
      </c>
      <c r="Y1063" s="21"/>
      <c r="Z1063" s="21">
        <v>1</v>
      </c>
      <c r="AA1063" s="21">
        <v>17</v>
      </c>
      <c r="AB1063" s="23">
        <f>100/(SUM(I1063:Z1063))</f>
        <v>1.2048192771084338</v>
      </c>
      <c r="AC1063" s="259">
        <f>SUM(I1063:AA1063)</f>
        <v>100</v>
      </c>
      <c r="AD1063" s="24"/>
      <c r="AE1063" s="24"/>
      <c r="AF1063" s="24"/>
      <c r="AG1063" s="25" t="s">
        <v>127</v>
      </c>
      <c r="AH1063" s="26" t="s">
        <v>867</v>
      </c>
      <c r="AI1063" s="83" t="s">
        <v>868</v>
      </c>
      <c r="AJ1063" s="83"/>
      <c r="AK1063" s="19"/>
      <c r="AL1063" s="25">
        <f>(B1063-DATE(1970,1,1))*86400</f>
        <v>1630368000</v>
      </c>
      <c r="AM1063" s="25">
        <f>(C1063-DATE(1970,1,1))*86400</f>
        <v>1630972800</v>
      </c>
      <c r="AN1063" s="25">
        <f>AVERAGE(AL1063:AM1063)</f>
        <v>1630670400</v>
      </c>
    </row>
    <row r="1064" spans="1:65" ht="15.75" customHeight="1" x14ac:dyDescent="0.2">
      <c r="A1064" s="284" t="s">
        <v>123</v>
      </c>
      <c r="B1064" s="20">
        <v>44439</v>
      </c>
      <c r="C1064" s="20">
        <v>44446</v>
      </c>
      <c r="D1064" s="19" t="s">
        <v>134</v>
      </c>
      <c r="E1064" s="332" t="s">
        <v>125</v>
      </c>
      <c r="F1064" s="19" t="s">
        <v>390</v>
      </c>
      <c r="G1064" s="19" t="s">
        <v>135</v>
      </c>
      <c r="H1064" s="332">
        <v>2000</v>
      </c>
      <c r="I1064" s="21">
        <v>49</v>
      </c>
      <c r="J1064" s="21"/>
      <c r="K1064" s="21"/>
      <c r="L1064" s="21"/>
      <c r="M1064" s="21"/>
      <c r="N1064" s="21"/>
      <c r="O1064" s="21"/>
      <c r="P1064" s="21"/>
      <c r="Q1064" s="21"/>
      <c r="R1064" s="22"/>
      <c r="S1064" s="21"/>
      <c r="T1064" s="21"/>
      <c r="U1064" s="21">
        <v>45</v>
      </c>
      <c r="V1064" s="21">
        <v>3</v>
      </c>
      <c r="W1064" s="21"/>
      <c r="X1064" s="21">
        <v>3</v>
      </c>
      <c r="Y1064" s="21"/>
      <c r="Z1064" s="21">
        <v>0</v>
      </c>
      <c r="AA1064" s="21">
        <v>0</v>
      </c>
      <c r="AB1064" s="23">
        <f>100/(SUM(I1064:Z1064))</f>
        <v>1</v>
      </c>
      <c r="AC1064" s="259">
        <f>SUM(I1064:AA1064)</f>
        <v>100</v>
      </c>
      <c r="AD1064" s="24"/>
      <c r="AE1064" s="24"/>
      <c r="AF1064" s="24"/>
      <c r="AG1064" s="25" t="s">
        <v>127</v>
      </c>
      <c r="AH1064" s="26" t="s">
        <v>867</v>
      </c>
      <c r="AI1064" s="83" t="s">
        <v>868</v>
      </c>
      <c r="AJ1064" s="83"/>
      <c r="AK1064" s="19"/>
      <c r="AL1064" s="25">
        <f>(B1064-DATE(1970,1,1))*86400</f>
        <v>1630368000</v>
      </c>
      <c r="AM1064" s="25">
        <f>(C1064-DATE(1970,1,1))*86400</f>
        <v>1630972800</v>
      </c>
      <c r="AN1064" s="25">
        <f>AVERAGE(AL1064:AM1064)</f>
        <v>1630670400</v>
      </c>
    </row>
    <row r="1065" spans="1:65" ht="15.75" customHeight="1" x14ac:dyDescent="0.2">
      <c r="A1065" s="284" t="s">
        <v>123</v>
      </c>
      <c r="B1065" s="20">
        <v>44439</v>
      </c>
      <c r="C1065" s="20">
        <v>44446</v>
      </c>
      <c r="D1065" s="19" t="s">
        <v>134</v>
      </c>
      <c r="E1065" s="332" t="s">
        <v>125</v>
      </c>
      <c r="F1065" s="19"/>
      <c r="G1065" s="19" t="s">
        <v>135</v>
      </c>
      <c r="H1065" s="332">
        <v>2000</v>
      </c>
      <c r="I1065" s="21">
        <v>48</v>
      </c>
      <c r="J1065" s="21">
        <v>5</v>
      </c>
      <c r="K1065" s="21">
        <v>13</v>
      </c>
      <c r="L1065" s="21">
        <v>2</v>
      </c>
      <c r="M1065" s="21">
        <v>16</v>
      </c>
      <c r="N1065" s="21"/>
      <c r="O1065" s="21">
        <v>2</v>
      </c>
      <c r="P1065" s="21">
        <v>7</v>
      </c>
      <c r="Q1065" s="21"/>
      <c r="R1065" s="22"/>
      <c r="S1065" s="21"/>
      <c r="T1065" s="21"/>
      <c r="U1065" s="21"/>
      <c r="V1065" s="21">
        <v>3</v>
      </c>
      <c r="W1065" s="21"/>
      <c r="X1065" s="21">
        <v>3</v>
      </c>
      <c r="Y1065" s="21"/>
      <c r="Z1065" s="21">
        <v>1</v>
      </c>
      <c r="AA1065" s="21">
        <v>0</v>
      </c>
      <c r="AB1065" s="23">
        <f>100/(SUM(I1065:Z1065))</f>
        <v>1</v>
      </c>
      <c r="AC1065" s="259">
        <f>SUM(I1065:AA1065)</f>
        <v>100</v>
      </c>
      <c r="AD1065" s="24"/>
      <c r="AE1065" s="24"/>
      <c r="AF1065" s="24"/>
      <c r="AG1065" s="25" t="s">
        <v>127</v>
      </c>
      <c r="AH1065" s="26" t="s">
        <v>867</v>
      </c>
      <c r="AI1065" s="83" t="s">
        <v>868</v>
      </c>
      <c r="AJ1065" s="83"/>
      <c r="AK1065" s="19"/>
      <c r="AL1065" s="25">
        <f>(B1065-DATE(1970,1,1))*86400</f>
        <v>1630368000</v>
      </c>
      <c r="AM1065" s="25">
        <f>(C1065-DATE(1970,1,1))*86400</f>
        <v>1630972800</v>
      </c>
      <c r="AN1065" s="25">
        <f>AVERAGE(AL1065:AM1065)</f>
        <v>1630670400</v>
      </c>
    </row>
    <row r="1066" spans="1:65" ht="15.75" customHeight="1" x14ac:dyDescent="0.2">
      <c r="A1066" s="281" t="s">
        <v>133</v>
      </c>
      <c r="B1066" s="54">
        <v>44433</v>
      </c>
      <c r="C1066" s="54">
        <v>44438</v>
      </c>
      <c r="D1066" s="53" t="s">
        <v>154</v>
      </c>
      <c r="E1066" s="323" t="s">
        <v>125</v>
      </c>
      <c r="F1066" s="53" t="s">
        <v>140</v>
      </c>
      <c r="G1066" s="53" t="s">
        <v>126</v>
      </c>
      <c r="H1066" s="357">
        <v>1009</v>
      </c>
      <c r="I1066" s="55"/>
      <c r="J1066" s="55"/>
      <c r="K1066" s="55"/>
      <c r="L1066" s="55"/>
      <c r="M1066" s="55"/>
      <c r="N1066" s="55"/>
      <c r="O1066" s="55"/>
      <c r="P1066" s="55"/>
      <c r="Q1066" s="55"/>
      <c r="R1066" s="56"/>
      <c r="S1066" s="55"/>
      <c r="T1066" s="55"/>
      <c r="U1066" s="55"/>
      <c r="V1066" s="55"/>
      <c r="W1066" s="55"/>
      <c r="X1066" s="55"/>
      <c r="Y1066" s="55"/>
      <c r="Z1066" s="55"/>
      <c r="AA1066" s="55"/>
      <c r="AB1066" s="57" t="e">
        <f>100/(SUM(I1066:Z1066))</f>
        <v>#DIV/0!</v>
      </c>
      <c r="AC1066" s="259">
        <f>SUM(I1066:AA1066)</f>
        <v>0</v>
      </c>
      <c r="AD1066" s="55"/>
      <c r="AE1066" s="55"/>
      <c r="AF1066" s="55"/>
      <c r="AG1066" s="58" t="s">
        <v>155</v>
      </c>
      <c r="AH1066" s="59"/>
      <c r="AI1066" s="59"/>
      <c r="AJ1066" s="59"/>
      <c r="AK1066" s="53"/>
      <c r="AL1066" s="58">
        <f>(B1066-DATE(1970,1,1))*86400</f>
        <v>1629849600</v>
      </c>
      <c r="AM1066" s="58">
        <f>(C1066-DATE(1970,1,1))*86400</f>
        <v>1630281600</v>
      </c>
      <c r="AN1066" s="58">
        <f>AVERAGE(AL1066:AM1066)</f>
        <v>1630065600</v>
      </c>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row>
    <row r="1067" spans="1:65" ht="15.75" customHeight="1" x14ac:dyDescent="0.2">
      <c r="A1067" s="281" t="s">
        <v>133</v>
      </c>
      <c r="B1067" s="54">
        <v>44433</v>
      </c>
      <c r="C1067" s="54">
        <v>44438</v>
      </c>
      <c r="D1067" s="53" t="s">
        <v>154</v>
      </c>
      <c r="E1067" s="323" t="s">
        <v>125</v>
      </c>
      <c r="F1067" s="53" t="s">
        <v>140</v>
      </c>
      <c r="G1067" s="53" t="s">
        <v>126</v>
      </c>
      <c r="H1067" s="357">
        <v>1009</v>
      </c>
      <c r="I1067" s="55"/>
      <c r="J1067" s="55"/>
      <c r="K1067" s="55"/>
      <c r="L1067" s="55"/>
      <c r="M1067" s="55"/>
      <c r="N1067" s="55"/>
      <c r="O1067" s="55"/>
      <c r="P1067" s="55"/>
      <c r="Q1067" s="55"/>
      <c r="R1067" s="55"/>
      <c r="S1067" s="55"/>
      <c r="T1067" s="55"/>
      <c r="U1067" s="55"/>
      <c r="V1067" s="55"/>
      <c r="W1067" s="55"/>
      <c r="X1067" s="55"/>
      <c r="Y1067" s="55"/>
      <c r="Z1067" s="55"/>
      <c r="AA1067" s="55"/>
      <c r="AB1067" s="57" t="e">
        <f>100/(SUM(I1067:Z1067))</f>
        <v>#DIV/0!</v>
      </c>
      <c r="AC1067" s="259">
        <f>SUM(I1067:AA1067)</f>
        <v>0</v>
      </c>
      <c r="AD1067" s="55"/>
      <c r="AE1067" s="55"/>
      <c r="AF1067" s="55"/>
      <c r="AG1067" s="58" t="s">
        <v>155</v>
      </c>
      <c r="AH1067" s="59"/>
      <c r="AI1067" s="59"/>
      <c r="AJ1067" s="59"/>
      <c r="AK1067" s="53"/>
      <c r="AL1067" s="58">
        <f>(B1067-DATE(1970,1,1))*86400</f>
        <v>1629849600</v>
      </c>
      <c r="AM1067" s="58">
        <f>(C1067-DATE(1970,1,1))*86400</f>
        <v>1630281600</v>
      </c>
      <c r="AN1067" s="58">
        <f>AVERAGE(AL1067:AM1067)</f>
        <v>1630065600</v>
      </c>
    </row>
    <row r="1068" spans="1:65" ht="15.75" customHeight="1" x14ac:dyDescent="0.2">
      <c r="A1068" s="281" t="s">
        <v>123</v>
      </c>
      <c r="B1068" s="54">
        <v>44433</v>
      </c>
      <c r="C1068" s="54">
        <v>44438</v>
      </c>
      <c r="D1068" s="53" t="s">
        <v>154</v>
      </c>
      <c r="E1068" s="323" t="s">
        <v>125</v>
      </c>
      <c r="F1068" s="53" t="s">
        <v>140</v>
      </c>
      <c r="G1068" s="53" t="s">
        <v>126</v>
      </c>
      <c r="H1068" s="357">
        <v>1009</v>
      </c>
      <c r="I1068" s="55"/>
      <c r="J1068" s="55"/>
      <c r="K1068" s="55"/>
      <c r="L1068" s="55"/>
      <c r="M1068" s="55"/>
      <c r="N1068" s="55"/>
      <c r="O1068" s="55"/>
      <c r="P1068" s="55"/>
      <c r="Q1068" s="55"/>
      <c r="R1068" s="55"/>
      <c r="S1068" s="55"/>
      <c r="T1068" s="55"/>
      <c r="U1068" s="55"/>
      <c r="V1068" s="55"/>
      <c r="W1068" s="55"/>
      <c r="X1068" s="55"/>
      <c r="Y1068" s="55"/>
      <c r="Z1068" s="55"/>
      <c r="AA1068" s="55"/>
      <c r="AB1068" s="57" t="e">
        <f>100/(SUM(I1068:Z1068))</f>
        <v>#DIV/0!</v>
      </c>
      <c r="AC1068" s="259">
        <f>SUM(I1068:AA1068)</f>
        <v>0</v>
      </c>
      <c r="AD1068" s="55"/>
      <c r="AE1068" s="55"/>
      <c r="AF1068" s="55"/>
      <c r="AG1068" s="58" t="s">
        <v>155</v>
      </c>
      <c r="AH1068" s="59"/>
      <c r="AI1068" s="59"/>
      <c r="AJ1068" s="59"/>
      <c r="AK1068" s="53"/>
      <c r="AL1068" s="58">
        <f>(B1068-DATE(1970,1,1))*86400</f>
        <v>1629849600</v>
      </c>
      <c r="AM1068" s="58">
        <f>(C1068-DATE(1970,1,1))*86400</f>
        <v>1630281600</v>
      </c>
      <c r="AN1068" s="58">
        <f>AVERAGE(AL1068:AM1068)</f>
        <v>1630065600</v>
      </c>
    </row>
    <row r="1069" spans="1:65" ht="15.75" customHeight="1" x14ac:dyDescent="0.2">
      <c r="A1069" s="281" t="s">
        <v>123</v>
      </c>
      <c r="B1069" s="54">
        <v>44433</v>
      </c>
      <c r="C1069" s="54">
        <v>44438</v>
      </c>
      <c r="D1069" s="53" t="s">
        <v>154</v>
      </c>
      <c r="E1069" s="323" t="s">
        <v>125</v>
      </c>
      <c r="F1069" s="53" t="s">
        <v>140</v>
      </c>
      <c r="G1069" s="53" t="s">
        <v>126</v>
      </c>
      <c r="H1069" s="357">
        <v>1009</v>
      </c>
      <c r="I1069" s="55"/>
      <c r="J1069" s="55"/>
      <c r="K1069" s="55"/>
      <c r="L1069" s="55"/>
      <c r="M1069" s="55"/>
      <c r="N1069" s="55"/>
      <c r="O1069" s="55"/>
      <c r="P1069" s="55"/>
      <c r="Q1069" s="55"/>
      <c r="R1069" s="55"/>
      <c r="S1069" s="55"/>
      <c r="T1069" s="55"/>
      <c r="U1069" s="55"/>
      <c r="V1069" s="55"/>
      <c r="W1069" s="55"/>
      <c r="X1069" s="55"/>
      <c r="Y1069" s="55"/>
      <c r="Z1069" s="55"/>
      <c r="AA1069" s="55"/>
      <c r="AB1069" s="57" t="e">
        <f>100/(SUM(I1069:Z1069))</f>
        <v>#DIV/0!</v>
      </c>
      <c r="AC1069" s="259">
        <f>SUM(I1069:AA1069)</f>
        <v>0</v>
      </c>
      <c r="AD1069" s="55"/>
      <c r="AE1069" s="55"/>
      <c r="AF1069" s="55"/>
      <c r="AG1069" s="58" t="s">
        <v>155</v>
      </c>
      <c r="AH1069" s="59"/>
      <c r="AI1069" s="59" t="s">
        <v>869</v>
      </c>
      <c r="AJ1069" s="59" t="s">
        <v>870</v>
      </c>
      <c r="AK1069" s="53"/>
      <c r="AL1069" s="58">
        <f>(B1069-DATE(1970,1,1))*86400</f>
        <v>1629849600</v>
      </c>
      <c r="AM1069" s="58">
        <f>(C1069-DATE(1970,1,1))*86400</f>
        <v>1630281600</v>
      </c>
      <c r="AN1069" s="58">
        <f>AVERAGE(AL1069:AM1069)</f>
        <v>1630065600</v>
      </c>
    </row>
    <row r="1070" spans="1:65" ht="15.75" customHeight="1" x14ac:dyDescent="0.2">
      <c r="A1070" s="288" t="s">
        <v>133</v>
      </c>
      <c r="B1070" s="60">
        <v>44431</v>
      </c>
      <c r="C1070" s="60">
        <v>44434</v>
      </c>
      <c r="D1070" s="61" t="s">
        <v>168</v>
      </c>
      <c r="E1070" s="334" t="s">
        <v>125</v>
      </c>
      <c r="F1070" s="61"/>
      <c r="G1070" s="61" t="s">
        <v>126</v>
      </c>
      <c r="H1070" s="334">
        <v>1000</v>
      </c>
      <c r="I1070" s="63">
        <v>34</v>
      </c>
      <c r="J1070" s="63">
        <v>5</v>
      </c>
      <c r="K1070" s="63">
        <v>12</v>
      </c>
      <c r="L1070" s="63">
        <v>2</v>
      </c>
      <c r="M1070" s="63">
        <v>13</v>
      </c>
      <c r="N1070" s="63"/>
      <c r="O1070" s="63">
        <v>1</v>
      </c>
      <c r="P1070" s="63">
        <v>6</v>
      </c>
      <c r="Q1070" s="63"/>
      <c r="R1070" s="64"/>
      <c r="S1070" s="63"/>
      <c r="T1070" s="63"/>
      <c r="U1070" s="63"/>
      <c r="V1070" s="63">
        <v>1</v>
      </c>
      <c r="W1070" s="63"/>
      <c r="X1070" s="63">
        <v>1</v>
      </c>
      <c r="Y1070" s="63"/>
      <c r="Z1070" s="63">
        <v>1</v>
      </c>
      <c r="AA1070" s="63">
        <v>24</v>
      </c>
      <c r="AB1070" s="65">
        <f>100/(SUM(I1070:Z1070))</f>
        <v>1.3157894736842106</v>
      </c>
      <c r="AC1070" s="259">
        <f>SUM(I1070:AA1070)</f>
        <v>100</v>
      </c>
      <c r="AD1070" s="63"/>
      <c r="AE1070" s="63"/>
      <c r="AF1070" s="63"/>
      <c r="AG1070" s="66" t="s">
        <v>127</v>
      </c>
      <c r="AH1070" s="67" t="s">
        <v>871</v>
      </c>
      <c r="AI1070" s="67"/>
      <c r="AJ1070" s="67"/>
      <c r="AK1070" s="61"/>
      <c r="AL1070" s="66">
        <f>(B1070-DATE(1970,1,1))*86400</f>
        <v>1629676800</v>
      </c>
      <c r="AM1070" s="66">
        <f>(C1070-DATE(1970,1,1))*86400</f>
        <v>1629936000</v>
      </c>
      <c r="AN1070" s="66">
        <f>AVERAGE(AL1070:AM1070)</f>
        <v>1629806400</v>
      </c>
    </row>
    <row r="1071" spans="1:65" ht="15.75" customHeight="1" x14ac:dyDescent="0.2">
      <c r="A1071" s="288" t="s">
        <v>133</v>
      </c>
      <c r="B1071" s="60">
        <v>44431</v>
      </c>
      <c r="C1071" s="60">
        <v>44434</v>
      </c>
      <c r="D1071" s="61" t="s">
        <v>168</v>
      </c>
      <c r="E1071" s="334" t="s">
        <v>125</v>
      </c>
      <c r="F1071" s="61"/>
      <c r="G1071" s="61" t="s">
        <v>126</v>
      </c>
      <c r="H1071" s="334">
        <v>1000</v>
      </c>
      <c r="I1071" s="63">
        <v>45</v>
      </c>
      <c r="J1071" s="63">
        <v>7</v>
      </c>
      <c r="K1071" s="63">
        <v>15</v>
      </c>
      <c r="L1071" s="63">
        <v>3</v>
      </c>
      <c r="M1071" s="63">
        <v>17</v>
      </c>
      <c r="N1071" s="63"/>
      <c r="O1071" s="63">
        <v>2</v>
      </c>
      <c r="P1071" s="63">
        <v>8</v>
      </c>
      <c r="Q1071" s="63"/>
      <c r="R1071" s="64"/>
      <c r="S1071" s="63"/>
      <c r="T1071" s="63"/>
      <c r="U1071" s="63"/>
      <c r="V1071" s="63">
        <v>1</v>
      </c>
      <c r="W1071" s="63"/>
      <c r="X1071" s="63">
        <v>1</v>
      </c>
      <c r="Y1071" s="63"/>
      <c r="Z1071" s="63">
        <v>1</v>
      </c>
      <c r="AA1071" s="63">
        <v>0</v>
      </c>
      <c r="AB1071" s="65">
        <f>100/(SUM(I1071:Z1071))</f>
        <v>1</v>
      </c>
      <c r="AC1071" s="259">
        <f>SUM(I1071:AA1071)</f>
        <v>100</v>
      </c>
      <c r="AD1071" s="63"/>
      <c r="AE1071" s="63"/>
      <c r="AF1071" s="63"/>
      <c r="AG1071" s="66" t="s">
        <v>127</v>
      </c>
      <c r="AH1071" s="67" t="s">
        <v>871</v>
      </c>
      <c r="AI1071" s="67"/>
      <c r="AJ1071" s="67"/>
      <c r="AK1071" s="61"/>
      <c r="AL1071" s="66">
        <f>(B1071-DATE(1970,1,1))*86400</f>
        <v>1629676800</v>
      </c>
      <c r="AM1071" s="66">
        <f>(C1071-DATE(1970,1,1))*86400</f>
        <v>1629936000</v>
      </c>
      <c r="AN1071" s="66">
        <f>AVERAGE(AL1071:AM1071)</f>
        <v>1629806400</v>
      </c>
    </row>
    <row r="1072" spans="1:65" ht="15.75" customHeight="1" x14ac:dyDescent="0.2">
      <c r="A1072" s="279" t="s">
        <v>133</v>
      </c>
      <c r="B1072" s="14">
        <v>44431</v>
      </c>
      <c r="C1072" s="14">
        <v>44433</v>
      </c>
      <c r="D1072" s="13" t="s">
        <v>124</v>
      </c>
      <c r="E1072" s="324" t="s">
        <v>125</v>
      </c>
      <c r="F1072" s="13" t="s">
        <v>390</v>
      </c>
      <c r="G1072" s="13" t="s">
        <v>126</v>
      </c>
      <c r="H1072" s="372">
        <v>1000</v>
      </c>
      <c r="I1072" s="15">
        <v>45</v>
      </c>
      <c r="J1072" s="15"/>
      <c r="K1072" s="15"/>
      <c r="L1072" s="15"/>
      <c r="M1072" s="15"/>
      <c r="N1072" s="15"/>
      <c r="O1072" s="15"/>
      <c r="P1072" s="15"/>
      <c r="Q1072" s="15"/>
      <c r="R1072" s="15"/>
      <c r="S1072" s="15"/>
      <c r="T1072" s="15"/>
      <c r="U1072" s="15">
        <v>42</v>
      </c>
      <c r="V1072" s="15"/>
      <c r="W1072" s="15"/>
      <c r="X1072" s="15"/>
      <c r="Y1072" s="15"/>
      <c r="Z1072" s="15">
        <v>2</v>
      </c>
      <c r="AA1072" s="15">
        <v>11</v>
      </c>
      <c r="AB1072" s="16">
        <f>100/(SUM(I1072:Z1072))</f>
        <v>1.1235955056179776</v>
      </c>
      <c r="AC1072" s="259">
        <f>SUM(I1072:AA1072)</f>
        <v>100</v>
      </c>
      <c r="AD1072" s="15"/>
      <c r="AE1072" s="15"/>
      <c r="AF1072" s="15"/>
      <c r="AG1072" s="17" t="s">
        <v>127</v>
      </c>
      <c r="AH1072" s="18" t="s">
        <v>872</v>
      </c>
      <c r="AI1072" s="18"/>
      <c r="AJ1072" s="18"/>
      <c r="AK1072" s="13" t="s">
        <v>788</v>
      </c>
      <c r="AL1072" s="17">
        <f>(B1072-DATE(1970,1,1))*86400</f>
        <v>1629676800</v>
      </c>
      <c r="AM1072" s="17">
        <f>(C1072-DATE(1970,1,1))*86400</f>
        <v>1629849600</v>
      </c>
      <c r="AN1072" s="17">
        <f>AVERAGE(AL1072:AM1072)</f>
        <v>1629763200</v>
      </c>
    </row>
    <row r="1073" spans="1:40" ht="15.75" customHeight="1" x14ac:dyDescent="0.2">
      <c r="A1073" s="279" t="s">
        <v>123</v>
      </c>
      <c r="B1073" s="14">
        <v>44431</v>
      </c>
      <c r="C1073" s="14">
        <v>44433</v>
      </c>
      <c r="D1073" s="13" t="s">
        <v>124</v>
      </c>
      <c r="E1073" s="324" t="s">
        <v>125</v>
      </c>
      <c r="F1073" s="13" t="s">
        <v>390</v>
      </c>
      <c r="G1073" s="13" t="s">
        <v>126</v>
      </c>
      <c r="H1073" s="372">
        <v>1000</v>
      </c>
      <c r="I1073" s="15">
        <v>52</v>
      </c>
      <c r="J1073" s="15"/>
      <c r="K1073" s="15"/>
      <c r="L1073" s="15"/>
      <c r="M1073" s="15"/>
      <c r="N1073" s="15"/>
      <c r="O1073" s="15"/>
      <c r="P1073" s="15"/>
      <c r="Q1073" s="15"/>
      <c r="R1073" s="15"/>
      <c r="S1073" s="15"/>
      <c r="T1073" s="15"/>
      <c r="U1073" s="15">
        <v>46</v>
      </c>
      <c r="V1073" s="15"/>
      <c r="W1073" s="15"/>
      <c r="X1073" s="15"/>
      <c r="Y1073" s="15"/>
      <c r="Z1073" s="15">
        <v>2</v>
      </c>
      <c r="AA1073" s="15">
        <v>0</v>
      </c>
      <c r="AB1073" s="16">
        <f>100/(SUM(I1073:Z1073))</f>
        <v>1</v>
      </c>
      <c r="AC1073" s="259">
        <f>SUM(I1073:AA1073)</f>
        <v>100</v>
      </c>
      <c r="AD1073" s="15"/>
      <c r="AE1073" s="15"/>
      <c r="AF1073" s="15"/>
      <c r="AG1073" s="17" t="s">
        <v>127</v>
      </c>
      <c r="AH1073" s="18" t="s">
        <v>872</v>
      </c>
      <c r="AI1073" s="18"/>
      <c r="AJ1073" s="18"/>
      <c r="AK1073" s="13" t="s">
        <v>788</v>
      </c>
      <c r="AL1073" s="17">
        <f>(B1073-DATE(1970,1,1))*86400</f>
        <v>1629676800</v>
      </c>
      <c r="AM1073" s="17">
        <f>(C1073-DATE(1970,1,1))*86400</f>
        <v>1629849600</v>
      </c>
      <c r="AN1073" s="17">
        <f>AVERAGE(AL1073:AM1073)</f>
        <v>1629763200</v>
      </c>
    </row>
    <row r="1074" spans="1:40" ht="15.75" customHeight="1" x14ac:dyDescent="0.2">
      <c r="A1074" s="302" t="s">
        <v>133</v>
      </c>
      <c r="B1074" s="122">
        <v>44426</v>
      </c>
      <c r="C1074" s="122">
        <v>44436</v>
      </c>
      <c r="D1074" s="121" t="s">
        <v>718</v>
      </c>
      <c r="E1074" s="322" t="s">
        <v>184</v>
      </c>
      <c r="F1074" s="121"/>
      <c r="G1074" s="121" t="s">
        <v>126</v>
      </c>
      <c r="H1074" s="369">
        <v>1000</v>
      </c>
      <c r="I1074" s="123">
        <v>40</v>
      </c>
      <c r="J1074" s="123">
        <v>3</v>
      </c>
      <c r="K1074" s="123">
        <v>4</v>
      </c>
      <c r="L1074" s="123">
        <v>1</v>
      </c>
      <c r="M1074" s="123">
        <v>13</v>
      </c>
      <c r="N1074" s="123"/>
      <c r="O1074" s="123"/>
      <c r="P1074" s="123">
        <v>6</v>
      </c>
      <c r="Q1074" s="123"/>
      <c r="R1074" s="124"/>
      <c r="S1074" s="123"/>
      <c r="T1074" s="123"/>
      <c r="U1074" s="123"/>
      <c r="V1074" s="123">
        <v>1</v>
      </c>
      <c r="W1074" s="123"/>
      <c r="X1074" s="123">
        <v>2</v>
      </c>
      <c r="Y1074" s="123"/>
      <c r="Z1074" s="123">
        <v>0</v>
      </c>
      <c r="AA1074" s="123">
        <v>30</v>
      </c>
      <c r="AB1074" s="125">
        <f>100/(SUM(I1074:Z1074))</f>
        <v>1.4285714285714286</v>
      </c>
      <c r="AC1074" s="259">
        <f>SUM(I1074:AA1074)</f>
        <v>100</v>
      </c>
      <c r="AD1074" s="123">
        <v>39</v>
      </c>
      <c r="AE1074" s="123"/>
      <c r="AF1074" s="123"/>
      <c r="AG1074" s="126" t="s">
        <v>719</v>
      </c>
      <c r="AH1074" s="253" t="s">
        <v>2018</v>
      </c>
      <c r="AI1074" s="253" t="s">
        <v>1990</v>
      </c>
      <c r="AJ1074" s="253" t="s">
        <v>1996</v>
      </c>
      <c r="AK1074" s="121" t="s">
        <v>2017</v>
      </c>
      <c r="AL1074" s="126">
        <f>(B1074-DATE(1970,1,1))*86400</f>
        <v>1629244800</v>
      </c>
      <c r="AM1074" s="126">
        <f>(C1074-DATE(1970,1,1))*86400</f>
        <v>1630108800</v>
      </c>
      <c r="AN1074" s="126">
        <f>AVERAGE(AL1074:AM1074)</f>
        <v>1629676800</v>
      </c>
    </row>
    <row r="1075" spans="1:40" ht="15.75" customHeight="1" x14ac:dyDescent="0.2">
      <c r="A1075" s="302" t="s">
        <v>133</v>
      </c>
      <c r="B1075" s="122">
        <v>44426</v>
      </c>
      <c r="C1075" s="122">
        <v>44436</v>
      </c>
      <c r="D1075" s="121" t="s">
        <v>718</v>
      </c>
      <c r="E1075" s="322" t="s">
        <v>184</v>
      </c>
      <c r="F1075" s="121" t="s">
        <v>2049</v>
      </c>
      <c r="G1075" s="121" t="s">
        <v>126</v>
      </c>
      <c r="H1075" s="369">
        <v>1000</v>
      </c>
      <c r="I1075" s="123">
        <v>44</v>
      </c>
      <c r="J1075" s="123"/>
      <c r="K1075" s="123"/>
      <c r="L1075" s="123"/>
      <c r="M1075" s="123"/>
      <c r="N1075" s="123"/>
      <c r="O1075" s="123"/>
      <c r="P1075" s="123"/>
      <c r="Q1075" s="123"/>
      <c r="R1075" s="124"/>
      <c r="S1075" s="123"/>
      <c r="T1075" s="123"/>
      <c r="U1075" s="123">
        <v>45</v>
      </c>
      <c r="V1075" s="123"/>
      <c r="W1075" s="123"/>
      <c r="X1075" s="123"/>
      <c r="Y1075" s="123"/>
      <c r="Z1075" s="123"/>
      <c r="AA1075" s="123">
        <v>11</v>
      </c>
      <c r="AB1075" s="125">
        <f>100/(SUM(I1075:Z1075))</f>
        <v>1.1235955056179776</v>
      </c>
      <c r="AC1075" s="259">
        <f>SUM(I1075:AA1075)</f>
        <v>100</v>
      </c>
      <c r="AD1075" s="123"/>
      <c r="AE1075" s="123"/>
      <c r="AF1075" s="123"/>
      <c r="AG1075" s="126" t="s">
        <v>719</v>
      </c>
      <c r="AH1075" s="253" t="s">
        <v>2018</v>
      </c>
      <c r="AI1075" s="253" t="s">
        <v>1990</v>
      </c>
      <c r="AJ1075" s="253" t="s">
        <v>1996</v>
      </c>
      <c r="AK1075" s="121" t="s">
        <v>1995</v>
      </c>
      <c r="AL1075" s="126">
        <f>(B1075-DATE(1970,1,1))*86400</f>
        <v>1629244800</v>
      </c>
      <c r="AM1075" s="126">
        <f>(C1075-DATE(1970,1,1))*86400</f>
        <v>1630108800</v>
      </c>
      <c r="AN1075" s="126">
        <f>AVERAGE(AL1075:AM1075)</f>
        <v>1629676800</v>
      </c>
    </row>
    <row r="1076" spans="1:40" ht="15.75" customHeight="1" x14ac:dyDescent="0.2">
      <c r="A1076" s="306" t="s">
        <v>133</v>
      </c>
      <c r="B1076" s="135">
        <v>44424</v>
      </c>
      <c r="C1076" s="135">
        <v>44427</v>
      </c>
      <c r="D1076" s="134" t="s">
        <v>873</v>
      </c>
      <c r="E1076" s="345" t="s">
        <v>184</v>
      </c>
      <c r="F1076" s="134"/>
      <c r="G1076" s="134" t="s">
        <v>126</v>
      </c>
      <c r="H1076" s="375">
        <v>1001</v>
      </c>
      <c r="I1076" s="136">
        <v>40</v>
      </c>
      <c r="J1076" s="136">
        <v>2</v>
      </c>
      <c r="K1076" s="136">
        <v>11</v>
      </c>
      <c r="L1076" s="136">
        <v>3</v>
      </c>
      <c r="M1076" s="136">
        <v>12</v>
      </c>
      <c r="N1076" s="136"/>
      <c r="O1076" s="136">
        <v>1</v>
      </c>
      <c r="P1076" s="136">
        <v>6</v>
      </c>
      <c r="Q1076" s="136"/>
      <c r="R1076" s="140"/>
      <c r="S1076" s="136"/>
      <c r="T1076" s="136"/>
      <c r="U1076" s="136">
        <v>1</v>
      </c>
      <c r="V1076" s="136">
        <v>3</v>
      </c>
      <c r="W1076" s="136"/>
      <c r="X1076" s="136">
        <v>3</v>
      </c>
      <c r="Y1076" s="136"/>
      <c r="Z1076" s="136">
        <v>0</v>
      </c>
      <c r="AA1076" s="136">
        <v>23</v>
      </c>
      <c r="AB1076" s="137">
        <f>100/(SUM(I1076:Z1076))</f>
        <v>1.2195121951219512</v>
      </c>
      <c r="AC1076" s="259">
        <f>SUM(I1076:AA1076)</f>
        <v>105</v>
      </c>
      <c r="AD1076" s="136"/>
      <c r="AE1076" s="136"/>
      <c r="AF1076" s="136"/>
      <c r="AG1076" s="138"/>
      <c r="AH1076" s="139" t="s">
        <v>874</v>
      </c>
      <c r="AI1076" s="139" t="s">
        <v>875</v>
      </c>
      <c r="AJ1076" s="139"/>
      <c r="AK1076" s="134"/>
      <c r="AL1076" s="138">
        <f>(B1076-DATE(1970,1,1))*86400</f>
        <v>1629072000</v>
      </c>
      <c r="AM1076" s="138">
        <f>(C1076-DATE(1970,1,1))*86400</f>
        <v>1629331200</v>
      </c>
      <c r="AN1076" s="138">
        <f>AVERAGE(AL1076:AM1076)</f>
        <v>1629201600</v>
      </c>
    </row>
    <row r="1077" spans="1:40" ht="15.75" customHeight="1" x14ac:dyDescent="0.2">
      <c r="A1077" s="306" t="s">
        <v>133</v>
      </c>
      <c r="B1077" s="135">
        <v>44424</v>
      </c>
      <c r="C1077" s="135">
        <v>44427</v>
      </c>
      <c r="D1077" s="134" t="s">
        <v>873</v>
      </c>
      <c r="E1077" s="345" t="s">
        <v>184</v>
      </c>
      <c r="F1077" s="134" t="s">
        <v>390</v>
      </c>
      <c r="G1077" s="134" t="s">
        <v>126</v>
      </c>
      <c r="H1077" s="375">
        <v>1001</v>
      </c>
      <c r="I1077" s="136">
        <v>42</v>
      </c>
      <c r="J1077" s="136"/>
      <c r="K1077" s="136"/>
      <c r="L1077" s="136"/>
      <c r="M1077" s="136"/>
      <c r="N1077" s="136"/>
      <c r="O1077" s="136"/>
      <c r="P1077" s="136"/>
      <c r="Q1077" s="136"/>
      <c r="R1077" s="136"/>
      <c r="S1077" s="136"/>
      <c r="T1077" s="136"/>
      <c r="U1077" s="136">
        <v>38</v>
      </c>
      <c r="V1077" s="136"/>
      <c r="W1077" s="136"/>
      <c r="X1077" s="136"/>
      <c r="Y1077" s="136"/>
      <c r="Z1077" s="136">
        <v>3</v>
      </c>
      <c r="AA1077" s="136">
        <v>17</v>
      </c>
      <c r="AB1077" s="137">
        <f>100/(SUM(I1077:Z1077))</f>
        <v>1.2048192771084338</v>
      </c>
      <c r="AC1077" s="259">
        <f>SUM(I1077:AA1077)</f>
        <v>100</v>
      </c>
      <c r="AD1077" s="136"/>
      <c r="AE1077" s="136"/>
      <c r="AF1077" s="136"/>
      <c r="AG1077" s="138"/>
      <c r="AH1077" s="139" t="s">
        <v>874</v>
      </c>
      <c r="AI1077" s="139" t="s">
        <v>875</v>
      </c>
      <c r="AJ1077" s="139"/>
      <c r="AK1077" s="134"/>
      <c r="AL1077" s="138">
        <f>(B1077-DATE(1970,1,1))*86400</f>
        <v>1629072000</v>
      </c>
      <c r="AM1077" s="138">
        <f>(C1077-DATE(1970,1,1))*86400</f>
        <v>1629331200</v>
      </c>
      <c r="AN1077" s="138">
        <f>AVERAGE(AL1077:AM1077)</f>
        <v>1629201600</v>
      </c>
    </row>
    <row r="1078" spans="1:40" ht="15.75" customHeight="1" x14ac:dyDescent="0.2">
      <c r="A1078" s="306" t="s">
        <v>123</v>
      </c>
      <c r="B1078" s="135">
        <v>44424</v>
      </c>
      <c r="C1078" s="135">
        <v>44427</v>
      </c>
      <c r="D1078" s="134" t="s">
        <v>873</v>
      </c>
      <c r="E1078" s="345" t="s">
        <v>184</v>
      </c>
      <c r="F1078" s="134" t="s">
        <v>390</v>
      </c>
      <c r="G1078" s="134" t="s">
        <v>126</v>
      </c>
      <c r="H1078" s="375">
        <v>1001</v>
      </c>
      <c r="I1078" s="136">
        <v>51</v>
      </c>
      <c r="J1078" s="136"/>
      <c r="K1078" s="136"/>
      <c r="L1078" s="136"/>
      <c r="M1078" s="136"/>
      <c r="N1078" s="136"/>
      <c r="O1078" s="136"/>
      <c r="P1078" s="136"/>
      <c r="Q1078" s="136"/>
      <c r="R1078" s="136"/>
      <c r="S1078" s="136"/>
      <c r="T1078" s="136"/>
      <c r="U1078" s="136">
        <v>47</v>
      </c>
      <c r="V1078" s="136"/>
      <c r="W1078" s="136"/>
      <c r="X1078" s="136"/>
      <c r="Y1078" s="136"/>
      <c r="Z1078" s="136">
        <v>2</v>
      </c>
      <c r="AA1078" s="136">
        <v>0</v>
      </c>
      <c r="AB1078" s="137">
        <f>100/(SUM(I1078:Z1078))</f>
        <v>1</v>
      </c>
      <c r="AC1078" s="259">
        <f>SUM(I1078:AA1078)</f>
        <v>100</v>
      </c>
      <c r="AD1078" s="136"/>
      <c r="AE1078" s="136"/>
      <c r="AF1078" s="136"/>
      <c r="AG1078" s="138"/>
      <c r="AH1078" s="139" t="s">
        <v>874</v>
      </c>
      <c r="AI1078" s="139" t="s">
        <v>875</v>
      </c>
      <c r="AJ1078" s="139"/>
      <c r="AK1078" s="134"/>
      <c r="AL1078" s="138">
        <f>(B1078-DATE(1970,1,1))*86400</f>
        <v>1629072000</v>
      </c>
      <c r="AM1078" s="138">
        <f>(C1078-DATE(1970,1,1))*86400</f>
        <v>1629331200</v>
      </c>
      <c r="AN1078" s="138">
        <f>AVERAGE(AL1078:AM1078)</f>
        <v>1629201600</v>
      </c>
    </row>
    <row r="1079" spans="1:40" ht="15.75" customHeight="1" x14ac:dyDescent="0.2">
      <c r="A1079" s="306" t="s">
        <v>123</v>
      </c>
      <c r="B1079" s="135">
        <v>44424</v>
      </c>
      <c r="C1079" s="135">
        <v>44427</v>
      </c>
      <c r="D1079" s="134" t="s">
        <v>873</v>
      </c>
      <c r="E1079" s="345" t="s">
        <v>184</v>
      </c>
      <c r="F1079" s="134"/>
      <c r="G1079" s="134" t="s">
        <v>126</v>
      </c>
      <c r="H1079" s="375">
        <v>1001</v>
      </c>
      <c r="I1079" s="136">
        <v>51</v>
      </c>
      <c r="J1079" s="136">
        <v>2</v>
      </c>
      <c r="K1079" s="136">
        <v>12</v>
      </c>
      <c r="L1079" s="136">
        <v>2</v>
      </c>
      <c r="M1079" s="136">
        <v>17</v>
      </c>
      <c r="N1079" s="136"/>
      <c r="O1079" s="136">
        <v>1</v>
      </c>
      <c r="P1079" s="136">
        <v>8</v>
      </c>
      <c r="Q1079" s="136"/>
      <c r="R1079" s="140"/>
      <c r="S1079" s="136"/>
      <c r="T1079" s="136"/>
      <c r="U1079" s="136">
        <v>1</v>
      </c>
      <c r="V1079" s="136">
        <v>3</v>
      </c>
      <c r="W1079" s="136"/>
      <c r="X1079" s="136">
        <v>3</v>
      </c>
      <c r="Y1079" s="136"/>
      <c r="Z1079" s="136">
        <v>0</v>
      </c>
      <c r="AA1079" s="136">
        <v>0</v>
      </c>
      <c r="AB1079" s="137">
        <f>100/(SUM(I1079:Z1079))</f>
        <v>1</v>
      </c>
      <c r="AC1079" s="259">
        <f>SUM(I1079:AA1079)</f>
        <v>100</v>
      </c>
      <c r="AD1079" s="136"/>
      <c r="AE1079" s="136"/>
      <c r="AF1079" s="136"/>
      <c r="AG1079" s="138"/>
      <c r="AH1079" s="139" t="s">
        <v>874</v>
      </c>
      <c r="AI1079" s="139" t="s">
        <v>875</v>
      </c>
      <c r="AJ1079" s="139"/>
      <c r="AK1079" s="134"/>
      <c r="AL1079" s="138">
        <f>(B1079-DATE(1970,1,1))*86400</f>
        <v>1629072000</v>
      </c>
      <c r="AM1079" s="138">
        <f>(C1079-DATE(1970,1,1))*86400</f>
        <v>1629331200</v>
      </c>
      <c r="AN1079" s="138">
        <f>AVERAGE(AL1079:AM1079)</f>
        <v>1629201600</v>
      </c>
    </row>
    <row r="1080" spans="1:40" ht="15.75" customHeight="1" x14ac:dyDescent="0.2">
      <c r="A1080" s="305" t="s">
        <v>133</v>
      </c>
      <c r="B1080" s="90">
        <v>44409</v>
      </c>
      <c r="C1080" s="90">
        <v>44439</v>
      </c>
      <c r="D1080" s="47" t="s">
        <v>152</v>
      </c>
      <c r="E1080" s="337" t="s">
        <v>184</v>
      </c>
      <c r="F1080" s="47" t="s">
        <v>140</v>
      </c>
      <c r="G1080" s="47"/>
      <c r="H1080" s="337"/>
      <c r="I1080" s="49">
        <v>43</v>
      </c>
      <c r="J1080" s="49"/>
      <c r="K1080" s="49"/>
      <c r="L1080" s="49"/>
      <c r="M1080" s="49"/>
      <c r="N1080" s="49"/>
      <c r="O1080" s="49"/>
      <c r="P1080" s="49"/>
      <c r="Q1080" s="49"/>
      <c r="R1080" s="49"/>
      <c r="S1080" s="49"/>
      <c r="T1080" s="49"/>
      <c r="U1080" s="49">
        <v>42</v>
      </c>
      <c r="V1080" s="49"/>
      <c r="W1080" s="49"/>
      <c r="X1080" s="49"/>
      <c r="Y1080" s="49"/>
      <c r="Z1080" s="49"/>
      <c r="AA1080" s="49"/>
      <c r="AB1080" s="50">
        <f>100/(SUM(I1080:Z1080))</f>
        <v>1.1764705882352942</v>
      </c>
      <c r="AC1080" s="259">
        <f>SUM(I1080:AA1080)</f>
        <v>85</v>
      </c>
      <c r="AD1080" s="49"/>
      <c r="AE1080" s="49"/>
      <c r="AF1080" s="49"/>
      <c r="AG1080" s="133"/>
      <c r="AH1080" s="52" t="s">
        <v>860</v>
      </c>
      <c r="AI1080" s="52"/>
      <c r="AJ1080" s="52"/>
      <c r="AK1080" s="47" t="s">
        <v>861</v>
      </c>
      <c r="AL1080" s="51">
        <f>(B1080-DATE(1970,1,1))*86400</f>
        <v>1627776000</v>
      </c>
      <c r="AM1080" s="51">
        <f>(C1080-DATE(1970,1,1))*86400</f>
        <v>1630368000</v>
      </c>
      <c r="AN1080" s="51">
        <f>AVERAGE(AL1080:AM1080)</f>
        <v>1629072000</v>
      </c>
    </row>
    <row r="1081" spans="1:40" ht="15.75" customHeight="1" x14ac:dyDescent="0.2">
      <c r="A1081" s="286" t="s">
        <v>133</v>
      </c>
      <c r="B1081" s="41">
        <v>44414</v>
      </c>
      <c r="C1081" s="41">
        <v>44427</v>
      </c>
      <c r="D1081" s="40" t="s">
        <v>148</v>
      </c>
      <c r="E1081" s="325" t="s">
        <v>125</v>
      </c>
      <c r="F1081" s="40"/>
      <c r="G1081" s="40" t="s">
        <v>149</v>
      </c>
      <c r="H1081" s="325">
        <v>1000</v>
      </c>
      <c r="I1081" s="42">
        <v>35.200000000000003</v>
      </c>
      <c r="J1081" s="42">
        <v>5.3</v>
      </c>
      <c r="K1081" s="42">
        <v>11.3</v>
      </c>
      <c r="L1081" s="42">
        <v>2</v>
      </c>
      <c r="M1081" s="42">
        <v>11.9</v>
      </c>
      <c r="N1081" s="42"/>
      <c r="O1081" s="42">
        <v>1.9</v>
      </c>
      <c r="P1081" s="42">
        <v>4.8</v>
      </c>
      <c r="Q1081" s="42"/>
      <c r="R1081" s="43"/>
      <c r="S1081" s="42"/>
      <c r="T1081" s="42"/>
      <c r="U1081" s="42"/>
      <c r="V1081" s="42">
        <v>1.2</v>
      </c>
      <c r="W1081" s="42"/>
      <c r="X1081" s="42">
        <v>0.8</v>
      </c>
      <c r="Y1081" s="42"/>
      <c r="Z1081" s="42">
        <v>0.8</v>
      </c>
      <c r="AA1081" s="42">
        <v>24.8</v>
      </c>
      <c r="AB1081" s="44">
        <f>100/(SUM(I1081:Z1081))</f>
        <v>1.3297872340425532</v>
      </c>
      <c r="AC1081" s="259">
        <f>SUM(I1081:AA1081)</f>
        <v>100</v>
      </c>
      <c r="AD1081" s="42"/>
      <c r="AE1081" s="42"/>
      <c r="AF1081" s="42"/>
      <c r="AG1081" s="45" t="s">
        <v>127</v>
      </c>
      <c r="AH1081" s="42" t="s">
        <v>532</v>
      </c>
      <c r="AI1081" s="46" t="s">
        <v>876</v>
      </c>
      <c r="AJ1081" s="46" t="s">
        <v>877</v>
      </c>
      <c r="AK1081" s="40"/>
      <c r="AL1081" s="45">
        <f>(B1081-DATE(1970,1,1))*86400</f>
        <v>1628208000</v>
      </c>
      <c r="AM1081" s="45">
        <f>(C1081-DATE(1970,1,1))*86400</f>
        <v>1629331200</v>
      </c>
      <c r="AN1081" s="45">
        <f>AVERAGE(AL1081:AM1081)</f>
        <v>1628769600</v>
      </c>
    </row>
    <row r="1082" spans="1:40" ht="15.75" customHeight="1" x14ac:dyDescent="0.2">
      <c r="A1082" s="286" t="s">
        <v>133</v>
      </c>
      <c r="B1082" s="41">
        <v>44414</v>
      </c>
      <c r="C1082" s="41">
        <v>44427</v>
      </c>
      <c r="D1082" s="40" t="s">
        <v>148</v>
      </c>
      <c r="E1082" s="325" t="s">
        <v>125</v>
      </c>
      <c r="F1082" s="40" t="s">
        <v>390</v>
      </c>
      <c r="G1082" s="40" t="s">
        <v>149</v>
      </c>
      <c r="H1082" s="325">
        <v>1000</v>
      </c>
      <c r="I1082" s="42">
        <v>37</v>
      </c>
      <c r="J1082" s="42"/>
      <c r="K1082" s="42"/>
      <c r="L1082" s="42"/>
      <c r="M1082" s="42"/>
      <c r="N1082" s="42"/>
      <c r="O1082" s="42"/>
      <c r="P1082" s="42"/>
      <c r="Q1082" s="42"/>
      <c r="R1082" s="43"/>
      <c r="S1082" s="42"/>
      <c r="T1082" s="42"/>
      <c r="U1082" s="42">
        <v>39.4</v>
      </c>
      <c r="V1082" s="42"/>
      <c r="W1082" s="42"/>
      <c r="X1082" s="42"/>
      <c r="Y1082" s="42"/>
      <c r="Z1082" s="42">
        <v>2.1</v>
      </c>
      <c r="AA1082" s="42">
        <v>21.5</v>
      </c>
      <c r="AB1082" s="44">
        <f>100/(SUM(I1082:Z1082))</f>
        <v>1.2738853503184713</v>
      </c>
      <c r="AC1082" s="259">
        <f>SUM(I1082:AA1082)</f>
        <v>100</v>
      </c>
      <c r="AD1082" s="42"/>
      <c r="AE1082" s="42"/>
      <c r="AF1082" s="42"/>
      <c r="AG1082" s="45" t="s">
        <v>127</v>
      </c>
      <c r="AH1082" s="42" t="s">
        <v>532</v>
      </c>
      <c r="AI1082" s="46" t="s">
        <v>876</v>
      </c>
      <c r="AJ1082" s="132" t="s">
        <v>877</v>
      </c>
      <c r="AK1082" s="40"/>
      <c r="AL1082" s="45">
        <f>(B1082-DATE(1970,1,1))*86400</f>
        <v>1628208000</v>
      </c>
      <c r="AM1082" s="45">
        <f>(C1082-DATE(1970,1,1))*86400</f>
        <v>1629331200</v>
      </c>
      <c r="AN1082" s="45">
        <f>AVERAGE(AL1082:AM1082)</f>
        <v>1628769600</v>
      </c>
    </row>
    <row r="1083" spans="1:40" ht="15.75" customHeight="1" x14ac:dyDescent="0.2">
      <c r="A1083" s="286" t="s">
        <v>123</v>
      </c>
      <c r="B1083" s="41">
        <v>44414</v>
      </c>
      <c r="C1083" s="41">
        <v>44427</v>
      </c>
      <c r="D1083" s="40" t="s">
        <v>148</v>
      </c>
      <c r="E1083" s="325" t="s">
        <v>125</v>
      </c>
      <c r="F1083" s="40" t="s">
        <v>390</v>
      </c>
      <c r="G1083" s="40" t="s">
        <v>149</v>
      </c>
      <c r="H1083" s="325">
        <v>1000</v>
      </c>
      <c r="I1083" s="42">
        <v>48.9</v>
      </c>
      <c r="J1083" s="42"/>
      <c r="K1083" s="42"/>
      <c r="L1083" s="42"/>
      <c r="M1083" s="42"/>
      <c r="N1083" s="42"/>
      <c r="O1083" s="42"/>
      <c r="P1083" s="42"/>
      <c r="Q1083" s="42"/>
      <c r="R1083" s="43"/>
      <c r="S1083" s="42"/>
      <c r="T1083" s="42"/>
      <c r="U1083" s="42">
        <v>47.8</v>
      </c>
      <c r="V1083" s="42"/>
      <c r="W1083" s="42"/>
      <c r="X1083" s="42"/>
      <c r="Y1083" s="42"/>
      <c r="Z1083" s="42">
        <v>3.3</v>
      </c>
      <c r="AA1083" s="42">
        <v>0</v>
      </c>
      <c r="AB1083" s="44">
        <f>100/(SUM(I1083:Z1083))</f>
        <v>1.0000000000000002</v>
      </c>
      <c r="AC1083" s="259">
        <f>SUM(I1083:AA1083)</f>
        <v>99.999999999999986</v>
      </c>
      <c r="AD1083" s="42"/>
      <c r="AE1083" s="42"/>
      <c r="AF1083" s="42"/>
      <c r="AG1083" s="45" t="s">
        <v>127</v>
      </c>
      <c r="AH1083" s="42" t="s">
        <v>532</v>
      </c>
      <c r="AI1083" s="46" t="s">
        <v>876</v>
      </c>
      <c r="AJ1083" s="132" t="s">
        <v>877</v>
      </c>
      <c r="AK1083" s="40"/>
      <c r="AL1083" s="45">
        <f>(B1083-DATE(1970,1,1))*86400</f>
        <v>1628208000</v>
      </c>
      <c r="AM1083" s="45">
        <f>(C1083-DATE(1970,1,1))*86400</f>
        <v>1629331200</v>
      </c>
      <c r="AN1083" s="45">
        <f>AVERAGE(AL1083:AM1083)</f>
        <v>1628769600</v>
      </c>
    </row>
    <row r="1084" spans="1:40" ht="15.75" customHeight="1" x14ac:dyDescent="0.2">
      <c r="A1084" s="286" t="s">
        <v>123</v>
      </c>
      <c r="B1084" s="41">
        <v>44414</v>
      </c>
      <c r="C1084" s="41">
        <v>44427</v>
      </c>
      <c r="D1084" s="40" t="s">
        <v>148</v>
      </c>
      <c r="E1084" s="325" t="s">
        <v>125</v>
      </c>
      <c r="F1084" s="40"/>
      <c r="G1084" s="40" t="s">
        <v>149</v>
      </c>
      <c r="H1084" s="325">
        <v>1000</v>
      </c>
      <c r="I1084" s="42">
        <v>50</v>
      </c>
      <c r="J1084" s="42">
        <v>5.9</v>
      </c>
      <c r="K1084" s="42">
        <v>13.3</v>
      </c>
      <c r="L1084" s="42">
        <v>2.2000000000000002</v>
      </c>
      <c r="M1084" s="42">
        <v>17</v>
      </c>
      <c r="N1084" s="42"/>
      <c r="O1084" s="42">
        <v>2.1</v>
      </c>
      <c r="P1084" s="42">
        <v>5.0999999999999996</v>
      </c>
      <c r="Q1084" s="42"/>
      <c r="R1084" s="43"/>
      <c r="S1084" s="42"/>
      <c r="T1084" s="42"/>
      <c r="U1084" s="42"/>
      <c r="V1084" s="42">
        <v>2</v>
      </c>
      <c r="W1084" s="42"/>
      <c r="X1084" s="42">
        <v>1.6</v>
      </c>
      <c r="Y1084" s="42"/>
      <c r="Z1084" s="42">
        <v>0.8</v>
      </c>
      <c r="AA1084" s="42">
        <v>0</v>
      </c>
      <c r="AB1084" s="44">
        <f>100/(SUM(I1084:Z1084))</f>
        <v>1.0000000000000002</v>
      </c>
      <c r="AC1084" s="259">
        <f>SUM(I1084:AA1084)</f>
        <v>99.999999999999986</v>
      </c>
      <c r="AD1084" s="42"/>
      <c r="AE1084" s="42"/>
      <c r="AF1084" s="42"/>
      <c r="AG1084" s="45" t="s">
        <v>127</v>
      </c>
      <c r="AH1084" s="42" t="s">
        <v>532</v>
      </c>
      <c r="AI1084" s="46" t="s">
        <v>876</v>
      </c>
      <c r="AJ1084" s="46" t="s">
        <v>877</v>
      </c>
      <c r="AK1084" s="40"/>
      <c r="AL1084" s="45">
        <f>(B1084-DATE(1970,1,1))*86400</f>
        <v>1628208000</v>
      </c>
      <c r="AM1084" s="45">
        <f>(C1084-DATE(1970,1,1))*86400</f>
        <v>1629331200</v>
      </c>
      <c r="AN1084" s="45">
        <f>AVERAGE(AL1084:AM1084)</f>
        <v>1628769600</v>
      </c>
    </row>
    <row r="1085" spans="1:40" ht="15.75" customHeight="1" x14ac:dyDescent="0.2">
      <c r="A1085" s="284" t="s">
        <v>133</v>
      </c>
      <c r="B1085" s="20">
        <v>44399</v>
      </c>
      <c r="C1085" s="20">
        <v>44409</v>
      </c>
      <c r="D1085" s="19" t="s">
        <v>134</v>
      </c>
      <c r="E1085" s="332" t="s">
        <v>125</v>
      </c>
      <c r="F1085" s="19"/>
      <c r="G1085" s="19" t="s">
        <v>135</v>
      </c>
      <c r="H1085" s="332">
        <v>2000</v>
      </c>
      <c r="I1085" s="21">
        <v>33</v>
      </c>
      <c r="J1085" s="21"/>
      <c r="K1085" s="21">
        <v>9</v>
      </c>
      <c r="L1085" s="21">
        <v>1</v>
      </c>
      <c r="M1085" s="21">
        <v>11</v>
      </c>
      <c r="N1085" s="21"/>
      <c r="O1085" s="21"/>
      <c r="P1085" s="21">
        <v>6</v>
      </c>
      <c r="Q1085" s="21"/>
      <c r="R1085" s="22">
        <v>6</v>
      </c>
      <c r="S1085" s="21"/>
      <c r="T1085" s="21"/>
      <c r="U1085" s="21"/>
      <c r="V1085" s="21">
        <v>3</v>
      </c>
      <c r="W1085" s="21"/>
      <c r="X1085" s="21">
        <v>3</v>
      </c>
      <c r="Y1085" s="21"/>
      <c r="Z1085" s="21"/>
      <c r="AA1085" s="21">
        <v>28</v>
      </c>
      <c r="AB1085" s="23">
        <f>100/(SUM(I1085:Z1085))</f>
        <v>1.3888888888888888</v>
      </c>
      <c r="AC1085" s="259">
        <f>SUM(I1085:AA1085)</f>
        <v>100</v>
      </c>
      <c r="AD1085" s="24"/>
      <c r="AE1085" s="24"/>
      <c r="AF1085" s="24"/>
      <c r="AG1085" s="25" t="s">
        <v>127</v>
      </c>
      <c r="AH1085" s="26" t="s">
        <v>878</v>
      </c>
      <c r="AI1085" s="83" t="s">
        <v>879</v>
      </c>
      <c r="AJ1085" s="83"/>
      <c r="AK1085" s="19" t="s">
        <v>881</v>
      </c>
      <c r="AL1085" s="25">
        <f>(B1085-DATE(1970,1,1))*86400</f>
        <v>1626912000</v>
      </c>
      <c r="AM1085" s="25">
        <f>(C1085-DATE(1970,1,1))*86400</f>
        <v>1627776000</v>
      </c>
      <c r="AN1085" s="25">
        <f>AVERAGE(AL1085:AM1085)</f>
        <v>1627344000</v>
      </c>
    </row>
    <row r="1086" spans="1:40" ht="15.75" customHeight="1" x14ac:dyDescent="0.2">
      <c r="A1086" s="284" t="s">
        <v>133</v>
      </c>
      <c r="B1086" s="20">
        <v>44399</v>
      </c>
      <c r="C1086" s="20">
        <v>44409</v>
      </c>
      <c r="D1086" s="19" t="s">
        <v>134</v>
      </c>
      <c r="E1086" s="332" t="s">
        <v>125</v>
      </c>
      <c r="F1086" s="19" t="s">
        <v>390</v>
      </c>
      <c r="G1086" s="19" t="s">
        <v>135</v>
      </c>
      <c r="H1086" s="332">
        <v>2000</v>
      </c>
      <c r="I1086" s="21">
        <v>37</v>
      </c>
      <c r="J1086" s="21"/>
      <c r="K1086" s="21"/>
      <c r="L1086" s="21"/>
      <c r="M1086" s="21"/>
      <c r="N1086" s="21"/>
      <c r="O1086" s="21"/>
      <c r="P1086" s="21"/>
      <c r="Q1086" s="21"/>
      <c r="R1086" s="22"/>
      <c r="S1086" s="21"/>
      <c r="T1086" s="21"/>
      <c r="U1086" s="21">
        <v>38</v>
      </c>
      <c r="V1086" s="21">
        <v>3</v>
      </c>
      <c r="W1086" s="21"/>
      <c r="X1086" s="21">
        <v>4</v>
      </c>
      <c r="Y1086" s="21"/>
      <c r="Z1086" s="21">
        <v>1</v>
      </c>
      <c r="AA1086" s="21">
        <v>17</v>
      </c>
      <c r="AB1086" s="23">
        <f>100/(SUM(I1086:Z1086))</f>
        <v>1.2048192771084338</v>
      </c>
      <c r="AC1086" s="259">
        <f>SUM(I1086:AA1086)</f>
        <v>100</v>
      </c>
      <c r="AD1086" s="24"/>
      <c r="AE1086" s="24"/>
      <c r="AF1086" s="24"/>
      <c r="AG1086" s="25" t="s">
        <v>127</v>
      </c>
      <c r="AH1086" s="26" t="s">
        <v>878</v>
      </c>
      <c r="AI1086" s="83" t="s">
        <v>879</v>
      </c>
      <c r="AJ1086" s="83"/>
      <c r="AK1086" s="19"/>
      <c r="AL1086" s="25">
        <f>(B1086-DATE(1970,1,1))*86400</f>
        <v>1626912000</v>
      </c>
      <c r="AM1086" s="25">
        <f>(C1086-DATE(1970,1,1))*86400</f>
        <v>1627776000</v>
      </c>
      <c r="AN1086" s="25">
        <f>AVERAGE(AL1086:AM1086)</f>
        <v>1627344000</v>
      </c>
    </row>
    <row r="1087" spans="1:40" ht="15.75" customHeight="1" x14ac:dyDescent="0.2">
      <c r="A1087" s="284" t="s">
        <v>123</v>
      </c>
      <c r="B1087" s="20">
        <v>44399</v>
      </c>
      <c r="C1087" s="20">
        <v>44409</v>
      </c>
      <c r="D1087" s="19" t="s">
        <v>134</v>
      </c>
      <c r="E1087" s="332" t="s">
        <v>125</v>
      </c>
      <c r="F1087" s="19" t="s">
        <v>390</v>
      </c>
      <c r="G1087" s="19" t="s">
        <v>135</v>
      </c>
      <c r="H1087" s="332">
        <v>2000</v>
      </c>
      <c r="I1087" s="21">
        <v>48</v>
      </c>
      <c r="J1087" s="21"/>
      <c r="K1087" s="21"/>
      <c r="L1087" s="21"/>
      <c r="M1087" s="21"/>
      <c r="N1087" s="21"/>
      <c r="O1087" s="21"/>
      <c r="P1087" s="21"/>
      <c r="Q1087" s="21"/>
      <c r="R1087" s="22"/>
      <c r="S1087" s="21"/>
      <c r="T1087" s="21"/>
      <c r="U1087" s="21">
        <v>44</v>
      </c>
      <c r="V1087" s="21">
        <v>4</v>
      </c>
      <c r="W1087" s="21"/>
      <c r="X1087" s="21">
        <v>3</v>
      </c>
      <c r="Y1087" s="21"/>
      <c r="Z1087" s="21">
        <v>1</v>
      </c>
      <c r="AA1087" s="21">
        <v>0</v>
      </c>
      <c r="AB1087" s="23">
        <f>100/(SUM(I1087:Z1087))</f>
        <v>1</v>
      </c>
      <c r="AC1087" s="259">
        <f>SUM(I1087:AA1087)</f>
        <v>100</v>
      </c>
      <c r="AD1087" s="24"/>
      <c r="AE1087" s="24"/>
      <c r="AF1087" s="24"/>
      <c r="AG1087" s="25" t="s">
        <v>127</v>
      </c>
      <c r="AH1087" s="26" t="s">
        <v>878</v>
      </c>
      <c r="AI1087" s="83" t="s">
        <v>879</v>
      </c>
      <c r="AJ1087" s="83" t="s">
        <v>880</v>
      </c>
      <c r="AK1087" s="19"/>
      <c r="AL1087" s="25">
        <f>(B1087-DATE(1970,1,1))*86400</f>
        <v>1626912000</v>
      </c>
      <c r="AM1087" s="25">
        <f>(C1087-DATE(1970,1,1))*86400</f>
        <v>1627776000</v>
      </c>
      <c r="AN1087" s="25">
        <f>AVERAGE(AL1087:AM1087)</f>
        <v>1627344000</v>
      </c>
    </row>
    <row r="1088" spans="1:40" ht="15.75" customHeight="1" x14ac:dyDescent="0.2">
      <c r="A1088" s="284" t="s">
        <v>123</v>
      </c>
      <c r="B1088" s="20">
        <v>44399</v>
      </c>
      <c r="C1088" s="20">
        <v>44409</v>
      </c>
      <c r="D1088" s="19" t="s">
        <v>134</v>
      </c>
      <c r="E1088" s="332" t="s">
        <v>125</v>
      </c>
      <c r="F1088" s="19"/>
      <c r="G1088" s="19" t="s">
        <v>135</v>
      </c>
      <c r="H1088" s="332">
        <v>2000</v>
      </c>
      <c r="I1088" s="21">
        <v>47</v>
      </c>
      <c r="J1088" s="21"/>
      <c r="K1088" s="21">
        <v>13</v>
      </c>
      <c r="L1088" s="21">
        <v>2</v>
      </c>
      <c r="M1088" s="21">
        <v>16</v>
      </c>
      <c r="N1088" s="21"/>
      <c r="O1088" s="21"/>
      <c r="P1088" s="21">
        <v>9</v>
      </c>
      <c r="Q1088" s="21"/>
      <c r="R1088" s="22">
        <v>7</v>
      </c>
      <c r="S1088" s="21"/>
      <c r="T1088" s="21"/>
      <c r="U1088" s="21"/>
      <c r="V1088" s="21">
        <v>3</v>
      </c>
      <c r="W1088" s="21"/>
      <c r="X1088" s="21">
        <v>3</v>
      </c>
      <c r="Y1088" s="21"/>
      <c r="Z1088" s="21"/>
      <c r="AA1088" s="21">
        <v>0</v>
      </c>
      <c r="AB1088" s="23">
        <f>100/(SUM(I1088:Z1088))</f>
        <v>1</v>
      </c>
      <c r="AC1088" s="259">
        <f>SUM(I1088:AA1088)</f>
        <v>100</v>
      </c>
      <c r="AD1088" s="24"/>
      <c r="AE1088" s="24"/>
      <c r="AF1088" s="24"/>
      <c r="AG1088" s="25" t="s">
        <v>127</v>
      </c>
      <c r="AH1088" s="26" t="s">
        <v>878</v>
      </c>
      <c r="AI1088" s="83" t="s">
        <v>879</v>
      </c>
      <c r="AJ1088" s="83" t="s">
        <v>880</v>
      </c>
      <c r="AK1088" s="19" t="s">
        <v>882</v>
      </c>
      <c r="AL1088" s="25">
        <f>(B1088-DATE(1970,1,1))*86400</f>
        <v>1626912000</v>
      </c>
      <c r="AM1088" s="25">
        <f>(C1088-DATE(1970,1,1))*86400</f>
        <v>1627776000</v>
      </c>
      <c r="AN1088" s="25">
        <f>AVERAGE(AL1088:AM1088)</f>
        <v>1627344000</v>
      </c>
    </row>
    <row r="1089" spans="1:40" ht="15.75" customHeight="1" x14ac:dyDescent="0.2">
      <c r="A1089" s="279" t="s">
        <v>133</v>
      </c>
      <c r="B1089" s="14">
        <v>44403</v>
      </c>
      <c r="C1089" s="14">
        <v>44405</v>
      </c>
      <c r="D1089" s="13" t="s">
        <v>124</v>
      </c>
      <c r="E1089" s="324" t="s">
        <v>125</v>
      </c>
      <c r="F1089" s="13" t="s">
        <v>390</v>
      </c>
      <c r="G1089" s="13" t="s">
        <v>126</v>
      </c>
      <c r="H1089" s="372">
        <v>1000</v>
      </c>
      <c r="I1089" s="15">
        <v>41</v>
      </c>
      <c r="J1089" s="15"/>
      <c r="K1089" s="15"/>
      <c r="L1089" s="15"/>
      <c r="M1089" s="15"/>
      <c r="N1089" s="15"/>
      <c r="O1089" s="15"/>
      <c r="P1089" s="15"/>
      <c r="Q1089" s="15"/>
      <c r="R1089" s="15"/>
      <c r="S1089" s="15"/>
      <c r="T1089" s="15"/>
      <c r="U1089" s="15">
        <v>40</v>
      </c>
      <c r="V1089" s="15"/>
      <c r="W1089" s="15"/>
      <c r="X1089" s="15"/>
      <c r="Y1089" s="15"/>
      <c r="Z1089" s="15">
        <v>2</v>
      </c>
      <c r="AA1089" s="15">
        <v>17</v>
      </c>
      <c r="AB1089" s="16">
        <f>100/(SUM(I1089:Z1089))</f>
        <v>1.2048192771084338</v>
      </c>
      <c r="AC1089" s="259">
        <f>SUM(I1089:AA1089)</f>
        <v>100</v>
      </c>
      <c r="AD1089" s="15"/>
      <c r="AE1089" s="15"/>
      <c r="AF1089" s="15"/>
      <c r="AG1089" s="17" t="s">
        <v>127</v>
      </c>
      <c r="AH1089" s="18" t="s">
        <v>872</v>
      </c>
      <c r="AI1089" s="18"/>
      <c r="AJ1089" s="18"/>
      <c r="AK1089" s="13" t="s">
        <v>788</v>
      </c>
      <c r="AL1089" s="17">
        <f>(B1089-DATE(1970,1,1))*86400</f>
        <v>1627257600</v>
      </c>
      <c r="AM1089" s="17">
        <f>(C1089-DATE(1970,1,1))*86400</f>
        <v>1627430400</v>
      </c>
      <c r="AN1089" s="17">
        <f>AVERAGE(AL1089:AM1089)</f>
        <v>1627344000</v>
      </c>
    </row>
    <row r="1090" spans="1:40" ht="15.75" customHeight="1" x14ac:dyDescent="0.2">
      <c r="A1090" s="279" t="s">
        <v>123</v>
      </c>
      <c r="B1090" s="14">
        <v>44403</v>
      </c>
      <c r="C1090" s="14">
        <v>44405</v>
      </c>
      <c r="D1090" s="13" t="s">
        <v>124</v>
      </c>
      <c r="E1090" s="324" t="s">
        <v>125</v>
      </c>
      <c r="F1090" s="13" t="s">
        <v>390</v>
      </c>
      <c r="G1090" s="13" t="s">
        <v>126</v>
      </c>
      <c r="H1090" s="372">
        <v>1000</v>
      </c>
      <c r="I1090" s="15">
        <v>51</v>
      </c>
      <c r="J1090" s="15"/>
      <c r="K1090" s="15"/>
      <c r="L1090" s="15"/>
      <c r="M1090" s="15"/>
      <c r="N1090" s="15"/>
      <c r="O1090" s="15"/>
      <c r="P1090" s="15"/>
      <c r="Q1090" s="15"/>
      <c r="R1090" s="15"/>
      <c r="S1090" s="15"/>
      <c r="T1090" s="15"/>
      <c r="U1090" s="15">
        <v>47</v>
      </c>
      <c r="V1090" s="15"/>
      <c r="W1090" s="15"/>
      <c r="X1090" s="15"/>
      <c r="Y1090" s="15"/>
      <c r="Z1090" s="15">
        <v>2</v>
      </c>
      <c r="AA1090" s="15">
        <v>0</v>
      </c>
      <c r="AB1090" s="16">
        <f>100/(SUM(I1090:Z1090))</f>
        <v>1</v>
      </c>
      <c r="AC1090" s="259">
        <f>SUM(I1090:AA1090)</f>
        <v>100</v>
      </c>
      <c r="AD1090" s="15"/>
      <c r="AE1090" s="15"/>
      <c r="AF1090" s="15"/>
      <c r="AG1090" s="17" t="s">
        <v>127</v>
      </c>
      <c r="AH1090" s="18" t="s">
        <v>872</v>
      </c>
      <c r="AI1090" s="18"/>
      <c r="AJ1090" s="18"/>
      <c r="AK1090" s="13" t="s">
        <v>788</v>
      </c>
      <c r="AL1090" s="17">
        <f>(B1090-DATE(1970,1,1))*86400</f>
        <v>1627257600</v>
      </c>
      <c r="AM1090" s="17">
        <f>(C1090-DATE(1970,1,1))*86400</f>
        <v>1627430400</v>
      </c>
      <c r="AN1090" s="17">
        <f>AVERAGE(AL1090:AM1090)</f>
        <v>1627344000</v>
      </c>
    </row>
    <row r="1091" spans="1:40" ht="15.75" customHeight="1" x14ac:dyDescent="0.2">
      <c r="A1091" s="302" t="s">
        <v>133</v>
      </c>
      <c r="B1091" s="122">
        <v>44396</v>
      </c>
      <c r="C1091" s="122">
        <v>44401</v>
      </c>
      <c r="D1091" s="121" t="s">
        <v>718</v>
      </c>
      <c r="E1091" s="322" t="s">
        <v>184</v>
      </c>
      <c r="F1091" s="121"/>
      <c r="G1091" s="121" t="s">
        <v>126</v>
      </c>
      <c r="H1091" s="369">
        <v>1000</v>
      </c>
      <c r="I1091" s="123">
        <v>39</v>
      </c>
      <c r="J1091" s="123">
        <v>2</v>
      </c>
      <c r="K1091" s="123">
        <v>7</v>
      </c>
      <c r="L1091" s="123">
        <v>2</v>
      </c>
      <c r="M1091" s="123">
        <v>15</v>
      </c>
      <c r="N1091" s="123"/>
      <c r="O1091" s="123"/>
      <c r="P1091" s="123">
        <v>6</v>
      </c>
      <c r="Q1091" s="123"/>
      <c r="R1091" s="124"/>
      <c r="S1091" s="123"/>
      <c r="T1091" s="123"/>
      <c r="U1091" s="123"/>
      <c r="V1091" s="123">
        <v>2</v>
      </c>
      <c r="W1091" s="123"/>
      <c r="X1091" s="123">
        <v>2</v>
      </c>
      <c r="Y1091" s="123"/>
      <c r="Z1091" s="123">
        <v>0</v>
      </c>
      <c r="AA1091" s="123">
        <v>24</v>
      </c>
      <c r="AB1091" s="125">
        <f>100/(SUM(I1091:Z1091))</f>
        <v>1.3333333333333333</v>
      </c>
      <c r="AC1091" s="259">
        <f>SUM(I1091:AA1091)</f>
        <v>99</v>
      </c>
      <c r="AD1091" s="123">
        <v>42</v>
      </c>
      <c r="AE1091" s="123"/>
      <c r="AF1091" s="123"/>
      <c r="AG1091" s="126" t="s">
        <v>719</v>
      </c>
      <c r="AH1091" s="253" t="s">
        <v>2024</v>
      </c>
      <c r="AI1091" s="253" t="s">
        <v>1990</v>
      </c>
      <c r="AJ1091" s="253" t="s">
        <v>1996</v>
      </c>
      <c r="AK1091" s="121" t="s">
        <v>2022</v>
      </c>
      <c r="AL1091" s="126">
        <f>(B1091-DATE(1970,1,1))*86400</f>
        <v>1626652800</v>
      </c>
      <c r="AM1091" s="126">
        <f>(C1091-DATE(1970,1,1))*86400</f>
        <v>1627084800</v>
      </c>
      <c r="AN1091" s="126">
        <f>AVERAGE(AL1091:AM1091)</f>
        <v>1626868800</v>
      </c>
    </row>
    <row r="1092" spans="1:40" ht="15.75" customHeight="1" x14ac:dyDescent="0.2">
      <c r="A1092" s="302" t="s">
        <v>133</v>
      </c>
      <c r="B1092" s="122">
        <v>44396</v>
      </c>
      <c r="C1092" s="122">
        <v>44401</v>
      </c>
      <c r="D1092" s="121" t="s">
        <v>718</v>
      </c>
      <c r="E1092" s="322" t="s">
        <v>184</v>
      </c>
      <c r="F1092" s="121" t="s">
        <v>2049</v>
      </c>
      <c r="G1092" s="121" t="s">
        <v>126</v>
      </c>
      <c r="H1092" s="369">
        <v>1000</v>
      </c>
      <c r="I1092" s="123">
        <v>40.6</v>
      </c>
      <c r="J1092" s="123"/>
      <c r="K1092" s="123"/>
      <c r="L1092" s="123"/>
      <c r="M1092" s="123"/>
      <c r="N1092" s="123"/>
      <c r="O1092" s="123"/>
      <c r="P1092" s="123"/>
      <c r="Q1092" s="123"/>
      <c r="R1092" s="124"/>
      <c r="S1092" s="123"/>
      <c r="T1092" s="123"/>
      <c r="U1092" s="123">
        <v>41.5</v>
      </c>
      <c r="V1092" s="123"/>
      <c r="W1092" s="123"/>
      <c r="X1092" s="123"/>
      <c r="Y1092" s="123"/>
      <c r="Z1092" s="123"/>
      <c r="AA1092" s="123">
        <v>18</v>
      </c>
      <c r="AB1092" s="125">
        <f>100/(SUM(I1092:Z1092))</f>
        <v>1.2180267965895251</v>
      </c>
      <c r="AC1092" s="259">
        <f>SUM(I1092:AA1092)</f>
        <v>100.1</v>
      </c>
      <c r="AD1092" s="123"/>
      <c r="AE1092" s="123"/>
      <c r="AF1092" s="123"/>
      <c r="AG1092" s="126" t="s">
        <v>719</v>
      </c>
      <c r="AH1092" s="253" t="s">
        <v>2024</v>
      </c>
      <c r="AI1092" s="253" t="s">
        <v>1990</v>
      </c>
      <c r="AJ1092" s="253" t="s">
        <v>1996</v>
      </c>
      <c r="AK1092" s="121" t="s">
        <v>2023</v>
      </c>
      <c r="AL1092" s="126">
        <f>(B1092-DATE(1970,1,1))*86400</f>
        <v>1626652800</v>
      </c>
      <c r="AM1092" s="126">
        <f>(C1092-DATE(1970,1,1))*86400</f>
        <v>1627084800</v>
      </c>
      <c r="AN1092" s="126">
        <f>AVERAGE(AL1092:AM1092)</f>
        <v>1626868800</v>
      </c>
    </row>
    <row r="1093" spans="1:40" ht="15.75" customHeight="1" x14ac:dyDescent="0.2">
      <c r="A1093" s="288" t="s">
        <v>133</v>
      </c>
      <c r="B1093" s="60">
        <v>44396</v>
      </c>
      <c r="C1093" s="60">
        <v>44399</v>
      </c>
      <c r="D1093" s="61" t="s">
        <v>168</v>
      </c>
      <c r="E1093" s="334" t="s">
        <v>125</v>
      </c>
      <c r="F1093" s="61"/>
      <c r="G1093" s="61" t="s">
        <v>126</v>
      </c>
      <c r="H1093" s="334">
        <v>1000</v>
      </c>
      <c r="I1093" s="63">
        <v>35</v>
      </c>
      <c r="J1093" s="63"/>
      <c r="K1093" s="63">
        <v>11</v>
      </c>
      <c r="L1093" s="63">
        <v>1</v>
      </c>
      <c r="M1093" s="63">
        <v>12</v>
      </c>
      <c r="N1093" s="63"/>
      <c r="O1093" s="63"/>
      <c r="P1093" s="63">
        <v>6</v>
      </c>
      <c r="Q1093" s="63"/>
      <c r="R1093" s="64">
        <v>7</v>
      </c>
      <c r="S1093" s="63"/>
      <c r="T1093" s="63"/>
      <c r="U1093" s="63"/>
      <c r="V1093" s="63">
        <v>1</v>
      </c>
      <c r="W1093" s="63"/>
      <c r="X1093" s="63">
        <v>1</v>
      </c>
      <c r="Y1093" s="63"/>
      <c r="Z1093" s="63"/>
      <c r="AA1093" s="63">
        <v>26</v>
      </c>
      <c r="AB1093" s="65">
        <f>100/(SUM(I1093:Z1093))</f>
        <v>1.3513513513513513</v>
      </c>
      <c r="AC1093" s="259">
        <f>SUM(I1093:AA1093)</f>
        <v>100</v>
      </c>
      <c r="AD1093" s="63"/>
      <c r="AE1093" s="63"/>
      <c r="AF1093" s="63"/>
      <c r="AG1093" s="66" t="s">
        <v>127</v>
      </c>
      <c r="AH1093" s="67" t="s">
        <v>883</v>
      </c>
      <c r="AI1093" s="67"/>
      <c r="AJ1093" s="67"/>
      <c r="AK1093" s="61" t="s">
        <v>884</v>
      </c>
      <c r="AL1093" s="66">
        <f>(B1093-DATE(1970,1,1))*86400</f>
        <v>1626652800</v>
      </c>
      <c r="AM1093" s="66">
        <f>(C1093-DATE(1970,1,1))*86400</f>
        <v>1626912000</v>
      </c>
      <c r="AN1093" s="66">
        <f>AVERAGE(AL1093:AM1093)</f>
        <v>1626782400</v>
      </c>
    </row>
    <row r="1094" spans="1:40" ht="15.75" customHeight="1" x14ac:dyDescent="0.2">
      <c r="A1094" s="288" t="s">
        <v>133</v>
      </c>
      <c r="B1094" s="60">
        <v>44396</v>
      </c>
      <c r="C1094" s="60">
        <v>44399</v>
      </c>
      <c r="D1094" s="61" t="s">
        <v>168</v>
      </c>
      <c r="E1094" s="334" t="s">
        <v>125</v>
      </c>
      <c r="F1094" s="61"/>
      <c r="G1094" s="61" t="s">
        <v>126</v>
      </c>
      <c r="H1094" s="334">
        <v>1000</v>
      </c>
      <c r="I1094" s="63">
        <v>48</v>
      </c>
      <c r="J1094" s="63"/>
      <c r="K1094" s="63">
        <v>14</v>
      </c>
      <c r="L1094" s="63">
        <v>1</v>
      </c>
      <c r="M1094" s="63">
        <v>16</v>
      </c>
      <c r="N1094" s="63"/>
      <c r="O1094" s="63"/>
      <c r="P1094" s="63">
        <v>8</v>
      </c>
      <c r="Q1094" s="63"/>
      <c r="R1094" s="64">
        <v>10</v>
      </c>
      <c r="S1094" s="63"/>
      <c r="T1094" s="63"/>
      <c r="U1094" s="63"/>
      <c r="V1094" s="63">
        <v>2</v>
      </c>
      <c r="W1094" s="63"/>
      <c r="X1094" s="63">
        <v>1</v>
      </c>
      <c r="Y1094" s="63"/>
      <c r="Z1094" s="63"/>
      <c r="AA1094" s="63">
        <v>0</v>
      </c>
      <c r="AB1094" s="65">
        <f>100/(SUM(I1094:Z1094))</f>
        <v>1</v>
      </c>
      <c r="AC1094" s="259">
        <f>SUM(I1094:AA1094)</f>
        <v>100</v>
      </c>
      <c r="AD1094" s="63"/>
      <c r="AE1094" s="63"/>
      <c r="AF1094" s="63"/>
      <c r="AG1094" s="66" t="s">
        <v>127</v>
      </c>
      <c r="AH1094" s="67" t="s">
        <v>883</v>
      </c>
      <c r="AI1094" s="67"/>
      <c r="AJ1094" s="67"/>
      <c r="AK1094" s="61" t="s">
        <v>885</v>
      </c>
      <c r="AL1094" s="66">
        <f>(B1094-DATE(1970,1,1))*86400</f>
        <v>1626652800</v>
      </c>
      <c r="AM1094" s="66">
        <f>(C1094-DATE(1970,1,1))*86400</f>
        <v>1626912000</v>
      </c>
      <c r="AN1094" s="66">
        <f>AVERAGE(AL1094:AM1094)</f>
        <v>1626782400</v>
      </c>
    </row>
    <row r="1095" spans="1:40" ht="15.75" customHeight="1" x14ac:dyDescent="0.2">
      <c r="A1095" s="285" t="s">
        <v>133</v>
      </c>
      <c r="B1095" s="34">
        <v>44390</v>
      </c>
      <c r="C1095" s="34">
        <v>44396</v>
      </c>
      <c r="D1095" s="33" t="s">
        <v>143</v>
      </c>
      <c r="E1095" s="319" t="s">
        <v>125</v>
      </c>
      <c r="F1095" s="33" t="s">
        <v>140</v>
      </c>
      <c r="G1095" s="33" t="s">
        <v>126</v>
      </c>
      <c r="H1095" s="353">
        <v>1000</v>
      </c>
      <c r="I1095" s="35"/>
      <c r="J1095" s="35"/>
      <c r="K1095" s="35"/>
      <c r="L1095" s="35"/>
      <c r="M1095" s="35"/>
      <c r="N1095" s="35"/>
      <c r="O1095" s="35"/>
      <c r="P1095" s="35"/>
      <c r="Q1095" s="35"/>
      <c r="R1095" s="36"/>
      <c r="S1095" s="35"/>
      <c r="T1095" s="35"/>
      <c r="U1095" s="35"/>
      <c r="V1095" s="35"/>
      <c r="W1095" s="35"/>
      <c r="X1095" s="35"/>
      <c r="Y1095" s="35"/>
      <c r="Z1095" s="35"/>
      <c r="AA1095" s="35"/>
      <c r="AB1095" s="37" t="e">
        <f>100/(SUM(I1095:Z1095))</f>
        <v>#DIV/0!</v>
      </c>
      <c r="AC1095" s="259">
        <f>SUM(I1095:AA1095)</f>
        <v>0</v>
      </c>
      <c r="AD1095" s="35"/>
      <c r="AE1095" s="35"/>
      <c r="AF1095" s="35"/>
      <c r="AG1095" s="39" t="s">
        <v>886</v>
      </c>
      <c r="AH1095" s="33" t="s">
        <v>887</v>
      </c>
      <c r="AI1095" s="38"/>
      <c r="AJ1095" s="38"/>
      <c r="AK1095" s="33"/>
      <c r="AL1095" s="39">
        <f>(B1095-DATE(1970,1,1))*86400</f>
        <v>1626134400</v>
      </c>
      <c r="AM1095" s="39">
        <f>(C1095-DATE(1970,1,1))*86400</f>
        <v>1626652800</v>
      </c>
      <c r="AN1095" s="39">
        <f>AVERAGE(AL1095:AM1095)</f>
        <v>1626393600</v>
      </c>
    </row>
    <row r="1096" spans="1:40" ht="15.75" customHeight="1" x14ac:dyDescent="0.2">
      <c r="A1096" s="284" t="s">
        <v>133</v>
      </c>
      <c r="B1096" s="20">
        <v>44377</v>
      </c>
      <c r="C1096" s="20">
        <v>44381</v>
      </c>
      <c r="D1096" s="19" t="s">
        <v>134</v>
      </c>
      <c r="E1096" s="332" t="s">
        <v>125</v>
      </c>
      <c r="F1096" s="19"/>
      <c r="G1096" s="19" t="s">
        <v>135</v>
      </c>
      <c r="H1096" s="332">
        <v>2000</v>
      </c>
      <c r="I1096" s="21">
        <v>32</v>
      </c>
      <c r="J1096" s="21"/>
      <c r="K1096" s="21">
        <v>11</v>
      </c>
      <c r="L1096" s="21">
        <v>1</v>
      </c>
      <c r="M1096" s="21">
        <v>10</v>
      </c>
      <c r="N1096" s="21"/>
      <c r="O1096" s="21"/>
      <c r="P1096" s="21">
        <v>5</v>
      </c>
      <c r="Q1096" s="21"/>
      <c r="R1096" s="22">
        <v>5</v>
      </c>
      <c r="S1096" s="21"/>
      <c r="T1096" s="21"/>
      <c r="U1096" s="21"/>
      <c r="V1096" s="21">
        <v>3</v>
      </c>
      <c r="W1096" s="21"/>
      <c r="X1096" s="21">
        <v>3</v>
      </c>
      <c r="Y1096" s="21"/>
      <c r="Z1096" s="21">
        <v>0</v>
      </c>
      <c r="AA1096" s="21">
        <v>30</v>
      </c>
      <c r="AB1096" s="23">
        <f>100/(SUM(I1096:Z1096))</f>
        <v>1.4285714285714286</v>
      </c>
      <c r="AC1096" s="259">
        <f>SUM(I1096:AA1096)</f>
        <v>100</v>
      </c>
      <c r="AD1096" s="24"/>
      <c r="AE1096" s="24"/>
      <c r="AF1096" s="24"/>
      <c r="AG1096" s="25" t="s">
        <v>127</v>
      </c>
      <c r="AH1096" s="26" t="s">
        <v>888</v>
      </c>
      <c r="AI1096" s="83" t="s">
        <v>889</v>
      </c>
      <c r="AJ1096" s="83"/>
      <c r="AK1096" s="19" t="s">
        <v>890</v>
      </c>
      <c r="AL1096" s="25">
        <f>(B1096-DATE(1970,1,1))*86400</f>
        <v>1625011200</v>
      </c>
      <c r="AM1096" s="25">
        <f>(C1096-DATE(1970,1,1))*86400</f>
        <v>1625356800</v>
      </c>
      <c r="AN1096" s="25">
        <f>AVERAGE(AL1096:AM1096)</f>
        <v>1625184000</v>
      </c>
    </row>
    <row r="1097" spans="1:40" ht="15.75" customHeight="1" x14ac:dyDescent="0.2">
      <c r="A1097" s="284" t="s">
        <v>133</v>
      </c>
      <c r="B1097" s="20">
        <v>44377</v>
      </c>
      <c r="C1097" s="20">
        <v>44381</v>
      </c>
      <c r="D1097" s="19" t="s">
        <v>134</v>
      </c>
      <c r="E1097" s="332" t="s">
        <v>125</v>
      </c>
      <c r="F1097" s="19" t="s">
        <v>390</v>
      </c>
      <c r="G1097" s="19" t="s">
        <v>135</v>
      </c>
      <c r="H1097" s="332">
        <v>2000</v>
      </c>
      <c r="I1097" s="21">
        <v>36</v>
      </c>
      <c r="J1097" s="21"/>
      <c r="K1097" s="21"/>
      <c r="L1097" s="21"/>
      <c r="M1097" s="21"/>
      <c r="N1097" s="21"/>
      <c r="O1097" s="21"/>
      <c r="P1097" s="21"/>
      <c r="Q1097" s="21"/>
      <c r="R1097" s="22"/>
      <c r="S1097" s="21"/>
      <c r="T1097" s="21"/>
      <c r="U1097" s="21">
        <v>37</v>
      </c>
      <c r="V1097" s="21">
        <v>3</v>
      </c>
      <c r="W1097" s="21"/>
      <c r="X1097" s="21">
        <v>4</v>
      </c>
      <c r="Y1097" s="21"/>
      <c r="Z1097" s="21">
        <v>1</v>
      </c>
      <c r="AA1097" s="21">
        <v>19</v>
      </c>
      <c r="AB1097" s="23">
        <f>100/(SUM(I1097:Z1097))</f>
        <v>1.2345679012345678</v>
      </c>
      <c r="AC1097" s="259">
        <f>SUM(I1097:AA1097)</f>
        <v>100</v>
      </c>
      <c r="AD1097" s="24"/>
      <c r="AE1097" s="24"/>
      <c r="AF1097" s="24"/>
      <c r="AG1097" s="25" t="s">
        <v>127</v>
      </c>
      <c r="AH1097" s="26" t="s">
        <v>888</v>
      </c>
      <c r="AI1097" s="83" t="s">
        <v>889</v>
      </c>
      <c r="AJ1097" s="83"/>
      <c r="AK1097" s="19"/>
      <c r="AL1097" s="25">
        <f>(B1097-DATE(1970,1,1))*86400</f>
        <v>1625011200</v>
      </c>
      <c r="AM1097" s="25">
        <f>(C1097-DATE(1970,1,1))*86400</f>
        <v>1625356800</v>
      </c>
      <c r="AN1097" s="25">
        <f>AVERAGE(AL1097:AM1097)</f>
        <v>1625184000</v>
      </c>
    </row>
    <row r="1098" spans="1:40" ht="15.75" customHeight="1" x14ac:dyDescent="0.2">
      <c r="A1098" s="284" t="s">
        <v>123</v>
      </c>
      <c r="B1098" s="20">
        <v>44377</v>
      </c>
      <c r="C1098" s="20">
        <v>44381</v>
      </c>
      <c r="D1098" s="19" t="s">
        <v>134</v>
      </c>
      <c r="E1098" s="332" t="s">
        <v>125</v>
      </c>
      <c r="F1098" s="19" t="s">
        <v>390</v>
      </c>
      <c r="G1098" s="19" t="s">
        <v>135</v>
      </c>
      <c r="H1098" s="332">
        <v>2000</v>
      </c>
      <c r="I1098" s="21">
        <v>47</v>
      </c>
      <c r="J1098" s="21"/>
      <c r="K1098" s="21"/>
      <c r="L1098" s="21"/>
      <c r="M1098" s="21"/>
      <c r="N1098" s="21"/>
      <c r="O1098" s="21"/>
      <c r="P1098" s="21"/>
      <c r="Q1098" s="21"/>
      <c r="R1098" s="22"/>
      <c r="S1098" s="21"/>
      <c r="T1098" s="21"/>
      <c r="U1098" s="21">
        <v>45</v>
      </c>
      <c r="V1098" s="21">
        <v>3</v>
      </c>
      <c r="W1098" s="21"/>
      <c r="X1098" s="21">
        <v>4</v>
      </c>
      <c r="Y1098" s="21"/>
      <c r="Z1098" s="21">
        <v>1</v>
      </c>
      <c r="AA1098" s="21">
        <v>0</v>
      </c>
      <c r="AB1098" s="23">
        <f>100/(SUM(I1098:Z1098))</f>
        <v>1</v>
      </c>
      <c r="AC1098" s="259">
        <f>SUM(I1098:AA1098)</f>
        <v>100</v>
      </c>
      <c r="AD1098" s="24"/>
      <c r="AE1098" s="24"/>
      <c r="AF1098" s="24"/>
      <c r="AG1098" s="25" t="s">
        <v>127</v>
      </c>
      <c r="AH1098" s="26" t="s">
        <v>888</v>
      </c>
      <c r="AI1098" s="83" t="s">
        <v>889</v>
      </c>
      <c r="AJ1098" s="83"/>
      <c r="AK1098" s="19"/>
      <c r="AL1098" s="25">
        <f>(B1098-DATE(1970,1,1))*86400</f>
        <v>1625011200</v>
      </c>
      <c r="AM1098" s="25">
        <f>(C1098-DATE(1970,1,1))*86400</f>
        <v>1625356800</v>
      </c>
      <c r="AN1098" s="25">
        <f>AVERAGE(AL1098:AM1098)</f>
        <v>1625184000</v>
      </c>
    </row>
    <row r="1099" spans="1:40" ht="15.75" customHeight="1" x14ac:dyDescent="0.2">
      <c r="A1099" s="284" t="s">
        <v>123</v>
      </c>
      <c r="B1099" s="20">
        <v>44377</v>
      </c>
      <c r="C1099" s="20">
        <v>44381</v>
      </c>
      <c r="D1099" s="19" t="s">
        <v>134</v>
      </c>
      <c r="E1099" s="332" t="s">
        <v>125</v>
      </c>
      <c r="F1099" s="19"/>
      <c r="G1099" s="19" t="s">
        <v>135</v>
      </c>
      <c r="H1099" s="332">
        <v>2000</v>
      </c>
      <c r="I1099" s="21">
        <v>47</v>
      </c>
      <c r="J1099" s="21"/>
      <c r="K1099" s="21">
        <v>15</v>
      </c>
      <c r="L1099" s="21">
        <v>2</v>
      </c>
      <c r="M1099" s="21">
        <v>15</v>
      </c>
      <c r="N1099" s="21"/>
      <c r="O1099" s="21"/>
      <c r="P1099" s="21">
        <v>8</v>
      </c>
      <c r="Q1099" s="21"/>
      <c r="R1099" s="22">
        <v>6</v>
      </c>
      <c r="S1099" s="21"/>
      <c r="T1099" s="21"/>
      <c r="U1099" s="21"/>
      <c r="V1099" s="21">
        <v>3</v>
      </c>
      <c r="W1099" s="21"/>
      <c r="X1099" s="21">
        <v>3</v>
      </c>
      <c r="Y1099" s="21"/>
      <c r="Z1099" s="21">
        <v>1</v>
      </c>
      <c r="AA1099" s="21">
        <v>0</v>
      </c>
      <c r="AB1099" s="23">
        <f>100/(SUM(I1099:Z1099))</f>
        <v>1</v>
      </c>
      <c r="AC1099" s="259">
        <f>SUM(I1099:AA1099)</f>
        <v>100</v>
      </c>
      <c r="AD1099" s="24"/>
      <c r="AE1099" s="24"/>
      <c r="AF1099" s="24"/>
      <c r="AG1099" s="25" t="s">
        <v>127</v>
      </c>
      <c r="AH1099" s="26" t="s">
        <v>888</v>
      </c>
      <c r="AI1099" s="83" t="s">
        <v>889</v>
      </c>
      <c r="AJ1099" s="83"/>
      <c r="AK1099" s="19" t="s">
        <v>881</v>
      </c>
      <c r="AL1099" s="25">
        <f>(B1099-DATE(1970,1,1))*86400</f>
        <v>1625011200</v>
      </c>
      <c r="AM1099" s="25">
        <f>(C1099-DATE(1970,1,1))*86400</f>
        <v>1625356800</v>
      </c>
      <c r="AN1099" s="25">
        <f>AVERAGE(AL1099:AM1099)</f>
        <v>1625184000</v>
      </c>
    </row>
    <row r="1100" spans="1:40" ht="15.75" customHeight="1" x14ac:dyDescent="0.2">
      <c r="A1100" s="298" t="s">
        <v>133</v>
      </c>
      <c r="B1100" s="85">
        <v>44367</v>
      </c>
      <c r="C1100" s="85">
        <v>44380</v>
      </c>
      <c r="D1100" s="84" t="s">
        <v>830</v>
      </c>
      <c r="E1100" s="341" t="s">
        <v>184</v>
      </c>
      <c r="F1100" s="84"/>
      <c r="G1100" s="84" t="s">
        <v>149</v>
      </c>
      <c r="H1100" s="341">
        <v>1000</v>
      </c>
      <c r="I1100" s="86">
        <v>34</v>
      </c>
      <c r="J1100" s="86"/>
      <c r="K1100" s="86">
        <v>10</v>
      </c>
      <c r="L1100" s="86">
        <v>1</v>
      </c>
      <c r="M1100" s="86">
        <v>10</v>
      </c>
      <c r="N1100" s="86"/>
      <c r="O1100" s="86"/>
      <c r="P1100" s="86">
        <v>3</v>
      </c>
      <c r="Q1100" s="86"/>
      <c r="R1100" s="128">
        <v>5</v>
      </c>
      <c r="S1100" s="86"/>
      <c r="T1100" s="86"/>
      <c r="U1100" s="86">
        <v>1</v>
      </c>
      <c r="V1100" s="86">
        <v>1</v>
      </c>
      <c r="W1100" s="86"/>
      <c r="X1100" s="86">
        <v>1</v>
      </c>
      <c r="Y1100" s="86"/>
      <c r="Z1100" s="86"/>
      <c r="AA1100" s="86">
        <v>34</v>
      </c>
      <c r="AB1100" s="87">
        <f>100/(SUM(I1100:Z1100))</f>
        <v>1.5151515151515151</v>
      </c>
      <c r="AC1100" s="259">
        <f>SUM(I1100:AA1100)</f>
        <v>100</v>
      </c>
      <c r="AD1100" s="141"/>
      <c r="AE1100" s="141"/>
      <c r="AF1100" s="141"/>
      <c r="AG1100" s="88" t="s">
        <v>136</v>
      </c>
      <c r="AH1100" s="88" t="s">
        <v>891</v>
      </c>
      <c r="AI1100" s="89" t="s">
        <v>892</v>
      </c>
      <c r="AJ1100" s="89"/>
      <c r="AK1100" s="84" t="s">
        <v>894</v>
      </c>
      <c r="AL1100" s="88">
        <f>(B1100-DATE(1970,1,1))*86400</f>
        <v>1624147200</v>
      </c>
      <c r="AM1100" s="88">
        <f>(C1100-DATE(1970,1,1))*86400</f>
        <v>1625270400</v>
      </c>
      <c r="AN1100" s="88">
        <f>AVERAGE(AL1100:AM1100)</f>
        <v>1624708800</v>
      </c>
    </row>
    <row r="1101" spans="1:40" ht="15.75" customHeight="1" x14ac:dyDescent="0.2">
      <c r="A1101" s="298" t="s">
        <v>133</v>
      </c>
      <c r="B1101" s="85">
        <v>44367</v>
      </c>
      <c r="C1101" s="85">
        <v>44380</v>
      </c>
      <c r="D1101" s="84" t="s">
        <v>830</v>
      </c>
      <c r="E1101" s="341" t="s">
        <v>184</v>
      </c>
      <c r="F1101" s="84"/>
      <c r="G1101" s="84" t="s">
        <v>149</v>
      </c>
      <c r="H1101" s="341">
        <v>1000</v>
      </c>
      <c r="I1101" s="86">
        <v>51</v>
      </c>
      <c r="J1101" s="86"/>
      <c r="K1101" s="86">
        <v>16</v>
      </c>
      <c r="L1101" s="86">
        <v>2</v>
      </c>
      <c r="M1101" s="86">
        <v>15</v>
      </c>
      <c r="N1101" s="86"/>
      <c r="O1101" s="86"/>
      <c r="P1101" s="86">
        <v>5</v>
      </c>
      <c r="Q1101" s="86"/>
      <c r="R1101" s="128">
        <v>7</v>
      </c>
      <c r="S1101" s="86"/>
      <c r="T1101" s="86"/>
      <c r="U1101" s="86">
        <v>1</v>
      </c>
      <c r="V1101" s="86">
        <v>1</v>
      </c>
      <c r="W1101" s="86"/>
      <c r="X1101" s="86">
        <v>2</v>
      </c>
      <c r="Y1101" s="86"/>
      <c r="Z1101" s="86"/>
      <c r="AA1101" s="86">
        <v>0</v>
      </c>
      <c r="AB1101" s="87">
        <f>100/(SUM(I1101:Z1101))</f>
        <v>1</v>
      </c>
      <c r="AC1101" s="259">
        <f>SUM(I1101:AA1101)</f>
        <v>100</v>
      </c>
      <c r="AD1101" s="141"/>
      <c r="AE1101" s="86">
        <v>14</v>
      </c>
      <c r="AF1101" s="86" t="s">
        <v>846</v>
      </c>
      <c r="AG1101" s="88" t="s">
        <v>136</v>
      </c>
      <c r="AH1101" s="88" t="s">
        <v>891</v>
      </c>
      <c r="AI1101" s="89" t="s">
        <v>892</v>
      </c>
      <c r="AJ1101" s="89"/>
      <c r="AK1101" s="84" t="s">
        <v>893</v>
      </c>
      <c r="AL1101" s="88">
        <f>(B1101-DATE(1970,1,1))*86400</f>
        <v>1624147200</v>
      </c>
      <c r="AM1101" s="88">
        <f>(C1101-DATE(1970,1,1))*86400</f>
        <v>1625270400</v>
      </c>
      <c r="AN1101" s="88">
        <f>AVERAGE(AL1101:AM1101)</f>
        <v>1624708800</v>
      </c>
    </row>
    <row r="1102" spans="1:40" ht="15.75" customHeight="1" x14ac:dyDescent="0.2">
      <c r="A1102" s="281" t="s">
        <v>133</v>
      </c>
      <c r="B1102" s="54">
        <v>44369</v>
      </c>
      <c r="C1102" s="54">
        <v>44376</v>
      </c>
      <c r="D1102" s="53" t="s">
        <v>154</v>
      </c>
      <c r="E1102" s="323" t="s">
        <v>125</v>
      </c>
      <c r="F1102" s="53" t="s">
        <v>140</v>
      </c>
      <c r="G1102" s="53" t="s">
        <v>126</v>
      </c>
      <c r="H1102" s="357">
        <v>1004</v>
      </c>
      <c r="I1102" s="55"/>
      <c r="J1102" s="55"/>
      <c r="K1102" s="55"/>
      <c r="L1102" s="55"/>
      <c r="M1102" s="55"/>
      <c r="N1102" s="55"/>
      <c r="O1102" s="55"/>
      <c r="P1102" s="55"/>
      <c r="Q1102" s="55"/>
      <c r="R1102" s="56"/>
      <c r="S1102" s="55"/>
      <c r="T1102" s="55"/>
      <c r="U1102" s="55"/>
      <c r="V1102" s="55"/>
      <c r="W1102" s="55"/>
      <c r="X1102" s="55"/>
      <c r="Y1102" s="55"/>
      <c r="Z1102" s="55"/>
      <c r="AA1102" s="55"/>
      <c r="AB1102" s="57" t="e">
        <f>100/(SUM(I1102:Z1102))</f>
        <v>#DIV/0!</v>
      </c>
      <c r="AC1102" s="259">
        <f>SUM(I1102:AA1102)</f>
        <v>0</v>
      </c>
      <c r="AD1102" s="55"/>
      <c r="AE1102" s="55"/>
      <c r="AF1102" s="55"/>
      <c r="AG1102" s="58" t="s">
        <v>155</v>
      </c>
      <c r="AH1102" s="59"/>
      <c r="AI1102" s="59"/>
      <c r="AJ1102" s="59"/>
      <c r="AK1102" s="53"/>
      <c r="AL1102" s="58">
        <f>(B1102-DATE(1970,1,1))*86400</f>
        <v>1624320000</v>
      </c>
      <c r="AM1102" s="58">
        <f>(C1102-DATE(1970,1,1))*86400</f>
        <v>1624924800</v>
      </c>
      <c r="AN1102" s="58">
        <f>AVERAGE(AL1102:AM1102)</f>
        <v>1624622400</v>
      </c>
    </row>
    <row r="1103" spans="1:40" ht="15.75" customHeight="1" x14ac:dyDescent="0.2">
      <c r="A1103" s="281" t="s">
        <v>133</v>
      </c>
      <c r="B1103" s="54">
        <v>44369</v>
      </c>
      <c r="C1103" s="54">
        <v>44376</v>
      </c>
      <c r="D1103" s="53" t="s">
        <v>154</v>
      </c>
      <c r="E1103" s="323" t="s">
        <v>125</v>
      </c>
      <c r="F1103" s="53" t="s">
        <v>140</v>
      </c>
      <c r="G1103" s="53" t="s">
        <v>126</v>
      </c>
      <c r="H1103" s="357">
        <v>1004</v>
      </c>
      <c r="I1103" s="55"/>
      <c r="J1103" s="55"/>
      <c r="K1103" s="55"/>
      <c r="L1103" s="55"/>
      <c r="M1103" s="55"/>
      <c r="N1103" s="55"/>
      <c r="O1103" s="55"/>
      <c r="P1103" s="55"/>
      <c r="Q1103" s="55"/>
      <c r="R1103" s="55"/>
      <c r="S1103" s="55"/>
      <c r="T1103" s="55"/>
      <c r="U1103" s="55"/>
      <c r="V1103" s="55"/>
      <c r="W1103" s="55"/>
      <c r="X1103" s="55"/>
      <c r="Y1103" s="55"/>
      <c r="Z1103" s="55"/>
      <c r="AA1103" s="55"/>
      <c r="AB1103" s="57" t="e">
        <f>100/(SUM(I1103:Z1103))</f>
        <v>#DIV/0!</v>
      </c>
      <c r="AC1103" s="259">
        <f>SUM(I1103:AA1103)</f>
        <v>0</v>
      </c>
      <c r="AD1103" s="55"/>
      <c r="AE1103" s="55"/>
      <c r="AF1103" s="55"/>
      <c r="AG1103" s="58" t="s">
        <v>155</v>
      </c>
      <c r="AH1103" s="59"/>
      <c r="AI1103" s="59"/>
      <c r="AJ1103" s="59"/>
      <c r="AK1103" s="53"/>
      <c r="AL1103" s="58">
        <f>(B1103-DATE(1970,1,1))*86400</f>
        <v>1624320000</v>
      </c>
      <c r="AM1103" s="58">
        <f>(C1103-DATE(1970,1,1))*86400</f>
        <v>1624924800</v>
      </c>
      <c r="AN1103" s="58">
        <f>AVERAGE(AL1103:AM1103)</f>
        <v>1624622400</v>
      </c>
    </row>
    <row r="1104" spans="1:40" ht="15.75" customHeight="1" x14ac:dyDescent="0.2">
      <c r="A1104" s="281" t="s">
        <v>123</v>
      </c>
      <c r="B1104" s="54">
        <v>44369</v>
      </c>
      <c r="C1104" s="54">
        <v>44376</v>
      </c>
      <c r="D1104" s="53" t="s">
        <v>154</v>
      </c>
      <c r="E1104" s="323" t="s">
        <v>125</v>
      </c>
      <c r="F1104" s="53" t="s">
        <v>140</v>
      </c>
      <c r="G1104" s="53" t="s">
        <v>126</v>
      </c>
      <c r="H1104" s="357">
        <v>1004</v>
      </c>
      <c r="I1104" s="55"/>
      <c r="J1104" s="55"/>
      <c r="K1104" s="55"/>
      <c r="L1104" s="55"/>
      <c r="M1104" s="55"/>
      <c r="N1104" s="55"/>
      <c r="O1104" s="55"/>
      <c r="P1104" s="55"/>
      <c r="Q1104" s="55"/>
      <c r="R1104" s="55"/>
      <c r="S1104" s="55"/>
      <c r="T1104" s="55"/>
      <c r="U1104" s="55"/>
      <c r="V1104" s="55"/>
      <c r="W1104" s="55"/>
      <c r="X1104" s="55"/>
      <c r="Y1104" s="55"/>
      <c r="Z1104" s="55"/>
      <c r="AA1104" s="55"/>
      <c r="AB1104" s="57" t="e">
        <f>100/(SUM(I1104:Z1104))</f>
        <v>#DIV/0!</v>
      </c>
      <c r="AC1104" s="259">
        <f>SUM(I1104:AA1104)</f>
        <v>0</v>
      </c>
      <c r="AD1104" s="55"/>
      <c r="AE1104" s="55"/>
      <c r="AF1104" s="55"/>
      <c r="AG1104" s="58" t="s">
        <v>155</v>
      </c>
      <c r="AH1104" s="59"/>
      <c r="AI1104" s="59"/>
      <c r="AJ1104" s="59"/>
      <c r="AK1104" s="53"/>
      <c r="AL1104" s="58">
        <f>(B1104-DATE(1970,1,1))*86400</f>
        <v>1624320000</v>
      </c>
      <c r="AM1104" s="58">
        <f>(C1104-DATE(1970,1,1))*86400</f>
        <v>1624924800</v>
      </c>
      <c r="AN1104" s="58">
        <f>AVERAGE(AL1104:AM1104)</f>
        <v>1624622400</v>
      </c>
    </row>
    <row r="1105" spans="1:40" ht="15.75" customHeight="1" x14ac:dyDescent="0.2">
      <c r="A1105" s="281" t="s">
        <v>123</v>
      </c>
      <c r="B1105" s="54">
        <v>44369</v>
      </c>
      <c r="C1105" s="54">
        <v>44376</v>
      </c>
      <c r="D1105" s="53" t="s">
        <v>154</v>
      </c>
      <c r="E1105" s="323" t="s">
        <v>125</v>
      </c>
      <c r="F1105" s="53" t="s">
        <v>140</v>
      </c>
      <c r="G1105" s="53" t="s">
        <v>126</v>
      </c>
      <c r="H1105" s="357">
        <v>1004</v>
      </c>
      <c r="I1105" s="55"/>
      <c r="J1105" s="55"/>
      <c r="K1105" s="55"/>
      <c r="L1105" s="55"/>
      <c r="M1105" s="55"/>
      <c r="N1105" s="55"/>
      <c r="O1105" s="55"/>
      <c r="P1105" s="55"/>
      <c r="Q1105" s="55"/>
      <c r="R1105" s="55"/>
      <c r="S1105" s="55"/>
      <c r="T1105" s="55"/>
      <c r="U1105" s="55"/>
      <c r="V1105" s="55"/>
      <c r="W1105" s="55"/>
      <c r="X1105" s="55"/>
      <c r="Y1105" s="55"/>
      <c r="Z1105" s="55"/>
      <c r="AA1105" s="55"/>
      <c r="AB1105" s="57" t="e">
        <f>100/(SUM(I1105:Z1105))</f>
        <v>#DIV/0!</v>
      </c>
      <c r="AC1105" s="259">
        <f>SUM(I1105:AA1105)</f>
        <v>0</v>
      </c>
      <c r="AD1105" s="55"/>
      <c r="AE1105" s="55"/>
      <c r="AF1105" s="55"/>
      <c r="AG1105" s="58" t="s">
        <v>155</v>
      </c>
      <c r="AH1105" s="59"/>
      <c r="AI1105" s="59"/>
      <c r="AJ1105" s="59" t="s">
        <v>895</v>
      </c>
      <c r="AK1105" s="53"/>
      <c r="AL1105" s="58">
        <f>(B1105-DATE(1970,1,1))*86400</f>
        <v>1624320000</v>
      </c>
      <c r="AM1105" s="58">
        <f>(C1105-DATE(1970,1,1))*86400</f>
        <v>1624924800</v>
      </c>
      <c r="AN1105" s="58">
        <f>AVERAGE(AL1105:AM1105)</f>
        <v>1624622400</v>
      </c>
    </row>
    <row r="1106" spans="1:40" ht="15.75" customHeight="1" x14ac:dyDescent="0.2">
      <c r="A1106" s="288" t="s">
        <v>133</v>
      </c>
      <c r="B1106" s="60">
        <v>44369</v>
      </c>
      <c r="C1106" s="60">
        <v>44375</v>
      </c>
      <c r="D1106" s="61" t="s">
        <v>168</v>
      </c>
      <c r="E1106" s="334" t="s">
        <v>125</v>
      </c>
      <c r="F1106" s="61"/>
      <c r="G1106" s="61" t="s">
        <v>126</v>
      </c>
      <c r="H1106" s="334">
        <v>1000</v>
      </c>
      <c r="I1106" s="63">
        <v>33</v>
      </c>
      <c r="J1106" s="63"/>
      <c r="K1106" s="63">
        <v>9</v>
      </c>
      <c r="L1106" s="63">
        <v>1</v>
      </c>
      <c r="M1106" s="63">
        <v>9</v>
      </c>
      <c r="N1106" s="63"/>
      <c r="O1106" s="63"/>
      <c r="P1106" s="63">
        <v>7</v>
      </c>
      <c r="Q1106" s="63"/>
      <c r="R1106" s="64">
        <v>8</v>
      </c>
      <c r="S1106" s="63"/>
      <c r="T1106" s="63"/>
      <c r="U1106" s="63"/>
      <c r="V1106" s="63">
        <v>1</v>
      </c>
      <c r="W1106" s="63"/>
      <c r="X1106" s="63">
        <v>1</v>
      </c>
      <c r="Y1106" s="63"/>
      <c r="Z1106" s="63">
        <v>0</v>
      </c>
      <c r="AA1106" s="63">
        <v>31</v>
      </c>
      <c r="AB1106" s="65">
        <f>100/(SUM(I1106:Z1106))</f>
        <v>1.4492753623188406</v>
      </c>
      <c r="AC1106" s="259">
        <f>SUM(I1106:AA1106)</f>
        <v>100</v>
      </c>
      <c r="AD1106" s="63"/>
      <c r="AE1106" s="63"/>
      <c r="AF1106" s="63"/>
      <c r="AG1106" s="66" t="s">
        <v>127</v>
      </c>
      <c r="AH1106" s="67" t="s">
        <v>896</v>
      </c>
      <c r="AI1106" s="67" t="s">
        <v>897</v>
      </c>
      <c r="AJ1106" s="67"/>
      <c r="AK1106" s="61" t="s">
        <v>899</v>
      </c>
      <c r="AL1106" s="66">
        <f>(B1106-DATE(1970,1,1))*86400</f>
        <v>1624320000</v>
      </c>
      <c r="AM1106" s="66">
        <f>(C1106-DATE(1970,1,1))*86400</f>
        <v>1624838400</v>
      </c>
      <c r="AN1106" s="66">
        <f>AVERAGE(AL1106:AM1106)</f>
        <v>1624579200</v>
      </c>
    </row>
    <row r="1107" spans="1:40" ht="15.75" customHeight="1" x14ac:dyDescent="0.2">
      <c r="A1107" s="288" t="s">
        <v>133</v>
      </c>
      <c r="B1107" s="60">
        <v>44369</v>
      </c>
      <c r="C1107" s="60">
        <v>44375</v>
      </c>
      <c r="D1107" s="61" t="s">
        <v>168</v>
      </c>
      <c r="E1107" s="334" t="s">
        <v>125</v>
      </c>
      <c r="F1107" s="61"/>
      <c r="G1107" s="61" t="s">
        <v>126</v>
      </c>
      <c r="H1107" s="334">
        <v>1000</v>
      </c>
      <c r="I1107" s="63">
        <v>48</v>
      </c>
      <c r="J1107" s="63"/>
      <c r="K1107" s="63">
        <v>13</v>
      </c>
      <c r="L1107" s="63">
        <v>2</v>
      </c>
      <c r="M1107" s="63">
        <v>13</v>
      </c>
      <c r="N1107" s="63"/>
      <c r="O1107" s="63"/>
      <c r="P1107" s="63">
        <v>10</v>
      </c>
      <c r="Q1107" s="63"/>
      <c r="R1107" s="64">
        <v>12</v>
      </c>
      <c r="S1107" s="63"/>
      <c r="T1107" s="63"/>
      <c r="U1107" s="63"/>
      <c r="V1107" s="63">
        <v>1</v>
      </c>
      <c r="W1107" s="63"/>
      <c r="X1107" s="63">
        <v>1</v>
      </c>
      <c r="Y1107" s="63"/>
      <c r="Z1107" s="63">
        <v>0</v>
      </c>
      <c r="AA1107" s="63">
        <v>0</v>
      </c>
      <c r="AB1107" s="65">
        <f>100/(SUM(I1107:Z1107))</f>
        <v>1</v>
      </c>
      <c r="AC1107" s="259">
        <f>SUM(I1107:AA1107)</f>
        <v>100</v>
      </c>
      <c r="AD1107" s="63"/>
      <c r="AE1107" s="63"/>
      <c r="AF1107" s="63"/>
      <c r="AG1107" s="66" t="s">
        <v>127</v>
      </c>
      <c r="AH1107" s="67" t="s">
        <v>896</v>
      </c>
      <c r="AI1107" s="67" t="s">
        <v>897</v>
      </c>
      <c r="AJ1107" s="67"/>
      <c r="AK1107" s="61" t="s">
        <v>898</v>
      </c>
      <c r="AL1107" s="66">
        <f>(B1107-DATE(1970,1,1))*86400</f>
        <v>1624320000</v>
      </c>
      <c r="AM1107" s="66">
        <f>(C1107-DATE(1970,1,1))*86400</f>
        <v>1624838400</v>
      </c>
      <c r="AN1107" s="66">
        <f>AVERAGE(AL1107:AM1107)</f>
        <v>1624579200</v>
      </c>
    </row>
    <row r="1108" spans="1:40" ht="15.75" customHeight="1" x14ac:dyDescent="0.2">
      <c r="A1108" s="279" t="s">
        <v>133</v>
      </c>
      <c r="B1108" s="14">
        <v>44368</v>
      </c>
      <c r="C1108" s="14">
        <v>44370</v>
      </c>
      <c r="D1108" s="13" t="s">
        <v>124</v>
      </c>
      <c r="E1108" s="324" t="s">
        <v>125</v>
      </c>
      <c r="F1108" s="13" t="s">
        <v>140</v>
      </c>
      <c r="G1108" s="13" t="s">
        <v>126</v>
      </c>
      <c r="H1108" s="372">
        <v>1000</v>
      </c>
      <c r="I1108" s="15"/>
      <c r="J1108" s="15"/>
      <c r="K1108" s="15"/>
      <c r="L1108" s="15"/>
      <c r="M1108" s="15"/>
      <c r="N1108" s="15"/>
      <c r="O1108" s="15"/>
      <c r="P1108" s="15"/>
      <c r="Q1108" s="15"/>
      <c r="R1108" s="15"/>
      <c r="S1108" s="15"/>
      <c r="T1108" s="15"/>
      <c r="U1108" s="15"/>
      <c r="V1108" s="15"/>
      <c r="W1108" s="15"/>
      <c r="X1108" s="15"/>
      <c r="Y1108" s="15"/>
      <c r="Z1108" s="15"/>
      <c r="AA1108" s="15"/>
      <c r="AB1108" s="16" t="e">
        <f>100/(SUM(I1108:Z1108))</f>
        <v>#DIV/0!</v>
      </c>
      <c r="AC1108" s="259">
        <f>SUM(I1108:AA1108)</f>
        <v>0</v>
      </c>
      <c r="AD1108" s="15"/>
      <c r="AE1108" s="15"/>
      <c r="AF1108" s="15"/>
      <c r="AG1108" s="17" t="s">
        <v>127</v>
      </c>
      <c r="AH1108" s="18"/>
      <c r="AI1108" s="18"/>
      <c r="AJ1108" s="18" t="s">
        <v>900</v>
      </c>
      <c r="AK1108" s="13"/>
      <c r="AL1108" s="17">
        <f>(B1108-DATE(1970,1,1))*86400</f>
        <v>1624233600</v>
      </c>
      <c r="AM1108" s="17">
        <f>(C1108-DATE(1970,1,1))*86400</f>
        <v>1624406400</v>
      </c>
      <c r="AN1108" s="17">
        <f>AVERAGE(AL1108:AM1108)</f>
        <v>1624320000</v>
      </c>
    </row>
    <row r="1109" spans="1:40" ht="15.75" customHeight="1" x14ac:dyDescent="0.2">
      <c r="A1109" s="279" t="s">
        <v>133</v>
      </c>
      <c r="B1109" s="14">
        <v>44361</v>
      </c>
      <c r="C1109" s="14">
        <v>44363</v>
      </c>
      <c r="D1109" s="13" t="s">
        <v>124</v>
      </c>
      <c r="E1109" s="324" t="s">
        <v>125</v>
      </c>
      <c r="F1109" s="13" t="s">
        <v>140</v>
      </c>
      <c r="G1109" s="13" t="s">
        <v>126</v>
      </c>
      <c r="H1109" s="372">
        <v>1000</v>
      </c>
      <c r="I1109" s="15"/>
      <c r="J1109" s="15"/>
      <c r="K1109" s="15"/>
      <c r="L1109" s="15"/>
      <c r="M1109" s="15"/>
      <c r="N1109" s="15"/>
      <c r="O1109" s="15"/>
      <c r="P1109" s="15"/>
      <c r="Q1109" s="15"/>
      <c r="R1109" s="15"/>
      <c r="S1109" s="15"/>
      <c r="T1109" s="15"/>
      <c r="U1109" s="15"/>
      <c r="V1109" s="15"/>
      <c r="W1109" s="15"/>
      <c r="X1109" s="15"/>
      <c r="Y1109" s="15"/>
      <c r="Z1109" s="15"/>
      <c r="AA1109" s="15"/>
      <c r="AB1109" s="16" t="e">
        <f>100/(SUM(I1109:Z1109))</f>
        <v>#DIV/0!</v>
      </c>
      <c r="AC1109" s="259">
        <f>SUM(I1109:AA1109)</f>
        <v>0</v>
      </c>
      <c r="AD1109" s="15"/>
      <c r="AE1109" s="15"/>
      <c r="AF1109" s="15"/>
      <c r="AG1109" s="17" t="s">
        <v>127</v>
      </c>
      <c r="AH1109" s="18"/>
      <c r="AI1109" s="18"/>
      <c r="AJ1109" s="18" t="s">
        <v>900</v>
      </c>
      <c r="AK1109" s="13"/>
      <c r="AL1109" s="17">
        <f>(B1109-DATE(1970,1,1))*86400</f>
        <v>1623628800</v>
      </c>
      <c r="AM1109" s="17">
        <f>(C1109-DATE(1970,1,1))*86400</f>
        <v>1623801600</v>
      </c>
      <c r="AN1109" s="17">
        <f>AVERAGE(AL1109:AM1109)</f>
        <v>1623715200</v>
      </c>
    </row>
    <row r="1110" spans="1:40" ht="15.75" customHeight="1" x14ac:dyDescent="0.2">
      <c r="A1110" s="286" t="s">
        <v>133</v>
      </c>
      <c r="B1110" s="41">
        <v>44355</v>
      </c>
      <c r="C1110" s="41">
        <v>44363</v>
      </c>
      <c r="D1110" s="40" t="s">
        <v>148</v>
      </c>
      <c r="E1110" s="325" t="s">
        <v>125</v>
      </c>
      <c r="F1110" s="40"/>
      <c r="G1110" s="40" t="s">
        <v>149</v>
      </c>
      <c r="H1110" s="325">
        <v>1000</v>
      </c>
      <c r="I1110" s="42">
        <v>34.4</v>
      </c>
      <c r="J1110" s="42"/>
      <c r="K1110" s="42">
        <v>12</v>
      </c>
      <c r="L1110" s="42">
        <v>2.2000000000000002</v>
      </c>
      <c r="M1110" s="42">
        <v>11.8</v>
      </c>
      <c r="N1110" s="42"/>
      <c r="O1110" s="42"/>
      <c r="P1110" s="42">
        <v>5.6</v>
      </c>
      <c r="Q1110" s="42"/>
      <c r="R1110" s="43">
        <v>6.6</v>
      </c>
      <c r="S1110" s="42"/>
      <c r="T1110" s="42"/>
      <c r="U1110" s="42"/>
      <c r="V1110" s="42">
        <v>0.8</v>
      </c>
      <c r="W1110" s="42"/>
      <c r="X1110" s="42">
        <v>0.8</v>
      </c>
      <c r="Y1110" s="42"/>
      <c r="Z1110" s="42">
        <v>0.6</v>
      </c>
      <c r="AA1110" s="42">
        <v>25.2</v>
      </c>
      <c r="AB1110" s="44">
        <f>100/(SUM(I1110:Z1110))</f>
        <v>1.3368983957219254</v>
      </c>
      <c r="AC1110" s="259">
        <f>SUM(I1110:AA1110)</f>
        <v>99.999999999999986</v>
      </c>
      <c r="AD1110" s="42"/>
      <c r="AE1110" s="42"/>
      <c r="AF1110" s="42"/>
      <c r="AG1110" s="45" t="s">
        <v>127</v>
      </c>
      <c r="AH1110" s="42" t="s">
        <v>532</v>
      </c>
      <c r="AI1110" s="46" t="s">
        <v>901</v>
      </c>
      <c r="AJ1110" s="46" t="s">
        <v>902</v>
      </c>
      <c r="AK1110" s="40" t="s">
        <v>903</v>
      </c>
      <c r="AL1110" s="45">
        <f>(B1110-DATE(1970,1,1))*86400</f>
        <v>1623110400</v>
      </c>
      <c r="AM1110" s="45">
        <f>(C1110-DATE(1970,1,1))*86400</f>
        <v>1623801600</v>
      </c>
      <c r="AN1110" s="45">
        <f>AVERAGE(AL1110:AM1110)</f>
        <v>1623456000</v>
      </c>
    </row>
    <row r="1111" spans="1:40" ht="15.75" customHeight="1" x14ac:dyDescent="0.2">
      <c r="A1111" s="286" t="s">
        <v>133</v>
      </c>
      <c r="B1111" s="41">
        <v>44355</v>
      </c>
      <c r="C1111" s="41">
        <v>44363</v>
      </c>
      <c r="D1111" s="40" t="s">
        <v>148</v>
      </c>
      <c r="E1111" s="325" t="s">
        <v>125</v>
      </c>
      <c r="F1111" s="40" t="s">
        <v>390</v>
      </c>
      <c r="G1111" s="40" t="s">
        <v>149</v>
      </c>
      <c r="H1111" s="325">
        <v>1000</v>
      </c>
      <c r="I1111" s="42">
        <v>36.9</v>
      </c>
      <c r="J1111" s="42"/>
      <c r="K1111" s="42"/>
      <c r="L1111" s="42"/>
      <c r="M1111" s="42"/>
      <c r="N1111" s="42"/>
      <c r="O1111" s="42"/>
      <c r="P1111" s="42"/>
      <c r="Q1111" s="42"/>
      <c r="R1111" s="43"/>
      <c r="S1111" s="42"/>
      <c r="T1111" s="42"/>
      <c r="U1111" s="42">
        <v>39.299999999999997</v>
      </c>
      <c r="V1111" s="42"/>
      <c r="W1111" s="42"/>
      <c r="X1111" s="42"/>
      <c r="Y1111" s="42"/>
      <c r="Z1111" s="42">
        <v>2.5</v>
      </c>
      <c r="AA1111" s="42">
        <v>21.3</v>
      </c>
      <c r="AB1111" s="44">
        <f>100/(SUM(I1111:Z1111))</f>
        <v>1.270648030495553</v>
      </c>
      <c r="AC1111" s="259">
        <f>SUM(I1111:AA1111)</f>
        <v>99.999999999999986</v>
      </c>
      <c r="AD1111" s="42"/>
      <c r="AE1111" s="42"/>
      <c r="AF1111" s="42"/>
      <c r="AG1111" s="45" t="s">
        <v>127</v>
      </c>
      <c r="AH1111" s="42" t="s">
        <v>532</v>
      </c>
      <c r="AI1111" s="46" t="s">
        <v>901</v>
      </c>
      <c r="AJ1111" s="132" t="s">
        <v>902</v>
      </c>
      <c r="AK1111" s="40"/>
      <c r="AL1111" s="45">
        <f>(B1111-DATE(1970,1,1))*86400</f>
        <v>1623110400</v>
      </c>
      <c r="AM1111" s="45">
        <f>(C1111-DATE(1970,1,1))*86400</f>
        <v>1623801600</v>
      </c>
      <c r="AN1111" s="45">
        <f>AVERAGE(AL1111:AM1111)</f>
        <v>1623456000</v>
      </c>
    </row>
    <row r="1112" spans="1:40" ht="15.75" customHeight="1" x14ac:dyDescent="0.2">
      <c r="A1112" s="286" t="s">
        <v>123</v>
      </c>
      <c r="B1112" s="41">
        <v>44355</v>
      </c>
      <c r="C1112" s="41">
        <v>44363</v>
      </c>
      <c r="D1112" s="40" t="s">
        <v>148</v>
      </c>
      <c r="E1112" s="325" t="s">
        <v>125</v>
      </c>
      <c r="F1112" s="40" t="s">
        <v>390</v>
      </c>
      <c r="G1112" s="40" t="s">
        <v>149</v>
      </c>
      <c r="H1112" s="325">
        <v>1000</v>
      </c>
      <c r="I1112" s="42">
        <v>47.3</v>
      </c>
      <c r="J1112" s="42"/>
      <c r="K1112" s="42"/>
      <c r="L1112" s="42"/>
      <c r="M1112" s="42"/>
      <c r="N1112" s="42"/>
      <c r="O1112" s="42"/>
      <c r="P1112" s="42"/>
      <c r="Q1112" s="42"/>
      <c r="R1112" s="43"/>
      <c r="S1112" s="42"/>
      <c r="T1112" s="42"/>
      <c r="U1112" s="42">
        <v>50.3</v>
      </c>
      <c r="V1112" s="42"/>
      <c r="W1112" s="42"/>
      <c r="X1112" s="42"/>
      <c r="Y1112" s="42"/>
      <c r="Z1112" s="42">
        <v>2.4</v>
      </c>
      <c r="AA1112" s="42">
        <v>0</v>
      </c>
      <c r="AB1112" s="44">
        <f>100/(SUM(I1112:Z1112))</f>
        <v>1</v>
      </c>
      <c r="AC1112" s="259">
        <f>SUM(I1112:AA1112)</f>
        <v>100</v>
      </c>
      <c r="AD1112" s="42"/>
      <c r="AE1112" s="42"/>
      <c r="AF1112" s="42"/>
      <c r="AG1112" s="45" t="s">
        <v>127</v>
      </c>
      <c r="AH1112" s="42" t="s">
        <v>532</v>
      </c>
      <c r="AI1112" s="46" t="s">
        <v>901</v>
      </c>
      <c r="AJ1112" s="132" t="s">
        <v>902</v>
      </c>
      <c r="AK1112" s="40"/>
      <c r="AL1112" s="45">
        <f>(B1112-DATE(1970,1,1))*86400</f>
        <v>1623110400</v>
      </c>
      <c r="AM1112" s="45">
        <f>(C1112-DATE(1970,1,1))*86400</f>
        <v>1623801600</v>
      </c>
      <c r="AN1112" s="45">
        <f>AVERAGE(AL1112:AM1112)</f>
        <v>1623456000</v>
      </c>
    </row>
    <row r="1113" spans="1:40" ht="15.75" customHeight="1" x14ac:dyDescent="0.2">
      <c r="A1113" s="286" t="s">
        <v>123</v>
      </c>
      <c r="B1113" s="41">
        <v>44355</v>
      </c>
      <c r="C1113" s="41">
        <v>44363</v>
      </c>
      <c r="D1113" s="40" t="s">
        <v>148</v>
      </c>
      <c r="E1113" s="325" t="s">
        <v>125</v>
      </c>
      <c r="F1113" s="40"/>
      <c r="G1113" s="40" t="s">
        <v>149</v>
      </c>
      <c r="H1113" s="325">
        <v>1000</v>
      </c>
      <c r="I1113" s="42">
        <v>46.2</v>
      </c>
      <c r="J1113" s="42"/>
      <c r="K1113" s="42">
        <v>15.9</v>
      </c>
      <c r="L1113" s="42">
        <v>2.2000000000000002</v>
      </c>
      <c r="M1113" s="42">
        <v>17.100000000000001</v>
      </c>
      <c r="N1113" s="42"/>
      <c r="O1113" s="42"/>
      <c r="P1113" s="42">
        <v>7.4</v>
      </c>
      <c r="Q1113" s="42"/>
      <c r="R1113" s="43">
        <v>8.6</v>
      </c>
      <c r="S1113" s="42"/>
      <c r="T1113" s="42"/>
      <c r="U1113" s="42"/>
      <c r="V1113" s="42">
        <v>1.3</v>
      </c>
      <c r="W1113" s="42"/>
      <c r="X1113" s="42">
        <v>0.9</v>
      </c>
      <c r="Y1113" s="42"/>
      <c r="Z1113" s="42">
        <v>0.4</v>
      </c>
      <c r="AA1113" s="42">
        <v>0</v>
      </c>
      <c r="AB1113" s="44">
        <f>100/(SUM(I1113:Z1113))</f>
        <v>0.99999999999999989</v>
      </c>
      <c r="AC1113" s="259">
        <f>SUM(I1113:AA1113)</f>
        <v>100.00000000000001</v>
      </c>
      <c r="AD1113" s="42"/>
      <c r="AE1113" s="42"/>
      <c r="AF1113" s="42"/>
      <c r="AG1113" s="45" t="s">
        <v>127</v>
      </c>
      <c r="AH1113" s="42" t="s">
        <v>532</v>
      </c>
      <c r="AI1113" s="46" t="s">
        <v>901</v>
      </c>
      <c r="AJ1113" s="46" t="s">
        <v>902</v>
      </c>
      <c r="AK1113" s="40" t="s">
        <v>904</v>
      </c>
      <c r="AL1113" s="45">
        <f>(B1113-DATE(1970,1,1))*86400</f>
        <v>1623110400</v>
      </c>
      <c r="AM1113" s="45">
        <f>(C1113-DATE(1970,1,1))*86400</f>
        <v>1623801600</v>
      </c>
      <c r="AN1113" s="45">
        <f>AVERAGE(AL1113:AM1113)</f>
        <v>1623456000</v>
      </c>
    </row>
    <row r="1114" spans="1:40" ht="15.75" customHeight="1" x14ac:dyDescent="0.2">
      <c r="A1114" s="279" t="s">
        <v>133</v>
      </c>
      <c r="B1114" s="14">
        <v>44354</v>
      </c>
      <c r="C1114" s="14">
        <v>44356</v>
      </c>
      <c r="D1114" s="13" t="s">
        <v>124</v>
      </c>
      <c r="E1114" s="324" t="s">
        <v>125</v>
      </c>
      <c r="F1114" s="13" t="s">
        <v>390</v>
      </c>
      <c r="G1114" s="13" t="s">
        <v>126</v>
      </c>
      <c r="H1114" s="372">
        <v>1000</v>
      </c>
      <c r="I1114" s="15">
        <v>40</v>
      </c>
      <c r="J1114" s="15"/>
      <c r="K1114" s="15"/>
      <c r="L1114" s="15"/>
      <c r="M1114" s="15"/>
      <c r="N1114" s="15"/>
      <c r="O1114" s="15"/>
      <c r="P1114" s="15"/>
      <c r="Q1114" s="15"/>
      <c r="R1114" s="15"/>
      <c r="S1114" s="15"/>
      <c r="T1114" s="15"/>
      <c r="U1114" s="15">
        <v>36</v>
      </c>
      <c r="V1114" s="15">
        <v>1</v>
      </c>
      <c r="W1114" s="15"/>
      <c r="X1114" s="15">
        <v>1</v>
      </c>
      <c r="Y1114" s="15"/>
      <c r="Z1114" s="15">
        <v>0</v>
      </c>
      <c r="AA1114" s="15">
        <v>22</v>
      </c>
      <c r="AB1114" s="16">
        <f>100/(SUM(I1114:Z1114))</f>
        <v>1.2820512820512822</v>
      </c>
      <c r="AC1114" s="259">
        <f>SUM(I1114:AA1114)</f>
        <v>100</v>
      </c>
      <c r="AD1114" s="15"/>
      <c r="AE1114" s="15"/>
      <c r="AF1114" s="15"/>
      <c r="AG1114" s="17" t="s">
        <v>127</v>
      </c>
      <c r="AH1114" s="18" t="s">
        <v>905</v>
      </c>
      <c r="AI1114" s="18" t="s">
        <v>906</v>
      </c>
      <c r="AJ1114" s="18" t="s">
        <v>907</v>
      </c>
      <c r="AK1114" s="13" t="s">
        <v>908</v>
      </c>
      <c r="AL1114" s="17">
        <f>(B1114-DATE(1970,1,1))*86400</f>
        <v>1623024000</v>
      </c>
      <c r="AM1114" s="17">
        <f>(C1114-DATE(1970,1,1))*86400</f>
        <v>1623196800</v>
      </c>
      <c r="AN1114" s="17">
        <f>AVERAGE(AL1114:AM1114)</f>
        <v>1623110400</v>
      </c>
    </row>
    <row r="1115" spans="1:40" ht="15.75" customHeight="1" x14ac:dyDescent="0.2">
      <c r="A1115" s="279" t="s">
        <v>123</v>
      </c>
      <c r="B1115" s="14">
        <v>44354</v>
      </c>
      <c r="C1115" s="14">
        <v>44356</v>
      </c>
      <c r="D1115" s="13" t="s">
        <v>124</v>
      </c>
      <c r="E1115" s="324" t="s">
        <v>125</v>
      </c>
      <c r="F1115" s="13" t="s">
        <v>390</v>
      </c>
      <c r="G1115" s="13" t="s">
        <v>126</v>
      </c>
      <c r="H1115" s="372">
        <v>1000</v>
      </c>
      <c r="I1115" s="15">
        <v>52</v>
      </c>
      <c r="J1115" s="15"/>
      <c r="K1115" s="15"/>
      <c r="L1115" s="15"/>
      <c r="M1115" s="15"/>
      <c r="N1115" s="15"/>
      <c r="O1115" s="15"/>
      <c r="P1115" s="15"/>
      <c r="Q1115" s="15"/>
      <c r="R1115" s="15"/>
      <c r="S1115" s="15"/>
      <c r="T1115" s="15"/>
      <c r="U1115" s="15">
        <v>43</v>
      </c>
      <c r="V1115" s="15">
        <v>2</v>
      </c>
      <c r="W1115" s="15"/>
      <c r="X1115" s="15">
        <v>3</v>
      </c>
      <c r="Y1115" s="15"/>
      <c r="Z1115" s="15">
        <v>0</v>
      </c>
      <c r="AA1115" s="15">
        <v>0</v>
      </c>
      <c r="AB1115" s="16">
        <f>100/(SUM(I1115:Z1115))</f>
        <v>1</v>
      </c>
      <c r="AC1115" s="259">
        <f>SUM(I1115:AA1115)</f>
        <v>100</v>
      </c>
      <c r="AD1115" s="15"/>
      <c r="AE1115" s="15"/>
      <c r="AF1115" s="15"/>
      <c r="AG1115" s="17" t="s">
        <v>127</v>
      </c>
      <c r="AH1115" s="18" t="s">
        <v>1870</v>
      </c>
      <c r="AI1115" s="18" t="s">
        <v>906</v>
      </c>
      <c r="AJ1115" s="18" t="s">
        <v>907</v>
      </c>
      <c r="AK1115" s="13" t="s">
        <v>908</v>
      </c>
      <c r="AL1115" s="17">
        <f>(B1115-DATE(1970,1,1))*86400</f>
        <v>1623024000</v>
      </c>
      <c r="AM1115" s="17">
        <f>(C1115-DATE(1970,1,1))*86400</f>
        <v>1623196800</v>
      </c>
      <c r="AN1115" s="17">
        <f>AVERAGE(AL1115:AM1115)</f>
        <v>1623110400</v>
      </c>
    </row>
    <row r="1116" spans="1:40" ht="15.75" customHeight="1" x14ac:dyDescent="0.2">
      <c r="A1116" s="285" t="s">
        <v>133</v>
      </c>
      <c r="B1116" s="34">
        <v>44350</v>
      </c>
      <c r="C1116" s="34">
        <v>44355</v>
      </c>
      <c r="D1116" s="33" t="s">
        <v>143</v>
      </c>
      <c r="E1116" s="319" t="s">
        <v>125</v>
      </c>
      <c r="F1116" s="33"/>
      <c r="G1116" s="33" t="s">
        <v>126</v>
      </c>
      <c r="H1116" s="353">
        <v>1000</v>
      </c>
      <c r="I1116" s="35">
        <v>36</v>
      </c>
      <c r="J1116" s="35"/>
      <c r="K1116" s="35">
        <v>12</v>
      </c>
      <c r="L1116" s="35">
        <v>2</v>
      </c>
      <c r="M1116" s="35">
        <v>7</v>
      </c>
      <c r="N1116" s="35"/>
      <c r="O1116" s="35"/>
      <c r="P1116" s="35">
        <v>5</v>
      </c>
      <c r="Q1116" s="35"/>
      <c r="R1116" s="36">
        <v>2</v>
      </c>
      <c r="S1116" s="35"/>
      <c r="T1116" s="35"/>
      <c r="U1116" s="35"/>
      <c r="V1116" s="35">
        <v>5</v>
      </c>
      <c r="W1116" s="35"/>
      <c r="X1116" s="35">
        <v>3</v>
      </c>
      <c r="Y1116" s="35"/>
      <c r="Z1116" s="35">
        <v>1</v>
      </c>
      <c r="AA1116" s="35">
        <v>27</v>
      </c>
      <c r="AB1116" s="37">
        <f>100/(SUM(I1116:Z1116))</f>
        <v>1.3698630136986301</v>
      </c>
      <c r="AC1116" s="259">
        <f>SUM(I1116:AA1116)</f>
        <v>100</v>
      </c>
      <c r="AD1116" s="35"/>
      <c r="AE1116" s="35"/>
      <c r="AF1116" s="35"/>
      <c r="AG1116" s="39" t="s">
        <v>144</v>
      </c>
      <c r="AH1116" s="38" t="s">
        <v>909</v>
      </c>
      <c r="AI1116" s="38"/>
      <c r="AJ1116" s="38" t="s">
        <v>910</v>
      </c>
      <c r="AK1116" s="33" t="s">
        <v>911</v>
      </c>
      <c r="AL1116" s="39">
        <f>(B1116-DATE(1970,1,1))*86400</f>
        <v>1622678400</v>
      </c>
      <c r="AM1116" s="39">
        <f>(C1116-DATE(1970,1,1))*86400</f>
        <v>1623110400</v>
      </c>
      <c r="AN1116" s="39">
        <f>AVERAGE(AL1116:AM1116)</f>
        <v>1622894400</v>
      </c>
    </row>
    <row r="1117" spans="1:40" ht="15.75" customHeight="1" x14ac:dyDescent="0.2">
      <c r="A1117" s="285" t="s">
        <v>133</v>
      </c>
      <c r="B1117" s="34">
        <v>44350</v>
      </c>
      <c r="C1117" s="34">
        <v>44355</v>
      </c>
      <c r="D1117" s="33" t="s">
        <v>143</v>
      </c>
      <c r="E1117" s="319" t="s">
        <v>125</v>
      </c>
      <c r="F1117" s="33" t="s">
        <v>390</v>
      </c>
      <c r="G1117" s="33" t="s">
        <v>126</v>
      </c>
      <c r="H1117" s="353">
        <v>1000</v>
      </c>
      <c r="I1117" s="35">
        <v>39</v>
      </c>
      <c r="J1117" s="35"/>
      <c r="K1117" s="35"/>
      <c r="L1117" s="35"/>
      <c r="M1117" s="35"/>
      <c r="N1117" s="35"/>
      <c r="O1117" s="35"/>
      <c r="P1117" s="35"/>
      <c r="Q1117" s="35"/>
      <c r="R1117" s="36"/>
      <c r="S1117" s="35"/>
      <c r="T1117" s="35"/>
      <c r="U1117" s="35">
        <v>33</v>
      </c>
      <c r="V1117" s="35">
        <v>4</v>
      </c>
      <c r="W1117" s="35"/>
      <c r="X1117" s="35">
        <v>4</v>
      </c>
      <c r="Y1117" s="35"/>
      <c r="Z1117" s="35"/>
      <c r="AA1117" s="35">
        <v>20</v>
      </c>
      <c r="AB1117" s="37">
        <f>100/(SUM(I1117:Z1117))</f>
        <v>1.25</v>
      </c>
      <c r="AC1117" s="259">
        <f>SUM(I1117:AA1117)</f>
        <v>100</v>
      </c>
      <c r="AD1117" s="35"/>
      <c r="AE1117" s="35"/>
      <c r="AF1117" s="35"/>
      <c r="AG1117" s="39" t="s">
        <v>144</v>
      </c>
      <c r="AH1117" s="38" t="s">
        <v>909</v>
      </c>
      <c r="AI1117" s="38"/>
      <c r="AJ1117" s="38"/>
      <c r="AK1117" s="33"/>
      <c r="AL1117" s="39">
        <f>(B1117-DATE(1970,1,1))*86400</f>
        <v>1622678400</v>
      </c>
      <c r="AM1117" s="39">
        <f>(C1117-DATE(1970,1,1))*86400</f>
        <v>1623110400</v>
      </c>
      <c r="AN1117" s="39">
        <f>AVERAGE(AL1117:AM1117)</f>
        <v>1622894400</v>
      </c>
    </row>
    <row r="1118" spans="1:40" ht="15.75" customHeight="1" x14ac:dyDescent="0.2">
      <c r="A1118" s="285" t="s">
        <v>133</v>
      </c>
      <c r="B1118" s="34">
        <v>44350</v>
      </c>
      <c r="C1118" s="34">
        <v>44355</v>
      </c>
      <c r="D1118" s="33" t="s">
        <v>143</v>
      </c>
      <c r="E1118" s="319" t="s">
        <v>125</v>
      </c>
      <c r="F1118" s="33" t="s">
        <v>390</v>
      </c>
      <c r="G1118" s="33" t="s">
        <v>126</v>
      </c>
      <c r="H1118" s="353">
        <v>1000</v>
      </c>
      <c r="I1118" s="35">
        <v>49</v>
      </c>
      <c r="J1118" s="35"/>
      <c r="K1118" s="35"/>
      <c r="L1118" s="35"/>
      <c r="M1118" s="35"/>
      <c r="N1118" s="35"/>
      <c r="O1118" s="35"/>
      <c r="P1118" s="35"/>
      <c r="Q1118" s="35"/>
      <c r="R1118" s="36"/>
      <c r="S1118" s="35"/>
      <c r="T1118" s="35"/>
      <c r="U1118" s="35">
        <v>41</v>
      </c>
      <c r="V1118" s="35">
        <v>5</v>
      </c>
      <c r="W1118" s="35"/>
      <c r="X1118" s="35">
        <v>5</v>
      </c>
      <c r="Y1118" s="35"/>
      <c r="Z1118" s="35"/>
      <c r="AA1118" s="35">
        <v>0</v>
      </c>
      <c r="AB1118" s="37">
        <f>100/(SUM(I1118:Z1118))</f>
        <v>1</v>
      </c>
      <c r="AC1118" s="259">
        <f>SUM(I1118:AA1118)</f>
        <v>100</v>
      </c>
      <c r="AD1118" s="35"/>
      <c r="AE1118" s="35"/>
      <c r="AF1118" s="35"/>
      <c r="AG1118" s="39" t="s">
        <v>144</v>
      </c>
      <c r="AH1118" s="38" t="s">
        <v>909</v>
      </c>
      <c r="AI1118" s="38"/>
      <c r="AJ1118" s="38"/>
      <c r="AK1118" s="33"/>
      <c r="AL1118" s="39">
        <f>(B1118-DATE(1970,1,1))*86400</f>
        <v>1622678400</v>
      </c>
      <c r="AM1118" s="39">
        <f>(C1118-DATE(1970,1,1))*86400</f>
        <v>1623110400</v>
      </c>
      <c r="AN1118" s="39">
        <f>AVERAGE(AL1118:AM1118)</f>
        <v>1622894400</v>
      </c>
    </row>
    <row r="1119" spans="1:40" ht="15.75" customHeight="1" x14ac:dyDescent="0.2">
      <c r="A1119" s="285" t="s">
        <v>123</v>
      </c>
      <c r="B1119" s="34">
        <v>44350</v>
      </c>
      <c r="C1119" s="34">
        <v>44355</v>
      </c>
      <c r="D1119" s="33" t="s">
        <v>143</v>
      </c>
      <c r="E1119" s="319" t="s">
        <v>125</v>
      </c>
      <c r="F1119" s="33" t="s">
        <v>390</v>
      </c>
      <c r="G1119" s="33" t="s">
        <v>126</v>
      </c>
      <c r="H1119" s="353">
        <v>1000</v>
      </c>
      <c r="I1119" s="35">
        <v>50</v>
      </c>
      <c r="J1119" s="35"/>
      <c r="K1119" s="35"/>
      <c r="L1119" s="35"/>
      <c r="M1119" s="35"/>
      <c r="N1119" s="35"/>
      <c r="O1119" s="35"/>
      <c r="P1119" s="35"/>
      <c r="Q1119" s="35"/>
      <c r="R1119" s="36"/>
      <c r="S1119" s="35"/>
      <c r="T1119" s="35"/>
      <c r="U1119" s="35">
        <v>42</v>
      </c>
      <c r="V1119" s="35">
        <v>4</v>
      </c>
      <c r="W1119" s="35"/>
      <c r="X1119" s="35">
        <v>4</v>
      </c>
      <c r="Y1119" s="35"/>
      <c r="Z1119" s="35"/>
      <c r="AA1119" s="35">
        <v>0</v>
      </c>
      <c r="AB1119" s="37">
        <f>100/(SUM(I1119:Z1119))</f>
        <v>1</v>
      </c>
      <c r="AC1119" s="259">
        <f>SUM(I1119:AA1119)</f>
        <v>100</v>
      </c>
      <c r="AD1119" s="35"/>
      <c r="AE1119" s="35"/>
      <c r="AF1119" s="35"/>
      <c r="AG1119" s="39" t="s">
        <v>144</v>
      </c>
      <c r="AH1119" s="38" t="s">
        <v>909</v>
      </c>
      <c r="AI1119" s="38"/>
      <c r="AJ1119" s="38"/>
      <c r="AK1119" s="33"/>
      <c r="AL1119" s="39">
        <f>(B1119-DATE(1970,1,1))*86400</f>
        <v>1622678400</v>
      </c>
      <c r="AM1119" s="39">
        <f>(C1119-DATE(1970,1,1))*86400</f>
        <v>1623110400</v>
      </c>
      <c r="AN1119" s="39">
        <f>AVERAGE(AL1119:AM1119)</f>
        <v>1622894400</v>
      </c>
    </row>
    <row r="1120" spans="1:40" ht="15.75" customHeight="1" x14ac:dyDescent="0.2">
      <c r="A1120" s="284" t="s">
        <v>133</v>
      </c>
      <c r="B1120" s="20">
        <v>44343</v>
      </c>
      <c r="C1120" s="20">
        <v>44355</v>
      </c>
      <c r="D1120" s="19" t="s">
        <v>134</v>
      </c>
      <c r="E1120" s="332" t="s">
        <v>125</v>
      </c>
      <c r="F1120" s="19"/>
      <c r="G1120" s="19" t="s">
        <v>135</v>
      </c>
      <c r="H1120" s="332">
        <v>2000</v>
      </c>
      <c r="I1120" s="21">
        <v>32</v>
      </c>
      <c r="J1120" s="21"/>
      <c r="K1120" s="21">
        <v>12</v>
      </c>
      <c r="L1120" s="21">
        <v>1</v>
      </c>
      <c r="M1120" s="21">
        <v>10</v>
      </c>
      <c r="N1120" s="21"/>
      <c r="O1120" s="21"/>
      <c r="P1120" s="21">
        <v>6</v>
      </c>
      <c r="Q1120" s="21"/>
      <c r="R1120" s="22">
        <v>6</v>
      </c>
      <c r="S1120" s="21"/>
      <c r="T1120" s="21"/>
      <c r="U1120" s="21"/>
      <c r="V1120" s="21">
        <v>2</v>
      </c>
      <c r="W1120" s="21"/>
      <c r="X1120" s="21">
        <v>2</v>
      </c>
      <c r="Y1120" s="21"/>
      <c r="Z1120" s="21">
        <v>0</v>
      </c>
      <c r="AA1120" s="21">
        <v>29</v>
      </c>
      <c r="AB1120" s="23">
        <f>100/(SUM(I1120:Z1120))</f>
        <v>1.408450704225352</v>
      </c>
      <c r="AC1120" s="259">
        <f>SUM(I1120:AA1120)</f>
        <v>100</v>
      </c>
      <c r="AD1120" s="24"/>
      <c r="AE1120" s="24"/>
      <c r="AF1120" s="24"/>
      <c r="AG1120" s="25" t="s">
        <v>127</v>
      </c>
      <c r="AH1120" s="26" t="s">
        <v>912</v>
      </c>
      <c r="AI1120" s="83"/>
      <c r="AJ1120" s="19"/>
      <c r="AK1120" s="19" t="s">
        <v>881</v>
      </c>
      <c r="AL1120" s="25">
        <f>(B1120-DATE(1970,1,1))*86400</f>
        <v>1622073600</v>
      </c>
      <c r="AM1120" s="25">
        <f>(C1120-DATE(1970,1,1))*86400</f>
        <v>1623110400</v>
      </c>
      <c r="AN1120" s="25">
        <f>AVERAGE(AL1120:AM1120)</f>
        <v>1622592000</v>
      </c>
    </row>
    <row r="1121" spans="1:40" ht="15.75" customHeight="1" x14ac:dyDescent="0.2">
      <c r="A1121" s="284" t="s">
        <v>133</v>
      </c>
      <c r="B1121" s="20">
        <v>44343</v>
      </c>
      <c r="C1121" s="20">
        <v>44355</v>
      </c>
      <c r="D1121" s="19" t="s">
        <v>134</v>
      </c>
      <c r="E1121" s="332" t="s">
        <v>125</v>
      </c>
      <c r="F1121" s="19" t="s">
        <v>390</v>
      </c>
      <c r="G1121" s="19" t="s">
        <v>135</v>
      </c>
      <c r="H1121" s="332">
        <v>2000</v>
      </c>
      <c r="I1121" s="21">
        <v>37</v>
      </c>
      <c r="J1121" s="21"/>
      <c r="K1121" s="21"/>
      <c r="L1121" s="21"/>
      <c r="M1121" s="21"/>
      <c r="N1121" s="21"/>
      <c r="O1121" s="21"/>
      <c r="P1121" s="21"/>
      <c r="Q1121" s="21"/>
      <c r="R1121" s="22"/>
      <c r="S1121" s="21"/>
      <c r="T1121" s="21"/>
      <c r="U1121" s="21">
        <v>40</v>
      </c>
      <c r="V1121" s="21">
        <v>2</v>
      </c>
      <c r="W1121" s="21"/>
      <c r="X1121" s="21">
        <v>3</v>
      </c>
      <c r="Y1121" s="21"/>
      <c r="Z1121" s="21">
        <v>1</v>
      </c>
      <c r="AA1121" s="21">
        <v>18</v>
      </c>
      <c r="AB1121" s="23">
        <f>100/(SUM(I1121:Z1121))</f>
        <v>1.2048192771084338</v>
      </c>
      <c r="AC1121" s="259">
        <f>SUM(I1121:AA1121)</f>
        <v>101</v>
      </c>
      <c r="AD1121" s="24"/>
      <c r="AE1121" s="24"/>
      <c r="AF1121" s="24"/>
      <c r="AG1121" s="25" t="s">
        <v>127</v>
      </c>
      <c r="AH1121" s="26"/>
      <c r="AI1121" s="83"/>
      <c r="AJ1121" s="83"/>
      <c r="AK1121" s="19"/>
      <c r="AL1121" s="25">
        <f>(B1121-DATE(1970,1,1))*86400</f>
        <v>1622073600</v>
      </c>
      <c r="AM1121" s="25">
        <f>(C1121-DATE(1970,1,1))*86400</f>
        <v>1623110400</v>
      </c>
      <c r="AN1121" s="25">
        <f>AVERAGE(AL1121:AM1121)</f>
        <v>1622592000</v>
      </c>
    </row>
    <row r="1122" spans="1:40" ht="15.75" customHeight="1" x14ac:dyDescent="0.2">
      <c r="A1122" s="284" t="s">
        <v>123</v>
      </c>
      <c r="B1122" s="20">
        <v>44343</v>
      </c>
      <c r="C1122" s="20">
        <v>44355</v>
      </c>
      <c r="D1122" s="19" t="s">
        <v>134</v>
      </c>
      <c r="E1122" s="332" t="s">
        <v>125</v>
      </c>
      <c r="F1122" s="19" t="s">
        <v>390</v>
      </c>
      <c r="G1122" s="19" t="s">
        <v>135</v>
      </c>
      <c r="H1122" s="332">
        <v>2000</v>
      </c>
      <c r="I1122" s="21">
        <v>47</v>
      </c>
      <c r="J1122" s="21"/>
      <c r="K1122" s="21"/>
      <c r="L1122" s="21"/>
      <c r="M1122" s="21"/>
      <c r="N1122" s="21"/>
      <c r="O1122" s="21"/>
      <c r="P1122" s="21"/>
      <c r="Q1122" s="21"/>
      <c r="R1122" s="22"/>
      <c r="S1122" s="21"/>
      <c r="T1122" s="21"/>
      <c r="U1122" s="21">
        <v>48</v>
      </c>
      <c r="V1122" s="21">
        <v>2</v>
      </c>
      <c r="W1122" s="21"/>
      <c r="X1122" s="21">
        <v>3</v>
      </c>
      <c r="Y1122" s="21"/>
      <c r="Z1122" s="21">
        <v>0</v>
      </c>
      <c r="AA1122" s="21">
        <v>0</v>
      </c>
      <c r="AB1122" s="23">
        <f>100/(SUM(I1122:Z1122))</f>
        <v>1</v>
      </c>
      <c r="AC1122" s="259">
        <f>SUM(I1122:AA1122)</f>
        <v>100</v>
      </c>
      <c r="AD1122" s="24"/>
      <c r="AE1122" s="24"/>
      <c r="AF1122" s="24"/>
      <c r="AG1122" s="25" t="s">
        <v>127</v>
      </c>
      <c r="AH1122" s="26"/>
      <c r="AI1122" s="83"/>
      <c r="AJ1122" s="83"/>
      <c r="AK1122" s="19"/>
      <c r="AL1122" s="25">
        <f>(B1122-DATE(1970,1,1))*86400</f>
        <v>1622073600</v>
      </c>
      <c r="AM1122" s="25">
        <f>(C1122-DATE(1970,1,1))*86400</f>
        <v>1623110400</v>
      </c>
      <c r="AN1122" s="25">
        <f>AVERAGE(AL1122:AM1122)</f>
        <v>1622592000</v>
      </c>
    </row>
    <row r="1123" spans="1:40" ht="15.75" customHeight="1" x14ac:dyDescent="0.2">
      <c r="A1123" s="284" t="s">
        <v>123</v>
      </c>
      <c r="B1123" s="20">
        <v>44343</v>
      </c>
      <c r="C1123" s="20">
        <v>44355</v>
      </c>
      <c r="D1123" s="19" t="s">
        <v>134</v>
      </c>
      <c r="E1123" s="332" t="s">
        <v>125</v>
      </c>
      <c r="F1123" s="19"/>
      <c r="G1123" s="19" t="s">
        <v>135</v>
      </c>
      <c r="H1123" s="332">
        <v>2000</v>
      </c>
      <c r="I1123" s="21">
        <v>46</v>
      </c>
      <c r="J1123" s="21"/>
      <c r="K1123" s="21">
        <v>15</v>
      </c>
      <c r="L1123" s="21">
        <v>2</v>
      </c>
      <c r="M1123" s="21">
        <v>16</v>
      </c>
      <c r="N1123" s="21"/>
      <c r="O1123" s="21"/>
      <c r="P1123" s="21">
        <v>9</v>
      </c>
      <c r="Q1123" s="21"/>
      <c r="R1123" s="22">
        <v>7</v>
      </c>
      <c r="S1123" s="21"/>
      <c r="T1123" s="21"/>
      <c r="U1123" s="21"/>
      <c r="V1123" s="21">
        <v>2</v>
      </c>
      <c r="W1123" s="21"/>
      <c r="X1123" s="21">
        <v>2</v>
      </c>
      <c r="Y1123" s="21"/>
      <c r="Z1123" s="21">
        <v>1</v>
      </c>
      <c r="AA1123" s="21">
        <v>0</v>
      </c>
      <c r="AB1123" s="23">
        <f>100/(SUM(I1123:Z1123))</f>
        <v>1</v>
      </c>
      <c r="AC1123" s="259">
        <f>SUM(I1123:AA1123)</f>
        <v>100</v>
      </c>
      <c r="AD1123" s="24"/>
      <c r="AE1123" s="24"/>
      <c r="AF1123" s="24"/>
      <c r="AG1123" s="25" t="s">
        <v>127</v>
      </c>
      <c r="AH1123" s="26" t="s">
        <v>912</v>
      </c>
      <c r="AI1123" s="83"/>
      <c r="AJ1123" s="19"/>
      <c r="AK1123" s="19" t="s">
        <v>882</v>
      </c>
      <c r="AL1123" s="25">
        <f>(B1123-DATE(1970,1,1))*86400</f>
        <v>1622073600</v>
      </c>
      <c r="AM1123" s="25">
        <f>(C1123-DATE(1970,1,1))*86400</f>
        <v>1623110400</v>
      </c>
      <c r="AN1123" s="25">
        <f>AVERAGE(AL1123:AM1123)</f>
        <v>1622592000</v>
      </c>
    </row>
    <row r="1124" spans="1:40" ht="15.75" customHeight="1" x14ac:dyDescent="0.2">
      <c r="A1124" s="279" t="s">
        <v>133</v>
      </c>
      <c r="B1124" s="14">
        <v>44347</v>
      </c>
      <c r="C1124" s="14">
        <v>44350</v>
      </c>
      <c r="D1124" s="13" t="s">
        <v>124</v>
      </c>
      <c r="E1124" s="324" t="s">
        <v>125</v>
      </c>
      <c r="F1124" s="13" t="s">
        <v>140</v>
      </c>
      <c r="G1124" s="13" t="s">
        <v>126</v>
      </c>
      <c r="H1124" s="372">
        <v>1000</v>
      </c>
      <c r="I1124" s="15"/>
      <c r="J1124" s="15"/>
      <c r="K1124" s="15"/>
      <c r="L1124" s="15"/>
      <c r="M1124" s="15"/>
      <c r="N1124" s="15"/>
      <c r="O1124" s="15"/>
      <c r="P1124" s="15"/>
      <c r="Q1124" s="15"/>
      <c r="R1124" s="15"/>
      <c r="S1124" s="15"/>
      <c r="T1124" s="15"/>
      <c r="U1124" s="15"/>
      <c r="V1124" s="15"/>
      <c r="W1124" s="15"/>
      <c r="X1124" s="15"/>
      <c r="Y1124" s="15"/>
      <c r="Z1124" s="15"/>
      <c r="AA1124" s="15"/>
      <c r="AB1124" s="16" t="e">
        <f>100/(SUM(I1124:Z1124))</f>
        <v>#DIV/0!</v>
      </c>
      <c r="AC1124" s="259">
        <f>SUM(I1124:AA1124)</f>
        <v>0</v>
      </c>
      <c r="AD1124" s="15"/>
      <c r="AE1124" s="15"/>
      <c r="AF1124" s="15"/>
      <c r="AG1124" s="17" t="s">
        <v>127</v>
      </c>
      <c r="AH1124" s="18"/>
      <c r="AI1124" s="18" t="s">
        <v>900</v>
      </c>
      <c r="AJ1124" s="18" t="s">
        <v>913</v>
      </c>
      <c r="AK1124" s="13"/>
      <c r="AL1124" s="17">
        <f>(B1124-DATE(1970,1,1))*86400</f>
        <v>1622419200</v>
      </c>
      <c r="AM1124" s="17">
        <f>(C1124-DATE(1970,1,1))*86400</f>
        <v>1622678400</v>
      </c>
      <c r="AN1124" s="17">
        <f>AVERAGE(AL1124:AM1124)</f>
        <v>1622548800</v>
      </c>
    </row>
    <row r="1125" spans="1:40" ht="15.75" customHeight="1" x14ac:dyDescent="0.2">
      <c r="A1125" s="279" t="s">
        <v>133</v>
      </c>
      <c r="B1125" s="14">
        <v>44341</v>
      </c>
      <c r="C1125" s="14">
        <v>44342</v>
      </c>
      <c r="D1125" s="13" t="s">
        <v>124</v>
      </c>
      <c r="E1125" s="324" t="s">
        <v>125</v>
      </c>
      <c r="F1125" s="13" t="s">
        <v>140</v>
      </c>
      <c r="G1125" s="13" t="s">
        <v>126</v>
      </c>
      <c r="H1125" s="372">
        <v>1000</v>
      </c>
      <c r="I1125" s="15"/>
      <c r="J1125" s="15"/>
      <c r="K1125" s="15"/>
      <c r="L1125" s="15"/>
      <c r="M1125" s="15"/>
      <c r="N1125" s="15"/>
      <c r="O1125" s="15"/>
      <c r="P1125" s="15"/>
      <c r="Q1125" s="15"/>
      <c r="R1125" s="15"/>
      <c r="S1125" s="15"/>
      <c r="T1125" s="15"/>
      <c r="U1125" s="15"/>
      <c r="V1125" s="15"/>
      <c r="W1125" s="15"/>
      <c r="X1125" s="15"/>
      <c r="Y1125" s="15"/>
      <c r="Z1125" s="15"/>
      <c r="AA1125" s="15"/>
      <c r="AB1125" s="16" t="e">
        <f>100/(SUM(I1125:Z1125))</f>
        <v>#DIV/0!</v>
      </c>
      <c r="AC1125" s="259">
        <f>SUM(I1125:AA1125)</f>
        <v>0</v>
      </c>
      <c r="AD1125" s="15"/>
      <c r="AE1125" s="15"/>
      <c r="AF1125" s="15"/>
      <c r="AG1125" s="17" t="s">
        <v>127</v>
      </c>
      <c r="AH1125" s="18"/>
      <c r="AI1125" s="18" t="s">
        <v>900</v>
      </c>
      <c r="AJ1125" s="18" t="s">
        <v>914</v>
      </c>
      <c r="AK1125" s="13"/>
      <c r="AL1125" s="17">
        <f>(B1125-DATE(1970,1,1))*86400</f>
        <v>1621900800</v>
      </c>
      <c r="AM1125" s="17">
        <f>(C1125-DATE(1970,1,1))*86400</f>
        <v>1621987200</v>
      </c>
      <c r="AN1125" s="17">
        <f>AVERAGE(AL1125:AM1125)</f>
        <v>1621944000</v>
      </c>
    </row>
    <row r="1126" spans="1:40" ht="15.75" customHeight="1" x14ac:dyDescent="0.2">
      <c r="A1126" s="288" t="s">
        <v>133</v>
      </c>
      <c r="B1126" s="60">
        <v>44334</v>
      </c>
      <c r="C1126" s="60">
        <v>44340</v>
      </c>
      <c r="D1126" s="61" t="s">
        <v>168</v>
      </c>
      <c r="E1126" s="334" t="s">
        <v>125</v>
      </c>
      <c r="F1126" s="61"/>
      <c r="G1126" s="61" t="s">
        <v>126</v>
      </c>
      <c r="H1126" s="334">
        <v>1000</v>
      </c>
      <c r="I1126" s="63">
        <v>32</v>
      </c>
      <c r="J1126" s="63"/>
      <c r="K1126" s="63">
        <v>10</v>
      </c>
      <c r="L1126" s="63">
        <v>1</v>
      </c>
      <c r="M1126" s="63">
        <v>8</v>
      </c>
      <c r="N1126" s="63"/>
      <c r="O1126" s="63"/>
      <c r="P1126" s="63">
        <v>7</v>
      </c>
      <c r="Q1126" s="63"/>
      <c r="R1126" s="64">
        <v>7</v>
      </c>
      <c r="S1126" s="63"/>
      <c r="T1126" s="63"/>
      <c r="U1126" s="63"/>
      <c r="V1126" s="63">
        <v>1</v>
      </c>
      <c r="W1126" s="63"/>
      <c r="X1126" s="63">
        <v>1</v>
      </c>
      <c r="Y1126" s="63"/>
      <c r="Z1126" s="63"/>
      <c r="AA1126" s="63">
        <v>33</v>
      </c>
      <c r="AB1126" s="65">
        <f>100/(SUM(I1126:Z1126))</f>
        <v>1.4925373134328359</v>
      </c>
      <c r="AC1126" s="259">
        <f>SUM(I1126:AA1126)</f>
        <v>100</v>
      </c>
      <c r="AD1126" s="63"/>
      <c r="AE1126" s="63"/>
      <c r="AF1126" s="63"/>
      <c r="AG1126" s="66" t="s">
        <v>127</v>
      </c>
      <c r="AH1126" s="67" t="s">
        <v>915</v>
      </c>
      <c r="AI1126" s="67" t="s">
        <v>916</v>
      </c>
      <c r="AJ1126" s="67"/>
      <c r="AK1126" s="61" t="s">
        <v>918</v>
      </c>
      <c r="AL1126" s="66">
        <f>(B1126-DATE(1970,1,1))*86400</f>
        <v>1621296000</v>
      </c>
      <c r="AM1126" s="66">
        <f>(C1126-DATE(1970,1,1))*86400</f>
        <v>1621814400</v>
      </c>
      <c r="AN1126" s="66">
        <f>AVERAGE(AL1126:AM1126)</f>
        <v>1621555200</v>
      </c>
    </row>
    <row r="1127" spans="1:40" ht="15.75" customHeight="1" x14ac:dyDescent="0.2">
      <c r="A1127" s="288" t="s">
        <v>133</v>
      </c>
      <c r="B1127" s="60">
        <v>44334</v>
      </c>
      <c r="C1127" s="60">
        <v>44340</v>
      </c>
      <c r="D1127" s="61" t="s">
        <v>168</v>
      </c>
      <c r="E1127" s="334" t="s">
        <v>125</v>
      </c>
      <c r="F1127" s="61"/>
      <c r="G1127" s="61" t="s">
        <v>126</v>
      </c>
      <c r="H1127" s="334">
        <v>1000</v>
      </c>
      <c r="I1127" s="63">
        <v>47</v>
      </c>
      <c r="J1127" s="63"/>
      <c r="K1127" s="63">
        <v>14</v>
      </c>
      <c r="L1127" s="63">
        <v>2</v>
      </c>
      <c r="M1127" s="63">
        <v>12</v>
      </c>
      <c r="N1127" s="63"/>
      <c r="O1127" s="63"/>
      <c r="P1127" s="63">
        <v>11</v>
      </c>
      <c r="Q1127" s="63"/>
      <c r="R1127" s="64">
        <v>11</v>
      </c>
      <c r="S1127" s="63"/>
      <c r="T1127" s="63"/>
      <c r="U1127" s="63"/>
      <c r="V1127" s="63">
        <v>2</v>
      </c>
      <c r="W1127" s="63"/>
      <c r="X1127" s="63">
        <v>1</v>
      </c>
      <c r="Y1127" s="63"/>
      <c r="Z1127" s="63"/>
      <c r="AA1127" s="63">
        <v>0</v>
      </c>
      <c r="AB1127" s="65">
        <f>100/(SUM(I1127:Z1127))</f>
        <v>1</v>
      </c>
      <c r="AC1127" s="259">
        <f>SUM(I1127:AA1127)</f>
        <v>100</v>
      </c>
      <c r="AD1127" s="63"/>
      <c r="AE1127" s="63"/>
      <c r="AF1127" s="63"/>
      <c r="AG1127" s="66" t="s">
        <v>127</v>
      </c>
      <c r="AH1127" s="67" t="s">
        <v>915</v>
      </c>
      <c r="AI1127" s="67" t="s">
        <v>916</v>
      </c>
      <c r="AJ1127" s="67"/>
      <c r="AK1127" s="61" t="s">
        <v>917</v>
      </c>
      <c r="AL1127" s="66">
        <f>(B1127-DATE(1970,1,1))*86400</f>
        <v>1621296000</v>
      </c>
      <c r="AM1127" s="66">
        <f>(C1127-DATE(1970,1,1))*86400</f>
        <v>1621814400</v>
      </c>
      <c r="AN1127" s="66">
        <f>AVERAGE(AL1127:AM1127)</f>
        <v>1621555200</v>
      </c>
    </row>
    <row r="1128" spans="1:40" ht="15.75" customHeight="1" x14ac:dyDescent="0.2">
      <c r="A1128" s="281" t="s">
        <v>133</v>
      </c>
      <c r="B1128" s="54">
        <v>44334</v>
      </c>
      <c r="C1128" s="54">
        <v>44337</v>
      </c>
      <c r="D1128" s="53" t="s">
        <v>154</v>
      </c>
      <c r="E1128" s="323" t="s">
        <v>125</v>
      </c>
      <c r="F1128" s="53"/>
      <c r="G1128" s="53" t="s">
        <v>126</v>
      </c>
      <c r="H1128" s="357">
        <v>1011</v>
      </c>
      <c r="I1128" s="55">
        <v>29</v>
      </c>
      <c r="J1128" s="55"/>
      <c r="K1128" s="55">
        <v>7</v>
      </c>
      <c r="L1128" s="55">
        <v>1</v>
      </c>
      <c r="M1128" s="55">
        <v>9</v>
      </c>
      <c r="N1128" s="55"/>
      <c r="O1128" s="55"/>
      <c r="P1128" s="55">
        <v>6</v>
      </c>
      <c r="Q1128" s="55"/>
      <c r="R1128" s="55">
        <v>7</v>
      </c>
      <c r="S1128" s="55"/>
      <c r="T1128" s="55"/>
      <c r="U1128" s="55">
        <v>8</v>
      </c>
      <c r="V1128" s="55">
        <v>1</v>
      </c>
      <c r="W1128" s="55"/>
      <c r="X1128" s="55">
        <v>1</v>
      </c>
      <c r="Y1128" s="55"/>
      <c r="Z1128" s="55">
        <v>1</v>
      </c>
      <c r="AA1128" s="55">
        <v>31</v>
      </c>
      <c r="AB1128" s="57">
        <f>100/(SUM(I1128:Z1128))</f>
        <v>1.4285714285714286</v>
      </c>
      <c r="AC1128" s="259">
        <f>SUM(I1128:AA1128)</f>
        <v>101</v>
      </c>
      <c r="AD1128" s="55"/>
      <c r="AE1128" s="55"/>
      <c r="AF1128" s="55"/>
      <c r="AG1128" s="58" t="s">
        <v>155</v>
      </c>
      <c r="AH1128" s="59" t="s">
        <v>921</v>
      </c>
      <c r="AI1128" s="59" t="s">
        <v>919</v>
      </c>
      <c r="AJ1128" s="59"/>
      <c r="AK1128" s="53"/>
      <c r="AL1128" s="58">
        <f>(B1128-DATE(1970,1,1))*86400</f>
        <v>1621296000</v>
      </c>
      <c r="AM1128" s="58">
        <f>(C1128-DATE(1970,1,1))*86400</f>
        <v>1621555200</v>
      </c>
      <c r="AN1128" s="58">
        <f>AVERAGE(AL1128:AM1128)</f>
        <v>1621425600</v>
      </c>
    </row>
    <row r="1129" spans="1:40" ht="15.75" customHeight="1" x14ac:dyDescent="0.2">
      <c r="A1129" s="281" t="s">
        <v>133</v>
      </c>
      <c r="B1129" s="54">
        <v>44334</v>
      </c>
      <c r="C1129" s="54">
        <v>44337</v>
      </c>
      <c r="D1129" s="53" t="s">
        <v>154</v>
      </c>
      <c r="E1129" s="323" t="s">
        <v>125</v>
      </c>
      <c r="F1129" s="53" t="s">
        <v>390</v>
      </c>
      <c r="G1129" s="53" t="s">
        <v>126</v>
      </c>
      <c r="H1129" s="357">
        <v>1011</v>
      </c>
      <c r="I1129" s="55">
        <v>36</v>
      </c>
      <c r="J1129" s="55"/>
      <c r="K1129" s="55"/>
      <c r="L1129" s="55"/>
      <c r="M1129" s="55"/>
      <c r="N1129" s="55"/>
      <c r="O1129" s="55"/>
      <c r="P1129" s="55"/>
      <c r="Q1129" s="55"/>
      <c r="R1129" s="56"/>
      <c r="S1129" s="55"/>
      <c r="T1129" s="55"/>
      <c r="U1129" s="55">
        <v>40</v>
      </c>
      <c r="V1129" s="56">
        <v>1</v>
      </c>
      <c r="W1129" s="56"/>
      <c r="X1129" s="56">
        <v>1</v>
      </c>
      <c r="Y1129" s="56"/>
      <c r="Z1129" s="56">
        <v>1</v>
      </c>
      <c r="AA1129" s="56">
        <v>21</v>
      </c>
      <c r="AB1129" s="57">
        <f>100/(SUM(I1129:Z1129))</f>
        <v>1.2658227848101267</v>
      </c>
      <c r="AC1129" s="259">
        <f>SUM(I1129:AA1129)</f>
        <v>100</v>
      </c>
      <c r="AD1129" s="55"/>
      <c r="AE1129" s="55"/>
      <c r="AF1129" s="55"/>
      <c r="AG1129" s="58" t="s">
        <v>155</v>
      </c>
      <c r="AH1129" s="59" t="s">
        <v>919</v>
      </c>
      <c r="AI1129" s="59"/>
      <c r="AJ1129" s="59"/>
      <c r="AK1129" s="53" t="s">
        <v>920</v>
      </c>
      <c r="AL1129" s="58">
        <f>(B1129-DATE(1970,1,1))*86400</f>
        <v>1621296000</v>
      </c>
      <c r="AM1129" s="58">
        <f>(C1129-DATE(1970,1,1))*86400</f>
        <v>1621555200</v>
      </c>
      <c r="AN1129" s="58">
        <f>AVERAGE(AL1129:AM1129)</f>
        <v>1621425600</v>
      </c>
    </row>
    <row r="1130" spans="1:40" ht="15.75" customHeight="1" x14ac:dyDescent="0.2">
      <c r="A1130" s="281" t="s">
        <v>123</v>
      </c>
      <c r="B1130" s="54">
        <v>44334</v>
      </c>
      <c r="C1130" s="54">
        <v>44337</v>
      </c>
      <c r="D1130" s="53" t="s">
        <v>154</v>
      </c>
      <c r="E1130" s="323" t="s">
        <v>125</v>
      </c>
      <c r="F1130" s="53"/>
      <c r="G1130" s="53" t="s">
        <v>126</v>
      </c>
      <c r="H1130" s="357">
        <v>1011</v>
      </c>
      <c r="I1130" s="55">
        <v>34</v>
      </c>
      <c r="J1130" s="55"/>
      <c r="K1130" s="55">
        <v>9</v>
      </c>
      <c r="L1130" s="55">
        <v>1</v>
      </c>
      <c r="M1130" s="55">
        <v>10</v>
      </c>
      <c r="N1130" s="55"/>
      <c r="O1130" s="55"/>
      <c r="P1130" s="55">
        <v>7</v>
      </c>
      <c r="Q1130" s="55"/>
      <c r="R1130" s="55">
        <v>8</v>
      </c>
      <c r="S1130" s="55"/>
      <c r="T1130" s="55"/>
      <c r="U1130" s="55">
        <v>9</v>
      </c>
      <c r="V1130" s="55">
        <v>1</v>
      </c>
      <c r="W1130" s="55"/>
      <c r="X1130" s="55">
        <v>1</v>
      </c>
      <c r="Y1130" s="55"/>
      <c r="Z1130" s="55">
        <v>1</v>
      </c>
      <c r="AA1130" s="55">
        <v>20</v>
      </c>
      <c r="AB1130" s="57">
        <f>100/(SUM(I1130:Z1130))</f>
        <v>1.2345679012345678</v>
      </c>
      <c r="AC1130" s="259">
        <f>SUM(I1130:AA1130)</f>
        <v>101</v>
      </c>
      <c r="AD1130" s="55"/>
      <c r="AE1130" s="55"/>
      <c r="AF1130" s="55"/>
      <c r="AG1130" s="58" t="s">
        <v>155</v>
      </c>
      <c r="AH1130" s="59" t="s">
        <v>921</v>
      </c>
      <c r="AI1130" s="59"/>
      <c r="AJ1130" s="59"/>
      <c r="AK1130" s="53"/>
      <c r="AL1130" s="58">
        <f>(B1130-DATE(1970,1,1))*86400</f>
        <v>1621296000</v>
      </c>
      <c r="AM1130" s="58">
        <f>(C1130-DATE(1970,1,1))*86400</f>
        <v>1621555200</v>
      </c>
      <c r="AN1130" s="58">
        <f>AVERAGE(AL1130:AM1130)</f>
        <v>1621425600</v>
      </c>
    </row>
    <row r="1131" spans="1:40" ht="15.75" customHeight="1" x14ac:dyDescent="0.2">
      <c r="A1131" s="281" t="s">
        <v>123</v>
      </c>
      <c r="B1131" s="54">
        <v>44334</v>
      </c>
      <c r="C1131" s="54">
        <v>44337</v>
      </c>
      <c r="D1131" s="53" t="s">
        <v>154</v>
      </c>
      <c r="E1131" s="323" t="s">
        <v>125</v>
      </c>
      <c r="F1131" s="53"/>
      <c r="G1131" s="53" t="s">
        <v>126</v>
      </c>
      <c r="H1131" s="357">
        <v>1011</v>
      </c>
      <c r="I1131" s="55">
        <v>44</v>
      </c>
      <c r="J1131" s="55"/>
      <c r="K1131" s="55">
        <v>11</v>
      </c>
      <c r="L1131" s="55">
        <v>2</v>
      </c>
      <c r="M1131" s="55">
        <v>12</v>
      </c>
      <c r="N1131" s="55"/>
      <c r="O1131" s="55"/>
      <c r="P1131" s="55">
        <v>8</v>
      </c>
      <c r="Q1131" s="55"/>
      <c r="R1131" s="55">
        <v>10</v>
      </c>
      <c r="S1131" s="55"/>
      <c r="T1131" s="55"/>
      <c r="U1131" s="55">
        <v>11</v>
      </c>
      <c r="V1131" s="55">
        <v>1</v>
      </c>
      <c r="W1131" s="55"/>
      <c r="X1131" s="55">
        <v>1</v>
      </c>
      <c r="Y1131" s="55"/>
      <c r="Z1131" s="55">
        <v>1</v>
      </c>
      <c r="AA1131" s="55">
        <v>0</v>
      </c>
      <c r="AB1131" s="57">
        <f>100/(SUM(I1131:Z1131))</f>
        <v>0.99009900990099009</v>
      </c>
      <c r="AC1131" s="259">
        <f>SUM(I1131:AA1131)</f>
        <v>101</v>
      </c>
      <c r="AD1131" s="55"/>
      <c r="AE1131" s="55"/>
      <c r="AF1131" s="55"/>
      <c r="AG1131" s="58" t="s">
        <v>155</v>
      </c>
      <c r="AH1131" s="59" t="s">
        <v>921</v>
      </c>
      <c r="AI1131" s="59"/>
      <c r="AJ1131" s="59"/>
      <c r="AK1131" s="53"/>
      <c r="AL1131" s="58">
        <f>(B1131-DATE(1970,1,1))*86400</f>
        <v>1621296000</v>
      </c>
      <c r="AM1131" s="58">
        <f>(C1131-DATE(1970,1,1))*86400</f>
        <v>1621555200</v>
      </c>
      <c r="AN1131" s="58">
        <f>AVERAGE(AL1131:AM1131)</f>
        <v>1621425600</v>
      </c>
    </row>
    <row r="1132" spans="1:40" ht="15.75" customHeight="1" x14ac:dyDescent="0.2">
      <c r="A1132" s="279" t="s">
        <v>133</v>
      </c>
      <c r="B1132" s="14">
        <v>44333</v>
      </c>
      <c r="C1132" s="14">
        <v>44335</v>
      </c>
      <c r="D1132" s="13" t="s">
        <v>124</v>
      </c>
      <c r="E1132" s="324" t="s">
        <v>125</v>
      </c>
      <c r="F1132" s="13" t="s">
        <v>140</v>
      </c>
      <c r="G1132" s="13" t="s">
        <v>126</v>
      </c>
      <c r="H1132" s="372">
        <v>1000</v>
      </c>
      <c r="I1132" s="15"/>
      <c r="J1132" s="15"/>
      <c r="K1132" s="15"/>
      <c r="L1132" s="15"/>
      <c r="M1132" s="15"/>
      <c r="N1132" s="15"/>
      <c r="O1132" s="15"/>
      <c r="P1132" s="15"/>
      <c r="Q1132" s="15"/>
      <c r="R1132" s="15"/>
      <c r="S1132" s="15"/>
      <c r="T1132" s="15"/>
      <c r="U1132" s="15"/>
      <c r="V1132" s="15"/>
      <c r="W1132" s="15"/>
      <c r="X1132" s="15"/>
      <c r="Y1132" s="15"/>
      <c r="Z1132" s="15"/>
      <c r="AA1132" s="15"/>
      <c r="AB1132" s="16" t="e">
        <f>100/(SUM(I1132:Z1132))</f>
        <v>#DIV/0!</v>
      </c>
      <c r="AC1132" s="259">
        <f>SUM(I1132:AA1132)</f>
        <v>0</v>
      </c>
      <c r="AD1132" s="15"/>
      <c r="AE1132" s="15"/>
      <c r="AF1132" s="15"/>
      <c r="AG1132" s="17" t="s">
        <v>127</v>
      </c>
      <c r="AH1132" s="18"/>
      <c r="AI1132" s="18" t="s">
        <v>900</v>
      </c>
      <c r="AJ1132" s="18" t="s">
        <v>913</v>
      </c>
      <c r="AK1132" s="13"/>
      <c r="AL1132" s="17">
        <f>(B1132-DATE(1970,1,1))*86400</f>
        <v>1621209600</v>
      </c>
      <c r="AM1132" s="17">
        <f>(C1132-DATE(1970,1,1))*86400</f>
        <v>1621382400</v>
      </c>
      <c r="AN1132" s="17">
        <f>AVERAGE(AL1132:AM1132)</f>
        <v>1621296000</v>
      </c>
    </row>
    <row r="1133" spans="1:40" ht="15.75" customHeight="1" x14ac:dyDescent="0.2">
      <c r="A1133" s="307" t="s">
        <v>133</v>
      </c>
      <c r="B1133" s="108">
        <v>44317</v>
      </c>
      <c r="C1133" s="108">
        <v>44343</v>
      </c>
      <c r="D1133" s="76" t="s">
        <v>200</v>
      </c>
      <c r="E1133" s="320" t="s">
        <v>125</v>
      </c>
      <c r="F1133" s="76" t="s">
        <v>2495</v>
      </c>
      <c r="G1133" s="76" t="s">
        <v>126</v>
      </c>
      <c r="H1133" s="320">
        <v>1000</v>
      </c>
      <c r="I1133" s="78">
        <v>41</v>
      </c>
      <c r="J1133" s="78"/>
      <c r="K1133" s="78"/>
      <c r="L1133" s="78"/>
      <c r="M1133" s="78"/>
      <c r="N1133" s="78"/>
      <c r="O1133" s="78"/>
      <c r="P1133" s="78"/>
      <c r="Q1133" s="78"/>
      <c r="R1133" s="78"/>
      <c r="S1133" s="78"/>
      <c r="T1133" s="78"/>
      <c r="U1133" s="78">
        <v>49</v>
      </c>
      <c r="V1133" s="78"/>
      <c r="W1133" s="78"/>
      <c r="X1133" s="78"/>
      <c r="Y1133" s="78"/>
      <c r="Z1133" s="78"/>
      <c r="AA1133" s="78">
        <v>10</v>
      </c>
      <c r="AB1133" s="79">
        <f>100/(SUM(I1133:Z1133))</f>
        <v>1.1111111111111112</v>
      </c>
      <c r="AC1133" s="259">
        <f>SUM(I1133:AA1133)</f>
        <v>100</v>
      </c>
      <c r="AD1133" s="78"/>
      <c r="AE1133" s="78"/>
      <c r="AF1133" s="78"/>
      <c r="AG1133" s="142"/>
      <c r="AH1133" s="81" t="s">
        <v>922</v>
      </c>
      <c r="AI1133" s="81"/>
      <c r="AJ1133" s="81"/>
      <c r="AK1133" s="76" t="s">
        <v>923</v>
      </c>
      <c r="AL1133" s="80">
        <f>(B1133-DATE(1970,1,1))*86400</f>
        <v>1619827200</v>
      </c>
      <c r="AM1133" s="80">
        <f>(C1133-DATE(1970,1,1))*86400</f>
        <v>1622073600</v>
      </c>
      <c r="AN1133" s="80">
        <f>AVERAGE(AL1133:AM1133)</f>
        <v>1620950400</v>
      </c>
    </row>
    <row r="1134" spans="1:40" ht="15.75" customHeight="1" x14ac:dyDescent="0.2">
      <c r="A1134" s="286" t="s">
        <v>133</v>
      </c>
      <c r="B1134" s="41">
        <v>44324</v>
      </c>
      <c r="C1134" s="41">
        <v>44333</v>
      </c>
      <c r="D1134" s="40" t="s">
        <v>148</v>
      </c>
      <c r="E1134" s="325" t="s">
        <v>125</v>
      </c>
      <c r="F1134" s="40"/>
      <c r="G1134" s="40" t="s">
        <v>149</v>
      </c>
      <c r="H1134" s="325">
        <v>1000</v>
      </c>
      <c r="I1134" s="42">
        <v>34.299999999999997</v>
      </c>
      <c r="J1134" s="42"/>
      <c r="K1134" s="42">
        <v>12.9</v>
      </c>
      <c r="L1134" s="42">
        <v>2.1</v>
      </c>
      <c r="M1134" s="42">
        <v>11</v>
      </c>
      <c r="N1134" s="42"/>
      <c r="O1134" s="42"/>
      <c r="P1134" s="42">
        <v>6</v>
      </c>
      <c r="Q1134" s="42"/>
      <c r="R1134" s="43">
        <v>7.1</v>
      </c>
      <c r="S1134" s="42"/>
      <c r="T1134" s="42"/>
      <c r="U1134" s="42"/>
      <c r="V1134" s="42">
        <v>1.2</v>
      </c>
      <c r="W1134" s="42"/>
      <c r="X1134" s="42">
        <v>1</v>
      </c>
      <c r="Y1134" s="42"/>
      <c r="Z1134" s="42">
        <v>1.2</v>
      </c>
      <c r="AA1134" s="42">
        <v>23.2</v>
      </c>
      <c r="AB1134" s="44">
        <f>100/(SUM(I1134:Z1134))</f>
        <v>1.3020833333333335</v>
      </c>
      <c r="AC1134" s="259">
        <f>SUM(I1134:AA1134)</f>
        <v>100</v>
      </c>
      <c r="AD1134" s="42"/>
      <c r="AE1134" s="42"/>
      <c r="AF1134" s="42"/>
      <c r="AG1134" s="45" t="s">
        <v>127</v>
      </c>
      <c r="AH1134" s="42" t="s">
        <v>532</v>
      </c>
      <c r="AI1134" s="46" t="s">
        <v>924</v>
      </c>
      <c r="AJ1134" s="46" t="s">
        <v>926</v>
      </c>
      <c r="AK1134" s="40" t="s">
        <v>927</v>
      </c>
      <c r="AL1134" s="45">
        <f>(B1134-DATE(1970,1,1))*86400</f>
        <v>1620432000</v>
      </c>
      <c r="AM1134" s="45">
        <f>(C1134-DATE(1970,1,1))*86400</f>
        <v>1621209600</v>
      </c>
      <c r="AN1134" s="45">
        <f>AVERAGE(AL1134:AM1134)</f>
        <v>1620820800</v>
      </c>
    </row>
    <row r="1135" spans="1:40" ht="15.75" customHeight="1" x14ac:dyDescent="0.2">
      <c r="A1135" s="286" t="s">
        <v>133</v>
      </c>
      <c r="B1135" s="41">
        <v>44324</v>
      </c>
      <c r="C1135" s="41">
        <v>44333</v>
      </c>
      <c r="D1135" s="40" t="s">
        <v>148</v>
      </c>
      <c r="E1135" s="325" t="s">
        <v>125</v>
      </c>
      <c r="F1135" s="40" t="s">
        <v>390</v>
      </c>
      <c r="G1135" s="40" t="s">
        <v>149</v>
      </c>
      <c r="H1135" s="325">
        <v>1000</v>
      </c>
      <c r="I1135" s="42">
        <v>38.5</v>
      </c>
      <c r="J1135" s="42"/>
      <c r="K1135" s="42"/>
      <c r="L1135" s="42"/>
      <c r="M1135" s="42"/>
      <c r="N1135" s="42"/>
      <c r="O1135" s="42"/>
      <c r="P1135" s="42"/>
      <c r="Q1135" s="42"/>
      <c r="R1135" s="43"/>
      <c r="S1135" s="42"/>
      <c r="T1135" s="42"/>
      <c r="U1135" s="42">
        <v>40.1</v>
      </c>
      <c r="V1135" s="42"/>
      <c r="W1135" s="42"/>
      <c r="X1135" s="42"/>
      <c r="Y1135" s="42"/>
      <c r="Z1135" s="42">
        <v>3.2</v>
      </c>
      <c r="AA1135" s="42">
        <v>18.2</v>
      </c>
      <c r="AB1135" s="44">
        <f>100/(SUM(I1135:Z1135))</f>
        <v>1.2224938875305624</v>
      </c>
      <c r="AC1135" s="259">
        <f>SUM(I1135:AA1135)</f>
        <v>100</v>
      </c>
      <c r="AD1135" s="42"/>
      <c r="AE1135" s="42"/>
      <c r="AF1135" s="42"/>
      <c r="AG1135" s="45" t="s">
        <v>127</v>
      </c>
      <c r="AH1135" s="42" t="s">
        <v>532</v>
      </c>
      <c r="AI1135" s="46" t="s">
        <v>924</v>
      </c>
      <c r="AJ1135" s="132" t="s">
        <v>925</v>
      </c>
      <c r="AK1135" s="40"/>
      <c r="AL1135" s="45">
        <f>(B1135-DATE(1970,1,1))*86400</f>
        <v>1620432000</v>
      </c>
      <c r="AM1135" s="45">
        <f>(C1135-DATE(1970,1,1))*86400</f>
        <v>1621209600</v>
      </c>
      <c r="AN1135" s="45">
        <f>AVERAGE(AL1135:AM1135)</f>
        <v>1620820800</v>
      </c>
    </row>
    <row r="1136" spans="1:40" ht="15.75" customHeight="1" x14ac:dyDescent="0.2">
      <c r="A1136" s="286" t="s">
        <v>123</v>
      </c>
      <c r="B1136" s="41">
        <v>44324</v>
      </c>
      <c r="C1136" s="41">
        <v>44333</v>
      </c>
      <c r="D1136" s="40" t="s">
        <v>148</v>
      </c>
      <c r="E1136" s="325" t="s">
        <v>125</v>
      </c>
      <c r="F1136" s="40" t="s">
        <v>390</v>
      </c>
      <c r="G1136" s="40" t="s">
        <v>149</v>
      </c>
      <c r="H1136" s="325">
        <v>1000</v>
      </c>
      <c r="I1136" s="42">
        <v>47.7</v>
      </c>
      <c r="J1136" s="42"/>
      <c r="K1136" s="42"/>
      <c r="L1136" s="42"/>
      <c r="M1136" s="42"/>
      <c r="N1136" s="42"/>
      <c r="O1136" s="42"/>
      <c r="P1136" s="42"/>
      <c r="Q1136" s="42"/>
      <c r="R1136" s="43"/>
      <c r="S1136" s="42"/>
      <c r="T1136" s="42"/>
      <c r="U1136" s="42">
        <v>49.5</v>
      </c>
      <c r="V1136" s="42"/>
      <c r="W1136" s="42"/>
      <c r="X1136" s="42"/>
      <c r="Y1136" s="42"/>
      <c r="Z1136" s="42">
        <v>2.8</v>
      </c>
      <c r="AA1136" s="42">
        <v>0</v>
      </c>
      <c r="AB1136" s="44">
        <f>100/(SUM(I1136:Z1136))</f>
        <v>1</v>
      </c>
      <c r="AC1136" s="259">
        <f>SUM(I1136:AA1136)</f>
        <v>100</v>
      </c>
      <c r="AD1136" s="42"/>
      <c r="AE1136" s="42"/>
      <c r="AF1136" s="42"/>
      <c r="AG1136" s="45" t="s">
        <v>127</v>
      </c>
      <c r="AH1136" s="42" t="s">
        <v>532</v>
      </c>
      <c r="AI1136" s="46" t="s">
        <v>924</v>
      </c>
      <c r="AJ1136" s="132" t="s">
        <v>925</v>
      </c>
      <c r="AK1136" s="40"/>
      <c r="AL1136" s="45">
        <f>(B1136-DATE(1970,1,1))*86400</f>
        <v>1620432000</v>
      </c>
      <c r="AM1136" s="45">
        <f>(C1136-DATE(1970,1,1))*86400</f>
        <v>1621209600</v>
      </c>
      <c r="AN1136" s="45">
        <f>AVERAGE(AL1136:AM1136)</f>
        <v>1620820800</v>
      </c>
    </row>
    <row r="1137" spans="1:65" ht="15.75" customHeight="1" x14ac:dyDescent="0.2">
      <c r="A1137" s="286" t="s">
        <v>123</v>
      </c>
      <c r="B1137" s="41">
        <v>44324</v>
      </c>
      <c r="C1137" s="41">
        <v>44333</v>
      </c>
      <c r="D1137" s="40" t="s">
        <v>148</v>
      </c>
      <c r="E1137" s="325" t="s">
        <v>125</v>
      </c>
      <c r="F1137" s="40"/>
      <c r="G1137" s="40" t="s">
        <v>149</v>
      </c>
      <c r="H1137" s="325">
        <v>1000</v>
      </c>
      <c r="I1137" s="42">
        <v>45.6</v>
      </c>
      <c r="J1137" s="42"/>
      <c r="K1137" s="42">
        <v>15.9</v>
      </c>
      <c r="L1137" s="42">
        <v>2.9</v>
      </c>
      <c r="M1137" s="42">
        <v>17.5</v>
      </c>
      <c r="N1137" s="42"/>
      <c r="O1137" s="42"/>
      <c r="P1137" s="42">
        <v>7</v>
      </c>
      <c r="Q1137" s="42"/>
      <c r="R1137" s="43">
        <v>7.5</v>
      </c>
      <c r="S1137" s="42"/>
      <c r="T1137" s="42"/>
      <c r="U1137" s="42"/>
      <c r="V1137" s="42">
        <v>1.2</v>
      </c>
      <c r="W1137" s="42"/>
      <c r="X1137" s="42">
        <v>1.2</v>
      </c>
      <c r="Y1137" s="42"/>
      <c r="Z1137" s="42">
        <v>1.2</v>
      </c>
      <c r="AA1137" s="42">
        <v>0</v>
      </c>
      <c r="AB1137" s="44">
        <f>100/(SUM(I1137:Z1137))</f>
        <v>0.99999999999999989</v>
      </c>
      <c r="AC1137" s="259">
        <f>SUM(I1137:AA1137)</f>
        <v>100.00000000000001</v>
      </c>
      <c r="AD1137" s="42"/>
      <c r="AE1137" s="42"/>
      <c r="AF1137" s="42"/>
      <c r="AG1137" s="45" t="s">
        <v>127</v>
      </c>
      <c r="AH1137" s="42" t="s">
        <v>532</v>
      </c>
      <c r="AI1137" s="46" t="s">
        <v>924</v>
      </c>
      <c r="AJ1137" s="46" t="s">
        <v>926</v>
      </c>
      <c r="AK1137" s="40" t="s">
        <v>928</v>
      </c>
      <c r="AL1137" s="45">
        <f>(B1137-DATE(1970,1,1))*86400</f>
        <v>1620432000</v>
      </c>
      <c r="AM1137" s="45">
        <f>(C1137-DATE(1970,1,1))*86400</f>
        <v>1621209600</v>
      </c>
      <c r="AN1137" s="45">
        <f>AVERAGE(AL1137:AM1137)</f>
        <v>1620820800</v>
      </c>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row>
    <row r="1138" spans="1:65" ht="15.75" customHeight="1" x14ac:dyDescent="0.2">
      <c r="A1138" s="306" t="s">
        <v>133</v>
      </c>
      <c r="B1138" s="135">
        <v>44322</v>
      </c>
      <c r="C1138" s="135">
        <v>44327</v>
      </c>
      <c r="D1138" s="134" t="s">
        <v>873</v>
      </c>
      <c r="E1138" s="345" t="s">
        <v>184</v>
      </c>
      <c r="F1138" s="134"/>
      <c r="G1138" s="134" t="s">
        <v>126</v>
      </c>
      <c r="H1138" s="375">
        <v>1003</v>
      </c>
      <c r="I1138" s="136">
        <v>40</v>
      </c>
      <c r="J1138" s="136"/>
      <c r="K1138" s="136">
        <v>12</v>
      </c>
      <c r="L1138" s="136">
        <v>2</v>
      </c>
      <c r="M1138" s="136">
        <v>9</v>
      </c>
      <c r="N1138" s="136"/>
      <c r="O1138" s="136"/>
      <c r="P1138" s="136">
        <v>5</v>
      </c>
      <c r="Q1138" s="136"/>
      <c r="R1138" s="140">
        <v>3</v>
      </c>
      <c r="S1138" s="136"/>
      <c r="T1138" s="136"/>
      <c r="U1138" s="136">
        <v>1</v>
      </c>
      <c r="V1138" s="136">
        <v>2</v>
      </c>
      <c r="W1138" s="136"/>
      <c r="X1138" s="136">
        <v>3</v>
      </c>
      <c r="Y1138" s="136"/>
      <c r="Z1138" s="136">
        <v>0</v>
      </c>
      <c r="AA1138" s="136">
        <v>23</v>
      </c>
      <c r="AB1138" s="137">
        <f>100/(SUM(I1138:Z1138))</f>
        <v>1.2987012987012987</v>
      </c>
      <c r="AC1138" s="259">
        <f>SUM(I1138:AA1138)</f>
        <v>100</v>
      </c>
      <c r="AD1138" s="136"/>
      <c r="AE1138" s="136"/>
      <c r="AF1138" s="136"/>
      <c r="AG1138" s="138"/>
      <c r="AH1138" s="139" t="s">
        <v>929</v>
      </c>
      <c r="AI1138" s="139" t="s">
        <v>930</v>
      </c>
      <c r="AJ1138" s="139"/>
      <c r="AK1138" s="134" t="s">
        <v>931</v>
      </c>
      <c r="AL1138" s="138">
        <f>(B1138-DATE(1970,1,1))*86400</f>
        <v>1620259200</v>
      </c>
      <c r="AM1138" s="138">
        <f>(C1138-DATE(1970,1,1))*86400</f>
        <v>1620691200</v>
      </c>
      <c r="AN1138" s="138">
        <f>AVERAGE(AL1138:AM1138)</f>
        <v>1620475200</v>
      </c>
    </row>
    <row r="1139" spans="1:65" ht="15.75" customHeight="1" x14ac:dyDescent="0.2">
      <c r="A1139" s="306" t="s">
        <v>133</v>
      </c>
      <c r="B1139" s="135">
        <v>44322</v>
      </c>
      <c r="C1139" s="135">
        <v>44327</v>
      </c>
      <c r="D1139" s="134" t="s">
        <v>873</v>
      </c>
      <c r="E1139" s="345" t="s">
        <v>184</v>
      </c>
      <c r="F1139" s="134" t="s">
        <v>390</v>
      </c>
      <c r="G1139" s="134" t="s">
        <v>126</v>
      </c>
      <c r="H1139" s="375">
        <v>1003</v>
      </c>
      <c r="I1139" s="136">
        <v>41</v>
      </c>
      <c r="J1139" s="136"/>
      <c r="K1139" s="136"/>
      <c r="L1139" s="136"/>
      <c r="M1139" s="136"/>
      <c r="N1139" s="136"/>
      <c r="O1139" s="136"/>
      <c r="P1139" s="136"/>
      <c r="Q1139" s="136"/>
      <c r="R1139" s="136"/>
      <c r="S1139" s="136"/>
      <c r="T1139" s="136"/>
      <c r="U1139" s="136">
        <v>36</v>
      </c>
      <c r="V1139" s="136"/>
      <c r="W1139" s="136"/>
      <c r="X1139" s="136"/>
      <c r="Y1139" s="136"/>
      <c r="Z1139" s="136">
        <v>2</v>
      </c>
      <c r="AA1139" s="136">
        <v>21</v>
      </c>
      <c r="AB1139" s="137">
        <f>100/(SUM(I1139:Z1139))</f>
        <v>1.2658227848101267</v>
      </c>
      <c r="AC1139" s="259">
        <f>SUM(I1139:AA1139)</f>
        <v>100</v>
      </c>
      <c r="AD1139" s="136"/>
      <c r="AE1139" s="136"/>
      <c r="AF1139" s="136"/>
      <c r="AG1139" s="138"/>
      <c r="AH1139" s="139" t="s">
        <v>929</v>
      </c>
      <c r="AI1139" s="139" t="s">
        <v>930</v>
      </c>
      <c r="AJ1139" s="139"/>
      <c r="AK1139" s="134"/>
      <c r="AL1139" s="138">
        <f>(B1139-DATE(1970,1,1))*86400</f>
        <v>1620259200</v>
      </c>
      <c r="AM1139" s="138">
        <f>(C1139-DATE(1970,1,1))*86400</f>
        <v>1620691200</v>
      </c>
      <c r="AN1139" s="138">
        <f>AVERAGE(AL1139:AM1139)</f>
        <v>1620475200</v>
      </c>
    </row>
    <row r="1140" spans="1:65" ht="15.75" customHeight="1" x14ac:dyDescent="0.2">
      <c r="A1140" s="306" t="s">
        <v>123</v>
      </c>
      <c r="B1140" s="135">
        <v>44322</v>
      </c>
      <c r="C1140" s="135">
        <v>44327</v>
      </c>
      <c r="D1140" s="134" t="s">
        <v>873</v>
      </c>
      <c r="E1140" s="345" t="s">
        <v>184</v>
      </c>
      <c r="F1140" s="134" t="s">
        <v>390</v>
      </c>
      <c r="G1140" s="134" t="s">
        <v>126</v>
      </c>
      <c r="H1140" s="375">
        <v>1003</v>
      </c>
      <c r="I1140" s="136">
        <v>53</v>
      </c>
      <c r="J1140" s="136"/>
      <c r="K1140" s="136"/>
      <c r="L1140" s="136"/>
      <c r="M1140" s="136"/>
      <c r="N1140" s="136"/>
      <c r="O1140" s="136"/>
      <c r="P1140" s="136"/>
      <c r="Q1140" s="136"/>
      <c r="R1140" s="136"/>
      <c r="S1140" s="136"/>
      <c r="T1140" s="136"/>
      <c r="U1140" s="136">
        <v>45</v>
      </c>
      <c r="V1140" s="136"/>
      <c r="W1140" s="136"/>
      <c r="X1140" s="136"/>
      <c r="Y1140" s="136"/>
      <c r="Z1140" s="136">
        <v>2</v>
      </c>
      <c r="AA1140" s="136">
        <v>0</v>
      </c>
      <c r="AB1140" s="137">
        <f>100/(SUM(I1140:Z1140))</f>
        <v>1</v>
      </c>
      <c r="AC1140" s="259">
        <f>SUM(I1140:AA1140)</f>
        <v>100</v>
      </c>
      <c r="AD1140" s="136"/>
      <c r="AE1140" s="136"/>
      <c r="AF1140" s="136"/>
      <c r="AG1140" s="138"/>
      <c r="AH1140" s="139" t="s">
        <v>929</v>
      </c>
      <c r="AI1140" s="139" t="s">
        <v>930</v>
      </c>
      <c r="AJ1140" s="139"/>
      <c r="AK1140" s="134"/>
      <c r="AL1140" s="138">
        <f>(B1140-DATE(1970,1,1))*86400</f>
        <v>1620259200</v>
      </c>
      <c r="AM1140" s="138">
        <f>(C1140-DATE(1970,1,1))*86400</f>
        <v>1620691200</v>
      </c>
      <c r="AN1140" s="138">
        <f>AVERAGE(AL1140:AM1140)</f>
        <v>1620475200</v>
      </c>
    </row>
    <row r="1141" spans="1:65" ht="15.75" customHeight="1" x14ac:dyDescent="0.2">
      <c r="A1141" s="306" t="s">
        <v>123</v>
      </c>
      <c r="B1141" s="135">
        <v>44322</v>
      </c>
      <c r="C1141" s="135">
        <v>44327</v>
      </c>
      <c r="D1141" s="134" t="s">
        <v>873</v>
      </c>
      <c r="E1141" s="345" t="s">
        <v>184</v>
      </c>
      <c r="F1141" s="134"/>
      <c r="G1141" s="134" t="s">
        <v>126</v>
      </c>
      <c r="H1141" s="375">
        <v>1003</v>
      </c>
      <c r="I1141" s="136">
        <v>54</v>
      </c>
      <c r="J1141" s="136"/>
      <c r="K1141" s="136">
        <v>14</v>
      </c>
      <c r="L1141" s="136">
        <v>2</v>
      </c>
      <c r="M1141" s="136">
        <v>13</v>
      </c>
      <c r="N1141" s="136"/>
      <c r="O1141" s="136"/>
      <c r="P1141" s="136">
        <v>8</v>
      </c>
      <c r="Q1141" s="136"/>
      <c r="R1141" s="140">
        <v>3</v>
      </c>
      <c r="S1141" s="136"/>
      <c r="T1141" s="136"/>
      <c r="U1141" s="136">
        <v>1</v>
      </c>
      <c r="V1141" s="136">
        <v>2</v>
      </c>
      <c r="W1141" s="136"/>
      <c r="X1141" s="136">
        <v>3</v>
      </c>
      <c r="Y1141" s="136"/>
      <c r="Z1141" s="136">
        <v>0</v>
      </c>
      <c r="AA1141" s="136">
        <v>0</v>
      </c>
      <c r="AB1141" s="137">
        <f>100/(SUM(I1141:Z1141))</f>
        <v>1</v>
      </c>
      <c r="AC1141" s="259">
        <f>SUM(I1141:AA1141)</f>
        <v>100</v>
      </c>
      <c r="AD1141" s="136"/>
      <c r="AE1141" s="136"/>
      <c r="AF1141" s="136"/>
      <c r="AG1141" s="138"/>
      <c r="AH1141" s="139" t="s">
        <v>929</v>
      </c>
      <c r="AI1141" s="139" t="s">
        <v>930</v>
      </c>
      <c r="AJ1141" s="139"/>
      <c r="AK1141" s="134" t="s">
        <v>931</v>
      </c>
      <c r="AL1141" s="138">
        <f>(B1141-DATE(1970,1,1))*86400</f>
        <v>1620259200</v>
      </c>
      <c r="AM1141" s="138">
        <f>(C1141-DATE(1970,1,1))*86400</f>
        <v>1620691200</v>
      </c>
      <c r="AN1141" s="138">
        <f>AVERAGE(AL1141:AM1141)</f>
        <v>1620475200</v>
      </c>
    </row>
    <row r="1142" spans="1:65" ht="15.75" customHeight="1" x14ac:dyDescent="0.2">
      <c r="A1142" s="284" t="s">
        <v>133</v>
      </c>
      <c r="B1142" s="20">
        <v>44313</v>
      </c>
      <c r="C1142" s="20">
        <v>44320</v>
      </c>
      <c r="D1142" s="19" t="s">
        <v>134</v>
      </c>
      <c r="E1142" s="332" t="s">
        <v>125</v>
      </c>
      <c r="F1142" s="19"/>
      <c r="G1142" s="19" t="s">
        <v>135</v>
      </c>
      <c r="H1142" s="332">
        <v>2000</v>
      </c>
      <c r="I1142" s="21">
        <v>31</v>
      </c>
      <c r="J1142" s="21"/>
      <c r="K1142" s="21">
        <v>11</v>
      </c>
      <c r="L1142" s="21">
        <v>1</v>
      </c>
      <c r="M1142" s="21">
        <v>10</v>
      </c>
      <c r="N1142" s="21"/>
      <c r="O1142" s="21"/>
      <c r="P1142" s="21">
        <v>6</v>
      </c>
      <c r="Q1142" s="21"/>
      <c r="R1142" s="22">
        <v>6</v>
      </c>
      <c r="S1142" s="21"/>
      <c r="T1142" s="21"/>
      <c r="U1142" s="21"/>
      <c r="V1142" s="21">
        <v>2</v>
      </c>
      <c r="W1142" s="21"/>
      <c r="X1142" s="21">
        <v>2</v>
      </c>
      <c r="Y1142" s="21"/>
      <c r="Z1142" s="21">
        <v>0</v>
      </c>
      <c r="AA1142" s="21">
        <v>31</v>
      </c>
      <c r="AB1142" s="23">
        <f>100/(SUM(I1142:Z1142))</f>
        <v>1.4492753623188406</v>
      </c>
      <c r="AC1142" s="259">
        <f>SUM(I1142:AA1142)</f>
        <v>100</v>
      </c>
      <c r="AD1142" s="24"/>
      <c r="AE1142" s="24"/>
      <c r="AF1142" s="24"/>
      <c r="AG1142" s="25" t="s">
        <v>127</v>
      </c>
      <c r="AH1142" s="26" t="s">
        <v>932</v>
      </c>
      <c r="AI1142" s="83" t="s">
        <v>933</v>
      </c>
      <c r="AJ1142" s="19" t="s">
        <v>935</v>
      </c>
      <c r="AK1142" s="19" t="s">
        <v>881</v>
      </c>
      <c r="AL1142" s="25">
        <f>(B1142-DATE(1970,1,1))*86400</f>
        <v>1619481600</v>
      </c>
      <c r="AM1142" s="25">
        <f>(C1142-DATE(1970,1,1))*86400</f>
        <v>1620086400</v>
      </c>
      <c r="AN1142" s="25">
        <f>AVERAGE(AL1142:AM1142)</f>
        <v>1619784000</v>
      </c>
    </row>
    <row r="1143" spans="1:65" ht="15.75" customHeight="1" x14ac:dyDescent="0.2">
      <c r="A1143" s="284" t="s">
        <v>133</v>
      </c>
      <c r="B1143" s="20">
        <v>44313</v>
      </c>
      <c r="C1143" s="20">
        <v>44320</v>
      </c>
      <c r="D1143" s="19" t="s">
        <v>134</v>
      </c>
      <c r="E1143" s="332" t="s">
        <v>125</v>
      </c>
      <c r="F1143" s="19" t="s">
        <v>390</v>
      </c>
      <c r="G1143" s="19" t="s">
        <v>135</v>
      </c>
      <c r="H1143" s="332">
        <v>2000</v>
      </c>
      <c r="I1143" s="21">
        <v>35</v>
      </c>
      <c r="J1143" s="21"/>
      <c r="K1143" s="21"/>
      <c r="L1143" s="21"/>
      <c r="M1143" s="21"/>
      <c r="N1143" s="21"/>
      <c r="O1143" s="21"/>
      <c r="P1143" s="21"/>
      <c r="Q1143" s="21"/>
      <c r="R1143" s="22"/>
      <c r="S1143" s="21"/>
      <c r="T1143" s="21"/>
      <c r="U1143" s="21">
        <v>38</v>
      </c>
      <c r="V1143" s="21">
        <v>2</v>
      </c>
      <c r="W1143" s="21"/>
      <c r="X1143" s="21">
        <v>3</v>
      </c>
      <c r="Y1143" s="21"/>
      <c r="Z1143" s="21">
        <v>1</v>
      </c>
      <c r="AA1143" s="21">
        <v>21</v>
      </c>
      <c r="AB1143" s="23">
        <f>100/(SUM(I1143:Z1143))</f>
        <v>1.2658227848101267</v>
      </c>
      <c r="AC1143" s="259">
        <f>SUM(I1143:AA1143)</f>
        <v>100</v>
      </c>
      <c r="AD1143" s="24"/>
      <c r="AE1143" s="24"/>
      <c r="AF1143" s="24"/>
      <c r="AG1143" s="25" t="s">
        <v>127</v>
      </c>
      <c r="AH1143" s="26" t="s">
        <v>932</v>
      </c>
      <c r="AI1143" s="83" t="s">
        <v>933</v>
      </c>
      <c r="AJ1143" s="83" t="s">
        <v>934</v>
      </c>
      <c r="AK1143" s="19"/>
      <c r="AL1143" s="25">
        <f>(B1143-DATE(1970,1,1))*86400</f>
        <v>1619481600</v>
      </c>
      <c r="AM1143" s="25">
        <f>(C1143-DATE(1970,1,1))*86400</f>
        <v>1620086400</v>
      </c>
      <c r="AN1143" s="25">
        <f>AVERAGE(AL1143:AM1143)</f>
        <v>1619784000</v>
      </c>
    </row>
    <row r="1144" spans="1:65" ht="15.75" customHeight="1" x14ac:dyDescent="0.2">
      <c r="A1144" s="284" t="s">
        <v>123</v>
      </c>
      <c r="B1144" s="20">
        <v>44313</v>
      </c>
      <c r="C1144" s="20">
        <v>44320</v>
      </c>
      <c r="D1144" s="19" t="s">
        <v>134</v>
      </c>
      <c r="E1144" s="332" t="s">
        <v>125</v>
      </c>
      <c r="F1144" s="19" t="s">
        <v>390</v>
      </c>
      <c r="G1144" s="19" t="s">
        <v>135</v>
      </c>
      <c r="H1144" s="332">
        <v>2000</v>
      </c>
      <c r="I1144" s="21">
        <v>46</v>
      </c>
      <c r="J1144" s="21"/>
      <c r="K1144" s="21"/>
      <c r="L1144" s="21"/>
      <c r="M1144" s="21"/>
      <c r="N1144" s="21"/>
      <c r="O1144" s="21"/>
      <c r="P1144" s="21"/>
      <c r="Q1144" s="21"/>
      <c r="R1144" s="22"/>
      <c r="S1144" s="21"/>
      <c r="T1144" s="21"/>
      <c r="U1144" s="21">
        <v>48</v>
      </c>
      <c r="V1144" s="21">
        <v>2</v>
      </c>
      <c r="W1144" s="21"/>
      <c r="X1144" s="21">
        <v>4</v>
      </c>
      <c r="Y1144" s="21"/>
      <c r="Z1144" s="21">
        <v>0</v>
      </c>
      <c r="AA1144" s="21">
        <v>0</v>
      </c>
      <c r="AB1144" s="23">
        <f>100/(SUM(I1144:Z1144))</f>
        <v>1</v>
      </c>
      <c r="AC1144" s="259">
        <f>SUM(I1144:AA1144)</f>
        <v>100</v>
      </c>
      <c r="AD1144" s="24"/>
      <c r="AE1144" s="24"/>
      <c r="AF1144" s="24"/>
      <c r="AG1144" s="25" t="s">
        <v>127</v>
      </c>
      <c r="AH1144" s="26" t="s">
        <v>932</v>
      </c>
      <c r="AI1144" s="83" t="s">
        <v>933</v>
      </c>
      <c r="AJ1144" s="83" t="s">
        <v>934</v>
      </c>
      <c r="AK1144" s="19"/>
      <c r="AL1144" s="25">
        <f>(B1144-DATE(1970,1,1))*86400</f>
        <v>1619481600</v>
      </c>
      <c r="AM1144" s="25">
        <f>(C1144-DATE(1970,1,1))*86400</f>
        <v>1620086400</v>
      </c>
      <c r="AN1144" s="25">
        <f>AVERAGE(AL1144:AM1144)</f>
        <v>1619784000</v>
      </c>
    </row>
    <row r="1145" spans="1:65" ht="15.75" customHeight="1" x14ac:dyDescent="0.2">
      <c r="A1145" s="284" t="s">
        <v>123</v>
      </c>
      <c r="B1145" s="20">
        <v>44313</v>
      </c>
      <c r="C1145" s="20">
        <v>44320</v>
      </c>
      <c r="D1145" s="19" t="s">
        <v>134</v>
      </c>
      <c r="E1145" s="332" t="s">
        <v>125</v>
      </c>
      <c r="F1145" s="19"/>
      <c r="G1145" s="19" t="s">
        <v>135</v>
      </c>
      <c r="H1145" s="332">
        <v>2000</v>
      </c>
      <c r="I1145" s="21">
        <v>46</v>
      </c>
      <c r="J1145" s="21"/>
      <c r="K1145" s="21">
        <v>14</v>
      </c>
      <c r="L1145" s="21">
        <v>1</v>
      </c>
      <c r="M1145" s="21">
        <v>16</v>
      </c>
      <c r="N1145" s="21"/>
      <c r="O1145" s="21"/>
      <c r="P1145" s="21">
        <v>9</v>
      </c>
      <c r="Q1145" s="21"/>
      <c r="R1145" s="22">
        <v>7</v>
      </c>
      <c r="S1145" s="21"/>
      <c r="T1145" s="21"/>
      <c r="U1145" s="21"/>
      <c r="V1145" s="21">
        <v>3</v>
      </c>
      <c r="W1145" s="21"/>
      <c r="X1145" s="21">
        <v>3</v>
      </c>
      <c r="Y1145" s="21"/>
      <c r="Z1145" s="21">
        <v>1</v>
      </c>
      <c r="AA1145" s="21">
        <v>0</v>
      </c>
      <c r="AB1145" s="23">
        <f>100/(SUM(I1145:Z1145))</f>
        <v>1</v>
      </c>
      <c r="AC1145" s="259">
        <f>SUM(I1145:AA1145)</f>
        <v>100</v>
      </c>
      <c r="AD1145" s="24"/>
      <c r="AE1145" s="24"/>
      <c r="AF1145" s="24"/>
      <c r="AG1145" s="25" t="s">
        <v>127</v>
      </c>
      <c r="AH1145" s="26" t="s">
        <v>932</v>
      </c>
      <c r="AI1145" s="83" t="s">
        <v>933</v>
      </c>
      <c r="AJ1145" s="19" t="s">
        <v>936</v>
      </c>
      <c r="AK1145" s="19" t="s">
        <v>882</v>
      </c>
      <c r="AL1145" s="25">
        <f>(B1145-DATE(1970,1,1))*86400</f>
        <v>1619481600</v>
      </c>
      <c r="AM1145" s="25">
        <f>(C1145-DATE(1970,1,1))*86400</f>
        <v>1620086400</v>
      </c>
      <c r="AN1145" s="25">
        <f>AVERAGE(AL1145:AM1145)</f>
        <v>1619784000</v>
      </c>
    </row>
    <row r="1146" spans="1:65" ht="15.75" customHeight="1" x14ac:dyDescent="0.2">
      <c r="A1146" s="279" t="s">
        <v>133</v>
      </c>
      <c r="B1146" s="14">
        <v>44313</v>
      </c>
      <c r="C1146" s="14">
        <v>44314</v>
      </c>
      <c r="D1146" s="13" t="s">
        <v>124</v>
      </c>
      <c r="E1146" s="324" t="s">
        <v>125</v>
      </c>
      <c r="F1146" s="13" t="s">
        <v>390</v>
      </c>
      <c r="G1146" s="13" t="s">
        <v>126</v>
      </c>
      <c r="H1146" s="372">
        <v>1000</v>
      </c>
      <c r="I1146" s="15">
        <v>40</v>
      </c>
      <c r="J1146" s="15"/>
      <c r="K1146" s="15"/>
      <c r="L1146" s="15"/>
      <c r="M1146" s="15"/>
      <c r="N1146" s="15"/>
      <c r="O1146" s="15"/>
      <c r="P1146" s="15"/>
      <c r="Q1146" s="15"/>
      <c r="R1146" s="15"/>
      <c r="S1146" s="15"/>
      <c r="T1146" s="15"/>
      <c r="U1146" s="15">
        <v>34</v>
      </c>
      <c r="V1146" s="15">
        <v>2</v>
      </c>
      <c r="W1146" s="15"/>
      <c r="X1146" s="15">
        <v>2</v>
      </c>
      <c r="Y1146" s="15"/>
      <c r="Z1146" s="15">
        <v>0</v>
      </c>
      <c r="AA1146" s="15">
        <v>22</v>
      </c>
      <c r="AB1146" s="16">
        <f>100/(SUM(I1146:Z1146))</f>
        <v>1.2820512820512822</v>
      </c>
      <c r="AC1146" s="259">
        <f>SUM(I1146:AA1146)</f>
        <v>100</v>
      </c>
      <c r="AD1146" s="15"/>
      <c r="AE1146" s="15"/>
      <c r="AF1146" s="15"/>
      <c r="AG1146" s="17" t="s">
        <v>127</v>
      </c>
      <c r="AH1146" s="18" t="s">
        <v>937</v>
      </c>
      <c r="AI1146" s="18" t="s">
        <v>938</v>
      </c>
      <c r="AJ1146" s="18"/>
      <c r="AK1146" s="13" t="s">
        <v>939</v>
      </c>
      <c r="AL1146" s="17">
        <f>(B1146-DATE(1970,1,1))*86400</f>
        <v>1619481600</v>
      </c>
      <c r="AM1146" s="17">
        <f>(C1146-DATE(1970,1,1))*86400</f>
        <v>1619568000</v>
      </c>
      <c r="AN1146" s="17">
        <f>AVERAGE(AL1146:AM1146)</f>
        <v>1619524800</v>
      </c>
    </row>
    <row r="1147" spans="1:65" ht="15.75" customHeight="1" x14ac:dyDescent="0.2">
      <c r="A1147" s="279" t="s">
        <v>123</v>
      </c>
      <c r="B1147" s="14">
        <v>44313</v>
      </c>
      <c r="C1147" s="14">
        <v>44314</v>
      </c>
      <c r="D1147" s="13" t="s">
        <v>124</v>
      </c>
      <c r="E1147" s="324" t="s">
        <v>125</v>
      </c>
      <c r="F1147" s="13" t="s">
        <v>390</v>
      </c>
      <c r="G1147" s="13" t="s">
        <v>126</v>
      </c>
      <c r="H1147" s="372">
        <v>1000</v>
      </c>
      <c r="I1147" s="15">
        <v>51</v>
      </c>
      <c r="J1147" s="15"/>
      <c r="K1147" s="15"/>
      <c r="L1147" s="15"/>
      <c r="M1147" s="15"/>
      <c r="N1147" s="15"/>
      <c r="O1147" s="15"/>
      <c r="P1147" s="15"/>
      <c r="Q1147" s="15"/>
      <c r="R1147" s="15"/>
      <c r="S1147" s="15"/>
      <c r="T1147" s="15"/>
      <c r="U1147" s="15">
        <v>43</v>
      </c>
      <c r="V1147" s="15">
        <v>2</v>
      </c>
      <c r="W1147" s="15"/>
      <c r="X1147" s="15">
        <v>3</v>
      </c>
      <c r="Y1147" s="15"/>
      <c r="Z1147" s="15">
        <v>1</v>
      </c>
      <c r="AA1147" s="15">
        <v>0</v>
      </c>
      <c r="AB1147" s="16">
        <f>100/(SUM(I1147:Z1147))</f>
        <v>1</v>
      </c>
      <c r="AC1147" s="259">
        <f>SUM(I1147:AA1147)</f>
        <v>100</v>
      </c>
      <c r="AD1147" s="15"/>
      <c r="AE1147" s="15"/>
      <c r="AF1147" s="15"/>
      <c r="AG1147" s="17" t="s">
        <v>127</v>
      </c>
      <c r="AH1147" s="18" t="s">
        <v>937</v>
      </c>
      <c r="AI1147" s="18" t="s">
        <v>938</v>
      </c>
      <c r="AJ1147" s="18"/>
      <c r="AK1147" s="13"/>
      <c r="AL1147" s="17">
        <f>(B1147-DATE(1970,1,1))*86400</f>
        <v>1619481600</v>
      </c>
      <c r="AM1147" s="17">
        <f>(C1147-DATE(1970,1,1))*86400</f>
        <v>1619568000</v>
      </c>
      <c r="AN1147" s="17">
        <f>AVERAGE(AL1147:AM1147)</f>
        <v>1619524800</v>
      </c>
    </row>
    <row r="1148" spans="1:65" ht="15.75" customHeight="1" x14ac:dyDescent="0.2">
      <c r="A1148" s="281" t="s">
        <v>133</v>
      </c>
      <c r="B1148" s="54">
        <v>44310</v>
      </c>
      <c r="C1148" s="54">
        <v>44314</v>
      </c>
      <c r="D1148" s="53" t="s">
        <v>154</v>
      </c>
      <c r="E1148" s="323" t="s">
        <v>125</v>
      </c>
      <c r="F1148" s="53"/>
      <c r="G1148" s="53" t="s">
        <v>126</v>
      </c>
      <c r="H1148" s="357">
        <v>1012</v>
      </c>
      <c r="I1148" s="55">
        <v>31</v>
      </c>
      <c r="J1148" s="55"/>
      <c r="K1148" s="55">
        <v>7</v>
      </c>
      <c r="L1148" s="55">
        <v>1</v>
      </c>
      <c r="M1148" s="55">
        <v>8</v>
      </c>
      <c r="N1148" s="55"/>
      <c r="O1148" s="55"/>
      <c r="P1148" s="55">
        <v>5</v>
      </c>
      <c r="Q1148" s="55"/>
      <c r="R1148" s="56">
        <v>7</v>
      </c>
      <c r="S1148" s="55"/>
      <c r="T1148" s="55"/>
      <c r="U1148" s="55">
        <v>7</v>
      </c>
      <c r="V1148" s="55">
        <v>1</v>
      </c>
      <c r="W1148" s="55"/>
      <c r="X1148" s="55">
        <v>1</v>
      </c>
      <c r="Y1148" s="55"/>
      <c r="Z1148" s="55"/>
      <c r="AA1148" s="55">
        <v>32</v>
      </c>
      <c r="AB1148" s="57">
        <f>100/(SUM(I1148:Z1148))</f>
        <v>1.4705882352941178</v>
      </c>
      <c r="AC1148" s="259">
        <f>SUM(I1148:AA1148)</f>
        <v>100</v>
      </c>
      <c r="AD1148" s="55"/>
      <c r="AE1148" s="55"/>
      <c r="AF1148" s="55"/>
      <c r="AG1148" s="58" t="s">
        <v>155</v>
      </c>
      <c r="AH1148" s="59" t="s">
        <v>941</v>
      </c>
      <c r="AI1148" s="59" t="s">
        <v>942</v>
      </c>
      <c r="AJ1148" s="59" t="s">
        <v>943</v>
      </c>
      <c r="AK1148" s="53" t="s">
        <v>946</v>
      </c>
      <c r="AL1148" s="58">
        <f>(B1148-DATE(1970,1,1))*86400</f>
        <v>1619222400</v>
      </c>
      <c r="AM1148" s="58">
        <f>(C1148-DATE(1970,1,1))*86400</f>
        <v>1619568000</v>
      </c>
      <c r="AN1148" s="58">
        <f>AVERAGE(AL1148:AM1148)</f>
        <v>1619395200</v>
      </c>
    </row>
    <row r="1149" spans="1:65" ht="15.75" customHeight="1" x14ac:dyDescent="0.2">
      <c r="A1149" s="281" t="s">
        <v>133</v>
      </c>
      <c r="B1149" s="54">
        <v>44310</v>
      </c>
      <c r="C1149" s="54">
        <v>44314</v>
      </c>
      <c r="D1149" s="53" t="s">
        <v>154</v>
      </c>
      <c r="E1149" s="323" t="s">
        <v>125</v>
      </c>
      <c r="F1149" s="53" t="s">
        <v>390</v>
      </c>
      <c r="G1149" s="53" t="s">
        <v>126</v>
      </c>
      <c r="H1149" s="357">
        <v>1012</v>
      </c>
      <c r="I1149" s="55">
        <v>37</v>
      </c>
      <c r="J1149" s="55"/>
      <c r="K1149" s="55"/>
      <c r="L1149" s="55"/>
      <c r="M1149" s="55"/>
      <c r="N1149" s="55"/>
      <c r="O1149" s="55"/>
      <c r="P1149" s="55"/>
      <c r="Q1149" s="55"/>
      <c r="R1149" s="56"/>
      <c r="S1149" s="55"/>
      <c r="T1149" s="55"/>
      <c r="U1149" s="55">
        <v>40</v>
      </c>
      <c r="V1149" s="55">
        <v>1</v>
      </c>
      <c r="W1149" s="55"/>
      <c r="X1149" s="55">
        <v>0</v>
      </c>
      <c r="Y1149" s="55"/>
      <c r="Z1149" s="55"/>
      <c r="AA1149" s="55">
        <v>22</v>
      </c>
      <c r="AB1149" s="57">
        <f>100/(SUM(I1149:Z1149))</f>
        <v>1.2820512820512822</v>
      </c>
      <c r="AC1149" s="259">
        <f>SUM(I1149:AA1149)</f>
        <v>100</v>
      </c>
      <c r="AD1149" s="55"/>
      <c r="AE1149" s="55"/>
      <c r="AF1149" s="55"/>
      <c r="AG1149" s="58" t="s">
        <v>155</v>
      </c>
      <c r="AH1149" s="59" t="s">
        <v>942</v>
      </c>
      <c r="AI1149" s="59"/>
      <c r="AJ1149" s="59"/>
      <c r="AK1149" s="53"/>
      <c r="AL1149" s="58">
        <f>(B1149-DATE(1970,1,1))*86400</f>
        <v>1619222400</v>
      </c>
      <c r="AM1149" s="58">
        <f>(C1149-DATE(1970,1,1))*86400</f>
        <v>1619568000</v>
      </c>
      <c r="AN1149" s="58">
        <f>AVERAGE(AL1149:AM1149)</f>
        <v>1619395200</v>
      </c>
    </row>
    <row r="1150" spans="1:65" ht="15.75" customHeight="1" x14ac:dyDescent="0.2">
      <c r="A1150" s="281" t="s">
        <v>123</v>
      </c>
      <c r="B1150" s="54">
        <v>44310</v>
      </c>
      <c r="C1150" s="54">
        <v>44314</v>
      </c>
      <c r="D1150" s="53" t="s">
        <v>154</v>
      </c>
      <c r="E1150" s="323" t="s">
        <v>125</v>
      </c>
      <c r="F1150" s="53" t="s">
        <v>940</v>
      </c>
      <c r="G1150" s="53" t="s">
        <v>126</v>
      </c>
      <c r="H1150" s="357">
        <v>1012</v>
      </c>
      <c r="I1150" s="55">
        <v>35</v>
      </c>
      <c r="J1150" s="55"/>
      <c r="K1150" s="55">
        <v>8</v>
      </c>
      <c r="L1150" s="55">
        <v>0</v>
      </c>
      <c r="M1150" s="55">
        <v>10</v>
      </c>
      <c r="N1150" s="55"/>
      <c r="O1150" s="55"/>
      <c r="P1150" s="55">
        <v>6</v>
      </c>
      <c r="Q1150" s="55"/>
      <c r="R1150" s="56">
        <v>8</v>
      </c>
      <c r="S1150" s="55"/>
      <c r="T1150" s="55"/>
      <c r="U1150" s="55">
        <v>10</v>
      </c>
      <c r="V1150" s="55">
        <v>1</v>
      </c>
      <c r="W1150" s="55"/>
      <c r="X1150" s="55">
        <v>1</v>
      </c>
      <c r="Y1150" s="55"/>
      <c r="Z1150" s="55"/>
      <c r="AA1150" s="55">
        <v>21</v>
      </c>
      <c r="AB1150" s="57">
        <f>100/(SUM(I1150:Z1150))</f>
        <v>1.2658227848101267</v>
      </c>
      <c r="AC1150" s="259">
        <f>SUM(I1150:AA1150)</f>
        <v>100</v>
      </c>
      <c r="AD1150" s="55"/>
      <c r="AE1150" s="55"/>
      <c r="AF1150" s="55"/>
      <c r="AG1150" s="58" t="s">
        <v>155</v>
      </c>
      <c r="AH1150" s="59" t="s">
        <v>941</v>
      </c>
      <c r="AI1150" s="59" t="s">
        <v>942</v>
      </c>
      <c r="AJ1150" s="59" t="s">
        <v>943</v>
      </c>
      <c r="AK1150" s="53" t="s">
        <v>945</v>
      </c>
      <c r="AL1150" s="58">
        <f>(B1150-DATE(1970,1,1))*86400</f>
        <v>1619222400</v>
      </c>
      <c r="AM1150" s="58">
        <f>(C1150-DATE(1970,1,1))*86400</f>
        <v>1619568000</v>
      </c>
      <c r="AN1150" s="58">
        <f>AVERAGE(AL1150:AM1150)</f>
        <v>1619395200</v>
      </c>
    </row>
    <row r="1151" spans="1:65" ht="15.75" customHeight="1" x14ac:dyDescent="0.2">
      <c r="A1151" s="281" t="s">
        <v>123</v>
      </c>
      <c r="B1151" s="54">
        <v>44310</v>
      </c>
      <c r="C1151" s="54">
        <v>44314</v>
      </c>
      <c r="D1151" s="53" t="s">
        <v>154</v>
      </c>
      <c r="E1151" s="323" t="s">
        <v>125</v>
      </c>
      <c r="F1151" s="53" t="s">
        <v>940</v>
      </c>
      <c r="G1151" s="53" t="s">
        <v>126</v>
      </c>
      <c r="H1151" s="357">
        <v>1012</v>
      </c>
      <c r="I1151" s="55">
        <v>48</v>
      </c>
      <c r="J1151" s="55"/>
      <c r="K1151" s="55">
        <v>10</v>
      </c>
      <c r="L1151" s="55">
        <v>1</v>
      </c>
      <c r="M1151" s="55">
        <v>11</v>
      </c>
      <c r="N1151" s="55"/>
      <c r="O1151" s="55"/>
      <c r="P1151" s="55">
        <v>8</v>
      </c>
      <c r="Q1151" s="55"/>
      <c r="R1151" s="56">
        <v>10</v>
      </c>
      <c r="S1151" s="55"/>
      <c r="T1151" s="55"/>
      <c r="U1151" s="55">
        <v>11</v>
      </c>
      <c r="V1151" s="55">
        <v>1</v>
      </c>
      <c r="W1151" s="55"/>
      <c r="X1151" s="55">
        <v>1</v>
      </c>
      <c r="Y1151" s="55"/>
      <c r="Z1151" s="55"/>
      <c r="AA1151" s="55">
        <v>0</v>
      </c>
      <c r="AB1151" s="57">
        <f>100/(SUM(I1151:Z1151))</f>
        <v>0.99009900990099009</v>
      </c>
      <c r="AC1151" s="259">
        <f>SUM(I1151:AA1151)</f>
        <v>101</v>
      </c>
      <c r="AD1151" s="55"/>
      <c r="AE1151" s="55"/>
      <c r="AF1151" s="55"/>
      <c r="AG1151" s="58" t="s">
        <v>155</v>
      </c>
      <c r="AH1151" s="59" t="s">
        <v>941</v>
      </c>
      <c r="AI1151" s="59" t="s">
        <v>942</v>
      </c>
      <c r="AJ1151" s="59" t="s">
        <v>943</v>
      </c>
      <c r="AK1151" s="53" t="s">
        <v>944</v>
      </c>
      <c r="AL1151" s="58">
        <f>(B1151-DATE(1970,1,1))*86400</f>
        <v>1619222400</v>
      </c>
      <c r="AM1151" s="58">
        <f>(C1151-DATE(1970,1,1))*86400</f>
        <v>1619568000</v>
      </c>
      <c r="AN1151" s="58">
        <f>AVERAGE(AL1151:AM1151)</f>
        <v>1619395200</v>
      </c>
    </row>
    <row r="1152" spans="1:65" ht="15.75" customHeight="1" x14ac:dyDescent="0.2">
      <c r="A1152" s="288" t="s">
        <v>133</v>
      </c>
      <c r="B1152" s="60">
        <v>44305</v>
      </c>
      <c r="C1152" s="60">
        <v>44309</v>
      </c>
      <c r="D1152" s="61" t="s">
        <v>168</v>
      </c>
      <c r="E1152" s="334" t="s">
        <v>125</v>
      </c>
      <c r="F1152" s="61"/>
      <c r="G1152" s="61" t="s">
        <v>126</v>
      </c>
      <c r="H1152" s="334">
        <v>1000</v>
      </c>
      <c r="I1152" s="63">
        <v>31</v>
      </c>
      <c r="J1152" s="63"/>
      <c r="K1152" s="63">
        <v>10</v>
      </c>
      <c r="L1152" s="63">
        <v>1</v>
      </c>
      <c r="M1152" s="63">
        <v>9</v>
      </c>
      <c r="N1152" s="63"/>
      <c r="O1152" s="63"/>
      <c r="P1152" s="63">
        <v>8</v>
      </c>
      <c r="Q1152" s="63"/>
      <c r="R1152" s="64">
        <v>7</v>
      </c>
      <c r="S1152" s="63"/>
      <c r="T1152" s="63"/>
      <c r="U1152" s="63"/>
      <c r="V1152" s="63">
        <v>1</v>
      </c>
      <c r="W1152" s="63"/>
      <c r="X1152" s="63">
        <v>1</v>
      </c>
      <c r="Y1152" s="63"/>
      <c r="Z1152" s="63"/>
      <c r="AA1152" s="63">
        <v>32</v>
      </c>
      <c r="AB1152" s="65">
        <f>100/(SUM(I1152:Z1152))</f>
        <v>1.4705882352941178</v>
      </c>
      <c r="AC1152" s="259">
        <f>SUM(I1152:AA1152)</f>
        <v>100</v>
      </c>
      <c r="AD1152" s="63">
        <v>71</v>
      </c>
      <c r="AE1152" s="63"/>
      <c r="AF1152" s="63"/>
      <c r="AG1152" s="66" t="s">
        <v>127</v>
      </c>
      <c r="AH1152" s="67" t="s">
        <v>947</v>
      </c>
      <c r="AI1152" s="67" t="s">
        <v>948</v>
      </c>
      <c r="AJ1152" s="67"/>
      <c r="AK1152" s="61" t="s">
        <v>918</v>
      </c>
      <c r="AL1152" s="66">
        <f>(B1152-DATE(1970,1,1))*86400</f>
        <v>1618790400</v>
      </c>
      <c r="AM1152" s="66">
        <f>(C1152-DATE(1970,1,1))*86400</f>
        <v>1619136000</v>
      </c>
      <c r="AN1152" s="66">
        <f>AVERAGE(AL1152:AM1152)</f>
        <v>1618963200</v>
      </c>
    </row>
    <row r="1153" spans="1:40" ht="15.75" customHeight="1" x14ac:dyDescent="0.2">
      <c r="A1153" s="288" t="s">
        <v>133</v>
      </c>
      <c r="B1153" s="60">
        <v>44305</v>
      </c>
      <c r="C1153" s="60">
        <v>44309</v>
      </c>
      <c r="D1153" s="61" t="s">
        <v>168</v>
      </c>
      <c r="E1153" s="334" t="s">
        <v>125</v>
      </c>
      <c r="F1153" s="61"/>
      <c r="G1153" s="61" t="s">
        <v>126</v>
      </c>
      <c r="H1153" s="334">
        <v>1000</v>
      </c>
      <c r="I1153" s="63">
        <v>46</v>
      </c>
      <c r="J1153" s="63"/>
      <c r="K1153" s="63">
        <v>14</v>
      </c>
      <c r="L1153" s="63">
        <v>2</v>
      </c>
      <c r="M1153" s="63">
        <v>13</v>
      </c>
      <c r="N1153" s="63"/>
      <c r="O1153" s="63"/>
      <c r="P1153" s="63">
        <v>12</v>
      </c>
      <c r="Q1153" s="63"/>
      <c r="R1153" s="64">
        <v>11</v>
      </c>
      <c r="S1153" s="63"/>
      <c r="T1153" s="63"/>
      <c r="U1153" s="63"/>
      <c r="V1153" s="63">
        <v>1</v>
      </c>
      <c r="W1153" s="63"/>
      <c r="X1153" s="63">
        <v>1</v>
      </c>
      <c r="Y1153" s="63"/>
      <c r="Z1153" s="63"/>
      <c r="AA1153" s="63">
        <v>0</v>
      </c>
      <c r="AB1153" s="65">
        <f>100/(SUM(I1153:Z1153))</f>
        <v>1</v>
      </c>
      <c r="AC1153" s="259">
        <f>SUM(I1153:AA1153)</f>
        <v>100</v>
      </c>
      <c r="AD1153" s="63"/>
      <c r="AE1153" s="63"/>
      <c r="AF1153" s="63"/>
      <c r="AG1153" s="66" t="s">
        <v>127</v>
      </c>
      <c r="AH1153" s="67" t="s">
        <v>947</v>
      </c>
      <c r="AI1153" s="67" t="s">
        <v>948</v>
      </c>
      <c r="AJ1153" s="67"/>
      <c r="AK1153" s="61" t="s">
        <v>917</v>
      </c>
      <c r="AL1153" s="66">
        <f>(B1153-DATE(1970,1,1))*86400</f>
        <v>1618790400</v>
      </c>
      <c r="AM1153" s="66">
        <f>(C1153-DATE(1970,1,1))*86400</f>
        <v>1619136000</v>
      </c>
      <c r="AN1153" s="66">
        <f>AVERAGE(AL1153:AM1153)</f>
        <v>1618963200</v>
      </c>
    </row>
    <row r="1154" spans="1:40" ht="15.75" customHeight="1" x14ac:dyDescent="0.2">
      <c r="A1154" s="279" t="s">
        <v>133</v>
      </c>
      <c r="B1154" s="14">
        <v>44305</v>
      </c>
      <c r="C1154" s="14">
        <v>44307</v>
      </c>
      <c r="D1154" s="13" t="s">
        <v>124</v>
      </c>
      <c r="E1154" s="324" t="s">
        <v>125</v>
      </c>
      <c r="F1154" s="13" t="s">
        <v>140</v>
      </c>
      <c r="G1154" s="13" t="s">
        <v>126</v>
      </c>
      <c r="H1154" s="372">
        <v>1000</v>
      </c>
      <c r="I1154" s="15"/>
      <c r="J1154" s="15"/>
      <c r="K1154" s="15"/>
      <c r="L1154" s="15"/>
      <c r="M1154" s="15"/>
      <c r="N1154" s="15"/>
      <c r="O1154" s="15"/>
      <c r="P1154" s="15"/>
      <c r="Q1154" s="15"/>
      <c r="R1154" s="15"/>
      <c r="S1154" s="15"/>
      <c r="T1154" s="15"/>
      <c r="U1154" s="15"/>
      <c r="V1154" s="15"/>
      <c r="W1154" s="15"/>
      <c r="X1154" s="15"/>
      <c r="Y1154" s="15"/>
      <c r="Z1154" s="15"/>
      <c r="AA1154" s="15"/>
      <c r="AB1154" s="16" t="e">
        <f>100/(SUM(I1154:Z1154))</f>
        <v>#DIV/0!</v>
      </c>
      <c r="AC1154" s="259">
        <f>SUM(I1154:AA1154)</f>
        <v>0</v>
      </c>
      <c r="AD1154" s="15"/>
      <c r="AE1154" s="15"/>
      <c r="AF1154" s="15"/>
      <c r="AG1154" s="17" t="s">
        <v>127</v>
      </c>
      <c r="AH1154" s="18"/>
      <c r="AI1154" s="18"/>
      <c r="AJ1154" s="18" t="s">
        <v>949</v>
      </c>
      <c r="AK1154" s="13"/>
      <c r="AL1154" s="17">
        <f>(B1154-DATE(1970,1,1))*86400</f>
        <v>1618790400</v>
      </c>
      <c r="AM1154" s="17">
        <f>(C1154-DATE(1970,1,1))*86400</f>
        <v>1618963200</v>
      </c>
      <c r="AN1154" s="17">
        <f>AVERAGE(AL1154:AM1154)</f>
        <v>1618876800</v>
      </c>
    </row>
    <row r="1155" spans="1:40" ht="15.75" customHeight="1" x14ac:dyDescent="0.2">
      <c r="A1155" s="279" t="s">
        <v>133</v>
      </c>
      <c r="B1155" s="14">
        <v>44299</v>
      </c>
      <c r="C1155" s="14">
        <v>44300</v>
      </c>
      <c r="D1155" s="13" t="s">
        <v>124</v>
      </c>
      <c r="E1155" s="324" t="s">
        <v>125</v>
      </c>
      <c r="F1155" s="13" t="s">
        <v>140</v>
      </c>
      <c r="G1155" s="13" t="s">
        <v>126</v>
      </c>
      <c r="H1155" s="372">
        <v>1000</v>
      </c>
      <c r="I1155" s="15"/>
      <c r="J1155" s="15"/>
      <c r="K1155" s="15"/>
      <c r="L1155" s="15"/>
      <c r="M1155" s="15"/>
      <c r="N1155" s="15"/>
      <c r="O1155" s="15"/>
      <c r="P1155" s="15"/>
      <c r="Q1155" s="15"/>
      <c r="R1155" s="15"/>
      <c r="S1155" s="15"/>
      <c r="T1155" s="15"/>
      <c r="U1155" s="15"/>
      <c r="V1155" s="15"/>
      <c r="W1155" s="15"/>
      <c r="X1155" s="15"/>
      <c r="Y1155" s="15"/>
      <c r="Z1155" s="15"/>
      <c r="AA1155" s="15"/>
      <c r="AB1155" s="16" t="e">
        <f>100/(SUM(I1155:Z1155))</f>
        <v>#DIV/0!</v>
      </c>
      <c r="AC1155" s="259">
        <f>SUM(I1155:AA1155)</f>
        <v>0</v>
      </c>
      <c r="AD1155" s="15"/>
      <c r="AE1155" s="15"/>
      <c r="AF1155" s="15"/>
      <c r="AG1155" s="17" t="s">
        <v>127</v>
      </c>
      <c r="AH1155" s="18"/>
      <c r="AI1155" s="18"/>
      <c r="AJ1155" s="18" t="s">
        <v>950</v>
      </c>
      <c r="AK1155" s="13"/>
      <c r="AL1155" s="17">
        <f>(B1155-DATE(1970,1,1))*86400</f>
        <v>1618272000</v>
      </c>
      <c r="AM1155" s="17">
        <f>(C1155-DATE(1970,1,1))*86400</f>
        <v>1618358400</v>
      </c>
      <c r="AN1155" s="17">
        <f>AVERAGE(AL1155:AM1155)</f>
        <v>1618315200</v>
      </c>
    </row>
    <row r="1156" spans="1:40" ht="15.75" customHeight="1" x14ac:dyDescent="0.2">
      <c r="A1156" s="286" t="s">
        <v>133</v>
      </c>
      <c r="B1156" s="41">
        <v>44295</v>
      </c>
      <c r="C1156" s="41">
        <v>44303</v>
      </c>
      <c r="D1156" s="40" t="s">
        <v>148</v>
      </c>
      <c r="E1156" s="325" t="s">
        <v>125</v>
      </c>
      <c r="F1156" s="40"/>
      <c r="G1156" s="40" t="s">
        <v>149</v>
      </c>
      <c r="H1156" s="325">
        <v>1000</v>
      </c>
      <c r="I1156" s="42">
        <v>33.6</v>
      </c>
      <c r="J1156" s="42"/>
      <c r="K1156" s="42">
        <v>11.7</v>
      </c>
      <c r="L1156" s="42">
        <v>2.2000000000000002</v>
      </c>
      <c r="M1156" s="42">
        <v>10.9</v>
      </c>
      <c r="N1156" s="42"/>
      <c r="O1156" s="42"/>
      <c r="P1156" s="42">
        <v>6.1</v>
      </c>
      <c r="Q1156" s="42"/>
      <c r="R1156" s="43">
        <v>6.3</v>
      </c>
      <c r="S1156" s="42"/>
      <c r="T1156" s="42"/>
      <c r="U1156" s="42"/>
      <c r="V1156" s="42">
        <v>1.1000000000000001</v>
      </c>
      <c r="W1156" s="42"/>
      <c r="X1156" s="42">
        <v>0.8</v>
      </c>
      <c r="Y1156" s="42"/>
      <c r="Z1156" s="42">
        <v>0.8</v>
      </c>
      <c r="AA1156" s="42">
        <v>26.5</v>
      </c>
      <c r="AB1156" s="44">
        <f>100/(SUM(I1156:Z1156))</f>
        <v>1.360544217687075</v>
      </c>
      <c r="AC1156" s="259">
        <f>SUM(I1156:AA1156)</f>
        <v>99.999999999999986</v>
      </c>
      <c r="AD1156" s="42"/>
      <c r="AE1156" s="42"/>
      <c r="AF1156" s="42"/>
      <c r="AG1156" s="45" t="s">
        <v>127</v>
      </c>
      <c r="AH1156" s="42" t="s">
        <v>951</v>
      </c>
      <c r="AI1156" s="46" t="s">
        <v>952</v>
      </c>
      <c r="AJ1156" s="46" t="s">
        <v>954</v>
      </c>
      <c r="AK1156" s="40" t="s">
        <v>955</v>
      </c>
      <c r="AL1156" s="45">
        <f>(B1156-DATE(1970,1,1))*86400</f>
        <v>1617926400</v>
      </c>
      <c r="AM1156" s="45">
        <f>(C1156-DATE(1970,1,1))*86400</f>
        <v>1618617600</v>
      </c>
      <c r="AN1156" s="45">
        <f>AVERAGE(AL1156:AM1156)</f>
        <v>1618272000</v>
      </c>
    </row>
    <row r="1157" spans="1:40" ht="15.75" customHeight="1" x14ac:dyDescent="0.2">
      <c r="A1157" s="286" t="s">
        <v>133</v>
      </c>
      <c r="B1157" s="41">
        <v>44295</v>
      </c>
      <c r="C1157" s="41">
        <v>44303</v>
      </c>
      <c r="D1157" s="40" t="s">
        <v>148</v>
      </c>
      <c r="E1157" s="325" t="s">
        <v>125</v>
      </c>
      <c r="F1157" s="40" t="s">
        <v>390</v>
      </c>
      <c r="G1157" s="40" t="s">
        <v>149</v>
      </c>
      <c r="H1157" s="325">
        <v>1000</v>
      </c>
      <c r="I1157" s="42">
        <v>36.6</v>
      </c>
      <c r="J1157" s="42"/>
      <c r="K1157" s="42"/>
      <c r="L1157" s="42"/>
      <c r="M1157" s="42"/>
      <c r="N1157" s="42"/>
      <c r="O1157" s="42"/>
      <c r="P1157" s="42"/>
      <c r="Q1157" s="42"/>
      <c r="R1157" s="43"/>
      <c r="S1157" s="42"/>
      <c r="T1157" s="42"/>
      <c r="U1157" s="42">
        <v>39.4</v>
      </c>
      <c r="V1157" s="42"/>
      <c r="W1157" s="42"/>
      <c r="X1157" s="42"/>
      <c r="Y1157" s="42"/>
      <c r="Z1157" s="42">
        <v>2.8</v>
      </c>
      <c r="AA1157" s="42">
        <v>21.2</v>
      </c>
      <c r="AB1157" s="44">
        <f>100/(SUM(I1157:Z1157))</f>
        <v>1.2690355329949239</v>
      </c>
      <c r="AC1157" s="259">
        <f>SUM(I1157:AA1157)</f>
        <v>100</v>
      </c>
      <c r="AD1157" s="42"/>
      <c r="AE1157" s="42"/>
      <c r="AF1157" s="42"/>
      <c r="AG1157" s="45" t="s">
        <v>127</v>
      </c>
      <c r="AH1157" s="42" t="s">
        <v>951</v>
      </c>
      <c r="AI1157" s="46" t="s">
        <v>952</v>
      </c>
      <c r="AJ1157" s="132" t="s">
        <v>953</v>
      </c>
      <c r="AK1157" s="40"/>
      <c r="AL1157" s="45">
        <f>(B1157-DATE(1970,1,1))*86400</f>
        <v>1617926400</v>
      </c>
      <c r="AM1157" s="45">
        <f>(C1157-DATE(1970,1,1))*86400</f>
        <v>1618617600</v>
      </c>
      <c r="AN1157" s="45">
        <f>AVERAGE(AL1157:AM1157)</f>
        <v>1618272000</v>
      </c>
    </row>
    <row r="1158" spans="1:40" ht="15.75" customHeight="1" x14ac:dyDescent="0.2">
      <c r="A1158" s="286" t="s">
        <v>123</v>
      </c>
      <c r="B1158" s="41">
        <v>44295</v>
      </c>
      <c r="C1158" s="41">
        <v>44303</v>
      </c>
      <c r="D1158" s="40" t="s">
        <v>148</v>
      </c>
      <c r="E1158" s="325" t="s">
        <v>125</v>
      </c>
      <c r="F1158" s="40" t="s">
        <v>390</v>
      </c>
      <c r="G1158" s="40" t="s">
        <v>149</v>
      </c>
      <c r="H1158" s="325">
        <v>1000</v>
      </c>
      <c r="I1158" s="42">
        <v>48.2</v>
      </c>
      <c r="J1158" s="42"/>
      <c r="K1158" s="42"/>
      <c r="L1158" s="42"/>
      <c r="M1158" s="42"/>
      <c r="N1158" s="42"/>
      <c r="O1158" s="42"/>
      <c r="P1158" s="42"/>
      <c r="Q1158" s="42"/>
      <c r="R1158" s="43"/>
      <c r="S1158" s="42"/>
      <c r="T1158" s="42"/>
      <c r="U1158" s="42">
        <v>49.1</v>
      </c>
      <c r="V1158" s="42"/>
      <c r="W1158" s="42"/>
      <c r="X1158" s="42"/>
      <c r="Y1158" s="42"/>
      <c r="Z1158" s="42">
        <v>2.7</v>
      </c>
      <c r="AA1158" s="42">
        <v>0</v>
      </c>
      <c r="AB1158" s="44">
        <f>100/(SUM(I1158:Z1158))</f>
        <v>0.99999999999999989</v>
      </c>
      <c r="AC1158" s="259">
        <f>SUM(I1158:AA1158)</f>
        <v>100.00000000000001</v>
      </c>
      <c r="AD1158" s="42"/>
      <c r="AE1158" s="42"/>
      <c r="AF1158" s="42"/>
      <c r="AG1158" s="45" t="s">
        <v>127</v>
      </c>
      <c r="AH1158" s="42" t="s">
        <v>951</v>
      </c>
      <c r="AI1158" s="46" t="s">
        <v>952</v>
      </c>
      <c r="AJ1158" s="132" t="s">
        <v>953</v>
      </c>
      <c r="AK1158" s="40"/>
      <c r="AL1158" s="45">
        <f>(B1158-DATE(1970,1,1))*86400</f>
        <v>1617926400</v>
      </c>
      <c r="AM1158" s="45">
        <f>(C1158-DATE(1970,1,1))*86400</f>
        <v>1618617600</v>
      </c>
      <c r="AN1158" s="45">
        <f>AVERAGE(AL1158:AM1158)</f>
        <v>1618272000</v>
      </c>
    </row>
    <row r="1159" spans="1:40" ht="15.75" customHeight="1" x14ac:dyDescent="0.2">
      <c r="A1159" s="286" t="s">
        <v>123</v>
      </c>
      <c r="B1159" s="41">
        <v>44295</v>
      </c>
      <c r="C1159" s="41">
        <v>44303</v>
      </c>
      <c r="D1159" s="40" t="s">
        <v>148</v>
      </c>
      <c r="E1159" s="325" t="s">
        <v>125</v>
      </c>
      <c r="F1159" s="40"/>
      <c r="G1159" s="40" t="s">
        <v>149</v>
      </c>
      <c r="H1159" s="325">
        <v>1000</v>
      </c>
      <c r="I1159" s="42">
        <v>46.7</v>
      </c>
      <c r="J1159" s="42"/>
      <c r="K1159" s="42">
        <v>14.8</v>
      </c>
      <c r="L1159" s="42">
        <v>1.9</v>
      </c>
      <c r="M1159" s="42">
        <v>17</v>
      </c>
      <c r="N1159" s="42"/>
      <c r="O1159" s="42"/>
      <c r="P1159" s="42">
        <v>8.1999999999999993</v>
      </c>
      <c r="Q1159" s="42"/>
      <c r="R1159" s="43">
        <v>8.3000000000000007</v>
      </c>
      <c r="S1159" s="42"/>
      <c r="T1159" s="42"/>
      <c r="U1159" s="42"/>
      <c r="V1159" s="42">
        <v>1.3</v>
      </c>
      <c r="W1159" s="42"/>
      <c r="X1159" s="42">
        <v>0.8</v>
      </c>
      <c r="Y1159" s="42"/>
      <c r="Z1159" s="42">
        <v>1</v>
      </c>
      <c r="AA1159" s="42">
        <v>0</v>
      </c>
      <c r="AB1159" s="44">
        <f>100/(SUM(I1159:Z1159))</f>
        <v>1</v>
      </c>
      <c r="AC1159" s="259">
        <f>SUM(I1159:AA1159)</f>
        <v>100</v>
      </c>
      <c r="AD1159" s="42"/>
      <c r="AE1159" s="42"/>
      <c r="AF1159" s="42"/>
      <c r="AG1159" s="45" t="s">
        <v>127</v>
      </c>
      <c r="AH1159" s="42" t="s">
        <v>951</v>
      </c>
      <c r="AI1159" s="46" t="s">
        <v>952</v>
      </c>
      <c r="AJ1159" s="46" t="s">
        <v>954</v>
      </c>
      <c r="AK1159" s="40" t="s">
        <v>956</v>
      </c>
      <c r="AL1159" s="45">
        <f>(B1159-DATE(1970,1,1))*86400</f>
        <v>1617926400</v>
      </c>
      <c r="AM1159" s="45">
        <f>(C1159-DATE(1970,1,1))*86400</f>
        <v>1618617600</v>
      </c>
      <c r="AN1159" s="45">
        <f>AVERAGE(AL1159:AM1159)</f>
        <v>1618272000</v>
      </c>
    </row>
    <row r="1160" spans="1:40" ht="15.75" customHeight="1" x14ac:dyDescent="0.2">
      <c r="A1160" s="285" t="s">
        <v>133</v>
      </c>
      <c r="B1160" s="34">
        <v>44294</v>
      </c>
      <c r="C1160" s="34">
        <v>44296</v>
      </c>
      <c r="D1160" s="33" t="s">
        <v>143</v>
      </c>
      <c r="E1160" s="319" t="s">
        <v>125</v>
      </c>
      <c r="F1160" s="33"/>
      <c r="G1160" s="33" t="s">
        <v>126</v>
      </c>
      <c r="H1160" s="353">
        <v>1000</v>
      </c>
      <c r="I1160" s="35">
        <v>35</v>
      </c>
      <c r="J1160" s="35"/>
      <c r="K1160" s="35">
        <v>11</v>
      </c>
      <c r="L1160" s="35">
        <v>2</v>
      </c>
      <c r="M1160" s="35">
        <v>7</v>
      </c>
      <c r="N1160" s="35"/>
      <c r="O1160" s="35"/>
      <c r="P1160" s="35">
        <v>8</v>
      </c>
      <c r="Q1160" s="35"/>
      <c r="R1160" s="36">
        <v>3</v>
      </c>
      <c r="S1160" s="35"/>
      <c r="T1160" s="35"/>
      <c r="U1160" s="35"/>
      <c r="V1160" s="35">
        <v>4</v>
      </c>
      <c r="W1160" s="35"/>
      <c r="X1160" s="35">
        <v>1</v>
      </c>
      <c r="Y1160" s="35"/>
      <c r="Z1160" s="35">
        <v>1</v>
      </c>
      <c r="AA1160" s="35">
        <v>28</v>
      </c>
      <c r="AB1160" s="37">
        <f>100/(SUM(I1160:Z1160))</f>
        <v>1.3888888888888888</v>
      </c>
      <c r="AC1160" s="259">
        <f>SUM(I1160:AA1160)</f>
        <v>100</v>
      </c>
      <c r="AD1160" s="35"/>
      <c r="AE1160" s="35"/>
      <c r="AF1160" s="35"/>
      <c r="AG1160" s="39" t="s">
        <v>957</v>
      </c>
      <c r="AH1160" s="33" t="s">
        <v>958</v>
      </c>
      <c r="AI1160" s="38" t="s">
        <v>959</v>
      </c>
      <c r="AJ1160" s="38" t="s">
        <v>960</v>
      </c>
      <c r="AK1160" s="33" t="s">
        <v>931</v>
      </c>
      <c r="AL1160" s="39">
        <f>(B1160-DATE(1970,1,1))*86400</f>
        <v>1617840000</v>
      </c>
      <c r="AM1160" s="39">
        <f>(C1160-DATE(1970,1,1))*86400</f>
        <v>1618012800</v>
      </c>
      <c r="AN1160" s="39">
        <f>AVERAGE(AL1160:AM1160)</f>
        <v>1617926400</v>
      </c>
    </row>
    <row r="1161" spans="1:40" ht="15.75" customHeight="1" x14ac:dyDescent="0.2">
      <c r="A1161" s="285" t="s">
        <v>133</v>
      </c>
      <c r="B1161" s="34">
        <v>44294</v>
      </c>
      <c r="C1161" s="34">
        <v>44296</v>
      </c>
      <c r="D1161" s="33" t="s">
        <v>143</v>
      </c>
      <c r="E1161" s="319" t="s">
        <v>125</v>
      </c>
      <c r="F1161" s="33" t="s">
        <v>390</v>
      </c>
      <c r="G1161" s="33" t="s">
        <v>126</v>
      </c>
      <c r="H1161" s="353">
        <v>1000</v>
      </c>
      <c r="I1161" s="35">
        <v>40</v>
      </c>
      <c r="J1161" s="35"/>
      <c r="K1161" s="35"/>
      <c r="L1161" s="35"/>
      <c r="M1161" s="35"/>
      <c r="N1161" s="35"/>
      <c r="O1161" s="35"/>
      <c r="P1161" s="35"/>
      <c r="Q1161" s="35"/>
      <c r="R1161" s="36"/>
      <c r="S1161" s="35"/>
      <c r="T1161" s="35"/>
      <c r="U1161" s="35">
        <v>36</v>
      </c>
      <c r="V1161" s="35">
        <v>4</v>
      </c>
      <c r="W1161" s="35"/>
      <c r="X1161" s="35">
        <v>2</v>
      </c>
      <c r="Y1161" s="35"/>
      <c r="Z1161" s="35"/>
      <c r="AA1161" s="35">
        <v>18</v>
      </c>
      <c r="AB1161" s="37">
        <f>100/(SUM(I1161:Z1161))</f>
        <v>1.2195121951219512</v>
      </c>
      <c r="AC1161" s="259">
        <f>SUM(I1161:AA1161)</f>
        <v>100</v>
      </c>
      <c r="AD1161" s="35"/>
      <c r="AE1161" s="35"/>
      <c r="AF1161" s="35"/>
      <c r="AG1161" s="39" t="s">
        <v>957</v>
      </c>
      <c r="AH1161" s="33" t="s">
        <v>958</v>
      </c>
      <c r="AI1161" s="38" t="s">
        <v>959</v>
      </c>
      <c r="AJ1161" s="38" t="s">
        <v>960</v>
      </c>
      <c r="AK1161" s="33"/>
      <c r="AL1161" s="39">
        <f>(B1161-DATE(1970,1,1))*86400</f>
        <v>1617840000</v>
      </c>
      <c r="AM1161" s="39">
        <f>(C1161-DATE(1970,1,1))*86400</f>
        <v>1618012800</v>
      </c>
      <c r="AN1161" s="39">
        <f>AVERAGE(AL1161:AM1161)</f>
        <v>1617926400</v>
      </c>
    </row>
    <row r="1162" spans="1:40" ht="15.75" customHeight="1" x14ac:dyDescent="0.2">
      <c r="A1162" s="279" t="s">
        <v>133</v>
      </c>
      <c r="B1162" s="14">
        <v>44285</v>
      </c>
      <c r="C1162" s="14">
        <v>44286</v>
      </c>
      <c r="D1162" s="13" t="s">
        <v>124</v>
      </c>
      <c r="E1162" s="324" t="s">
        <v>125</v>
      </c>
      <c r="F1162" s="13" t="s">
        <v>140</v>
      </c>
      <c r="G1162" s="13" t="s">
        <v>126</v>
      </c>
      <c r="H1162" s="372">
        <v>1000</v>
      </c>
      <c r="I1162" s="15"/>
      <c r="J1162" s="15"/>
      <c r="K1162" s="15"/>
      <c r="L1162" s="15"/>
      <c r="M1162" s="15"/>
      <c r="N1162" s="15"/>
      <c r="O1162" s="15"/>
      <c r="P1162" s="15"/>
      <c r="Q1162" s="15"/>
      <c r="R1162" s="15"/>
      <c r="S1162" s="15"/>
      <c r="T1162" s="15"/>
      <c r="U1162" s="15"/>
      <c r="V1162" s="15"/>
      <c r="W1162" s="15"/>
      <c r="X1162" s="15"/>
      <c r="Y1162" s="15"/>
      <c r="Z1162" s="15"/>
      <c r="AA1162" s="15"/>
      <c r="AB1162" s="16" t="e">
        <f>100/(SUM(I1162:Z1162))</f>
        <v>#DIV/0!</v>
      </c>
      <c r="AC1162" s="259">
        <f>SUM(I1162:AA1162)</f>
        <v>0</v>
      </c>
      <c r="AD1162" s="15"/>
      <c r="AE1162" s="15"/>
      <c r="AF1162" s="15"/>
      <c r="AG1162" s="17" t="s">
        <v>127</v>
      </c>
      <c r="AH1162" s="18"/>
      <c r="AI1162" s="18"/>
      <c r="AJ1162" s="18" t="s">
        <v>961</v>
      </c>
      <c r="AK1162" s="13"/>
      <c r="AL1162" s="17">
        <f>(B1162-DATE(1970,1,1))*86400</f>
        <v>1617062400</v>
      </c>
      <c r="AM1162" s="17">
        <f>(C1162-DATE(1970,1,1))*86400</f>
        <v>1617148800</v>
      </c>
      <c r="AN1162" s="17">
        <f>AVERAGE(AL1162:AM1162)</f>
        <v>1617105600</v>
      </c>
    </row>
    <row r="1163" spans="1:40" ht="15.75" customHeight="1" x14ac:dyDescent="0.2">
      <c r="A1163" s="284" t="s">
        <v>133</v>
      </c>
      <c r="B1163" s="20">
        <v>44281</v>
      </c>
      <c r="C1163" s="20">
        <v>44286</v>
      </c>
      <c r="D1163" s="19" t="s">
        <v>134</v>
      </c>
      <c r="E1163" s="332" t="s">
        <v>125</v>
      </c>
      <c r="F1163" s="19"/>
      <c r="G1163" s="19" t="s">
        <v>135</v>
      </c>
      <c r="H1163" s="332">
        <v>2000</v>
      </c>
      <c r="I1163" s="21">
        <v>30</v>
      </c>
      <c r="J1163" s="21"/>
      <c r="K1163" s="21">
        <v>10</v>
      </c>
      <c r="L1163" s="21">
        <v>1</v>
      </c>
      <c r="M1163" s="21">
        <v>11</v>
      </c>
      <c r="N1163" s="21"/>
      <c r="O1163" s="21"/>
      <c r="P1163" s="21">
        <v>7</v>
      </c>
      <c r="Q1163" s="21"/>
      <c r="R1163" s="22">
        <v>6</v>
      </c>
      <c r="S1163" s="21"/>
      <c r="T1163" s="21"/>
      <c r="U1163" s="21"/>
      <c r="V1163" s="21">
        <v>2</v>
      </c>
      <c r="W1163" s="21"/>
      <c r="X1163" s="21">
        <v>2</v>
      </c>
      <c r="Y1163" s="21"/>
      <c r="Z1163" s="21">
        <v>0</v>
      </c>
      <c r="AA1163" s="21">
        <v>31</v>
      </c>
      <c r="AB1163" s="23">
        <f>100/(SUM(I1163:Z1163))</f>
        <v>1.4492753623188406</v>
      </c>
      <c r="AC1163" s="259">
        <f>SUM(I1163:AA1163)</f>
        <v>100</v>
      </c>
      <c r="AD1163" s="24"/>
      <c r="AE1163" s="24"/>
      <c r="AF1163" s="24"/>
      <c r="AG1163" s="25" t="s">
        <v>127</v>
      </c>
      <c r="AH1163" s="26" t="s">
        <v>962</v>
      </c>
      <c r="AI1163" s="83" t="s">
        <v>963</v>
      </c>
      <c r="AJ1163" s="83" t="s">
        <v>964</v>
      </c>
      <c r="AK1163" s="19" t="s">
        <v>881</v>
      </c>
      <c r="AL1163" s="25">
        <f>(B1163-DATE(1970,1,1))*86400</f>
        <v>1616716800</v>
      </c>
      <c r="AM1163" s="25">
        <f>(C1163-DATE(1970,1,1))*86400</f>
        <v>1617148800</v>
      </c>
      <c r="AN1163" s="25">
        <f>AVERAGE(AL1163:AM1163)</f>
        <v>1616932800</v>
      </c>
    </row>
    <row r="1164" spans="1:40" ht="15.75" customHeight="1" x14ac:dyDescent="0.2">
      <c r="A1164" s="284" t="s">
        <v>133</v>
      </c>
      <c r="B1164" s="20">
        <v>44281</v>
      </c>
      <c r="C1164" s="20">
        <v>44286</v>
      </c>
      <c r="D1164" s="19" t="s">
        <v>134</v>
      </c>
      <c r="E1164" s="332" t="s">
        <v>125</v>
      </c>
      <c r="F1164" s="19" t="s">
        <v>140</v>
      </c>
      <c r="G1164" s="19" t="s">
        <v>135</v>
      </c>
      <c r="H1164" s="332">
        <v>2000</v>
      </c>
      <c r="I1164" s="21"/>
      <c r="J1164" s="21"/>
      <c r="K1164" s="21"/>
      <c r="L1164" s="21"/>
      <c r="M1164" s="21"/>
      <c r="N1164" s="21"/>
      <c r="O1164" s="21"/>
      <c r="P1164" s="21"/>
      <c r="Q1164" s="21"/>
      <c r="R1164" s="22"/>
      <c r="S1164" s="21"/>
      <c r="T1164" s="21"/>
      <c r="U1164" s="21"/>
      <c r="V1164" s="21"/>
      <c r="W1164" s="21"/>
      <c r="X1164" s="21"/>
      <c r="Y1164" s="21"/>
      <c r="Z1164" s="21"/>
      <c r="AA1164" s="21"/>
      <c r="AB1164" s="23" t="e">
        <f>100/(SUM(I1164:Z1164))</f>
        <v>#DIV/0!</v>
      </c>
      <c r="AC1164" s="259">
        <f>SUM(I1164:AA1164)</f>
        <v>0</v>
      </c>
      <c r="AD1164" s="24"/>
      <c r="AE1164" s="24"/>
      <c r="AF1164" s="24"/>
      <c r="AG1164" s="25" t="s">
        <v>127</v>
      </c>
      <c r="AH1164" s="26"/>
      <c r="AI1164" s="83"/>
      <c r="AJ1164" s="83"/>
      <c r="AK1164" s="19"/>
      <c r="AL1164" s="25">
        <f>(B1164-DATE(1970,1,1))*86400</f>
        <v>1616716800</v>
      </c>
      <c r="AM1164" s="25">
        <f>(C1164-DATE(1970,1,1))*86400</f>
        <v>1617148800</v>
      </c>
      <c r="AN1164" s="25">
        <f>AVERAGE(AL1164:AM1164)</f>
        <v>1616932800</v>
      </c>
    </row>
    <row r="1165" spans="1:40" ht="15.75" customHeight="1" x14ac:dyDescent="0.2">
      <c r="A1165" s="284" t="s">
        <v>123</v>
      </c>
      <c r="B1165" s="20">
        <v>44281</v>
      </c>
      <c r="C1165" s="20">
        <v>44286</v>
      </c>
      <c r="D1165" s="19" t="s">
        <v>134</v>
      </c>
      <c r="E1165" s="332" t="s">
        <v>125</v>
      </c>
      <c r="F1165" s="19" t="s">
        <v>390</v>
      </c>
      <c r="G1165" s="19" t="s">
        <v>135</v>
      </c>
      <c r="H1165" s="332">
        <v>2000</v>
      </c>
      <c r="I1165" s="21">
        <v>44</v>
      </c>
      <c r="J1165" s="21"/>
      <c r="K1165" s="21"/>
      <c r="L1165" s="21"/>
      <c r="M1165" s="21"/>
      <c r="N1165" s="21"/>
      <c r="O1165" s="21"/>
      <c r="P1165" s="21"/>
      <c r="Q1165" s="21"/>
      <c r="R1165" s="22"/>
      <c r="S1165" s="21"/>
      <c r="T1165" s="21"/>
      <c r="U1165" s="21">
        <v>48</v>
      </c>
      <c r="V1165" s="21">
        <v>3</v>
      </c>
      <c r="W1165" s="21"/>
      <c r="X1165" s="21">
        <v>4</v>
      </c>
      <c r="Y1165" s="21"/>
      <c r="Z1165" s="21">
        <v>1</v>
      </c>
      <c r="AA1165" s="21">
        <v>0</v>
      </c>
      <c r="AB1165" s="23">
        <f>100/(SUM(I1165:Z1165))</f>
        <v>1</v>
      </c>
      <c r="AC1165" s="259">
        <f>SUM(I1165:AA1165)</f>
        <v>100</v>
      </c>
      <c r="AD1165" s="24"/>
      <c r="AE1165" s="24"/>
      <c r="AF1165" s="24"/>
      <c r="AG1165" s="25" t="s">
        <v>127</v>
      </c>
      <c r="AH1165" s="26" t="s">
        <v>962</v>
      </c>
      <c r="AI1165" s="83" t="s">
        <v>963</v>
      </c>
      <c r="AJ1165" s="83" t="s">
        <v>964</v>
      </c>
      <c r="AK1165" s="19" t="s">
        <v>965</v>
      </c>
      <c r="AL1165" s="25">
        <f>(B1165-DATE(1970,1,1))*86400</f>
        <v>1616716800</v>
      </c>
      <c r="AM1165" s="25">
        <f>(C1165-DATE(1970,1,1))*86400</f>
        <v>1617148800</v>
      </c>
      <c r="AN1165" s="25">
        <f>AVERAGE(AL1165:AM1165)</f>
        <v>1616932800</v>
      </c>
    </row>
    <row r="1166" spans="1:40" ht="15.75" customHeight="1" x14ac:dyDescent="0.2">
      <c r="A1166" s="284" t="s">
        <v>123</v>
      </c>
      <c r="B1166" s="20">
        <v>44281</v>
      </c>
      <c r="C1166" s="20">
        <v>44286</v>
      </c>
      <c r="D1166" s="19" t="s">
        <v>134</v>
      </c>
      <c r="E1166" s="332" t="s">
        <v>125</v>
      </c>
      <c r="F1166" s="19"/>
      <c r="G1166" s="19" t="s">
        <v>135</v>
      </c>
      <c r="H1166" s="332">
        <v>2000</v>
      </c>
      <c r="I1166" s="21">
        <v>44</v>
      </c>
      <c r="J1166" s="21"/>
      <c r="K1166" s="21">
        <v>14</v>
      </c>
      <c r="L1166" s="21">
        <v>1</v>
      </c>
      <c r="M1166" s="21">
        <v>17</v>
      </c>
      <c r="N1166" s="21"/>
      <c r="O1166" s="21"/>
      <c r="P1166" s="21">
        <v>10</v>
      </c>
      <c r="Q1166" s="21"/>
      <c r="R1166" s="22">
        <v>7</v>
      </c>
      <c r="S1166" s="21"/>
      <c r="T1166" s="21"/>
      <c r="U1166" s="21"/>
      <c r="V1166" s="21">
        <v>3</v>
      </c>
      <c r="W1166" s="21"/>
      <c r="X1166" s="21">
        <v>3</v>
      </c>
      <c r="Y1166" s="21"/>
      <c r="Z1166" s="21">
        <v>1</v>
      </c>
      <c r="AA1166" s="21">
        <v>0</v>
      </c>
      <c r="AB1166" s="23">
        <f>100/(SUM(I1166:Z1166))</f>
        <v>1</v>
      </c>
      <c r="AC1166" s="259">
        <f>SUM(I1166:AA1166)</f>
        <v>100</v>
      </c>
      <c r="AD1166" s="24"/>
      <c r="AE1166" s="24"/>
      <c r="AF1166" s="24"/>
      <c r="AG1166" s="25" t="s">
        <v>127</v>
      </c>
      <c r="AH1166" s="26" t="s">
        <v>962</v>
      </c>
      <c r="AI1166" s="83" t="s">
        <v>963</v>
      </c>
      <c r="AJ1166" s="83" t="s">
        <v>964</v>
      </c>
      <c r="AK1166" s="19" t="s">
        <v>882</v>
      </c>
      <c r="AL1166" s="25">
        <f>(B1166-DATE(1970,1,1))*86400</f>
        <v>1616716800</v>
      </c>
      <c r="AM1166" s="25">
        <f>(C1166-DATE(1970,1,1))*86400</f>
        <v>1617148800</v>
      </c>
      <c r="AN1166" s="25">
        <f>AVERAGE(AL1166:AM1166)</f>
        <v>1616932800</v>
      </c>
    </row>
    <row r="1167" spans="1:40" ht="15.75" customHeight="1" x14ac:dyDescent="0.2">
      <c r="A1167" s="279" t="s">
        <v>133</v>
      </c>
      <c r="B1167" s="14">
        <v>44278</v>
      </c>
      <c r="C1167" s="14">
        <v>44279</v>
      </c>
      <c r="D1167" s="13" t="s">
        <v>124</v>
      </c>
      <c r="E1167" s="324" t="s">
        <v>125</v>
      </c>
      <c r="F1167" s="13" t="s">
        <v>140</v>
      </c>
      <c r="G1167" s="13" t="s">
        <v>126</v>
      </c>
      <c r="H1167" s="372">
        <v>1000</v>
      </c>
      <c r="I1167" s="15"/>
      <c r="J1167" s="15"/>
      <c r="K1167" s="15"/>
      <c r="L1167" s="15"/>
      <c r="M1167" s="15"/>
      <c r="N1167" s="15"/>
      <c r="O1167" s="15"/>
      <c r="P1167" s="15"/>
      <c r="Q1167" s="15"/>
      <c r="R1167" s="15"/>
      <c r="S1167" s="15"/>
      <c r="T1167" s="15"/>
      <c r="U1167" s="15"/>
      <c r="V1167" s="15"/>
      <c r="W1167" s="15"/>
      <c r="X1167" s="15"/>
      <c r="Y1167" s="15"/>
      <c r="Z1167" s="15"/>
      <c r="AA1167" s="15"/>
      <c r="AB1167" s="16" t="e">
        <f>100/(SUM(I1167:Z1167))</f>
        <v>#DIV/0!</v>
      </c>
      <c r="AC1167" s="259">
        <f>SUM(I1167:AA1167)</f>
        <v>0</v>
      </c>
      <c r="AD1167" s="15"/>
      <c r="AE1167" s="15"/>
      <c r="AF1167" s="15"/>
      <c r="AG1167" s="17" t="s">
        <v>127</v>
      </c>
      <c r="AH1167" s="18"/>
      <c r="AI1167" s="18"/>
      <c r="AJ1167" s="18" t="s">
        <v>966</v>
      </c>
      <c r="AK1167" s="13"/>
      <c r="AL1167" s="17">
        <f>(B1167-DATE(1970,1,1))*86400</f>
        <v>1616457600</v>
      </c>
      <c r="AM1167" s="17">
        <f>(C1167-DATE(1970,1,1))*86400</f>
        <v>1616544000</v>
      </c>
      <c r="AN1167" s="17">
        <f>AVERAGE(AL1167:AM1167)</f>
        <v>1616500800</v>
      </c>
    </row>
    <row r="1168" spans="1:40" ht="15.75" customHeight="1" x14ac:dyDescent="0.2">
      <c r="A1168" s="281" t="s">
        <v>133</v>
      </c>
      <c r="B1168" s="54">
        <v>44277</v>
      </c>
      <c r="C1168" s="54">
        <v>44280</v>
      </c>
      <c r="D1168" s="53" t="s">
        <v>154</v>
      </c>
      <c r="E1168" s="323" t="s">
        <v>125</v>
      </c>
      <c r="F1168" s="53"/>
      <c r="G1168" s="53" t="s">
        <v>126</v>
      </c>
      <c r="H1168" s="357">
        <v>1001</v>
      </c>
      <c r="I1168" s="55">
        <v>30</v>
      </c>
      <c r="J1168" s="55"/>
      <c r="K1168" s="55">
        <v>8</v>
      </c>
      <c r="L1168" s="55">
        <v>1</v>
      </c>
      <c r="M1168" s="55">
        <v>9</v>
      </c>
      <c r="N1168" s="55"/>
      <c r="O1168" s="55"/>
      <c r="P1168" s="55">
        <v>6</v>
      </c>
      <c r="Q1168" s="55"/>
      <c r="R1168" s="55">
        <v>5</v>
      </c>
      <c r="S1168" s="55"/>
      <c r="T1168" s="55"/>
      <c r="U1168" s="55">
        <v>7</v>
      </c>
      <c r="V1168" s="55"/>
      <c r="W1168" s="55"/>
      <c r="X1168" s="55"/>
      <c r="Y1168" s="55"/>
      <c r="Z1168" s="55">
        <v>1</v>
      </c>
      <c r="AA1168" s="55">
        <v>31</v>
      </c>
      <c r="AB1168" s="57">
        <f>100/(SUM(I1168:Z1168))</f>
        <v>1.4925373134328359</v>
      </c>
      <c r="AC1168" s="259">
        <f>SUM(I1168:AA1168)</f>
        <v>98</v>
      </c>
      <c r="AD1168" s="55"/>
      <c r="AE1168" s="55"/>
      <c r="AF1168" s="55"/>
      <c r="AG1168" s="58" t="s">
        <v>155</v>
      </c>
      <c r="AH1168" s="59" t="s">
        <v>921</v>
      </c>
      <c r="AI1168" s="59" t="s">
        <v>941</v>
      </c>
      <c r="AJ1168" s="59" t="s">
        <v>967</v>
      </c>
      <c r="AK1168" s="53" t="s">
        <v>968</v>
      </c>
      <c r="AL1168" s="58">
        <f>(B1168-DATE(1970,1,1))*86400</f>
        <v>1616371200</v>
      </c>
      <c r="AM1168" s="58">
        <f>(C1168-DATE(1970,1,1))*86400</f>
        <v>1616630400</v>
      </c>
      <c r="AN1168" s="58">
        <f>AVERAGE(AL1168:AM1168)</f>
        <v>1616500800</v>
      </c>
    </row>
    <row r="1169" spans="1:40" ht="15.75" customHeight="1" x14ac:dyDescent="0.2">
      <c r="A1169" s="281" t="s">
        <v>123</v>
      </c>
      <c r="B1169" s="54">
        <v>44277</v>
      </c>
      <c r="C1169" s="54">
        <v>44280</v>
      </c>
      <c r="D1169" s="53" t="s">
        <v>154</v>
      </c>
      <c r="E1169" s="323" t="s">
        <v>125</v>
      </c>
      <c r="F1169" s="53" t="s">
        <v>140</v>
      </c>
      <c r="G1169" s="53" t="s">
        <v>126</v>
      </c>
      <c r="H1169" s="357">
        <v>1001</v>
      </c>
      <c r="I1169" s="55"/>
      <c r="J1169" s="55"/>
      <c r="K1169" s="55"/>
      <c r="L1169" s="55"/>
      <c r="M1169" s="55"/>
      <c r="N1169" s="55"/>
      <c r="O1169" s="55"/>
      <c r="P1169" s="55"/>
      <c r="Q1169" s="55"/>
      <c r="R1169" s="56"/>
      <c r="S1169" s="55"/>
      <c r="T1169" s="55"/>
      <c r="U1169" s="55"/>
      <c r="V1169" s="55"/>
      <c r="W1169" s="55"/>
      <c r="X1169" s="55"/>
      <c r="Y1169" s="55"/>
      <c r="Z1169" s="55"/>
      <c r="AA1169" s="55"/>
      <c r="AB1169" s="57" t="e">
        <f>100/(SUM(I1169:Z1169))</f>
        <v>#DIV/0!</v>
      </c>
      <c r="AC1169" s="259">
        <f>SUM(I1169:AA1169)</f>
        <v>0</v>
      </c>
      <c r="AD1169" s="55"/>
      <c r="AE1169" s="55"/>
      <c r="AF1169" s="55"/>
      <c r="AG1169" s="58" t="s">
        <v>155</v>
      </c>
      <c r="AH1169" s="59"/>
      <c r="AI1169" s="59"/>
      <c r="AJ1169" s="59"/>
      <c r="AK1169" s="53"/>
      <c r="AL1169" s="58">
        <f>(B1169-DATE(1970,1,1))*86400</f>
        <v>1616371200</v>
      </c>
      <c r="AM1169" s="58">
        <f>(C1169-DATE(1970,1,1))*86400</f>
        <v>1616630400</v>
      </c>
      <c r="AN1169" s="58">
        <f>AVERAGE(AL1169:AM1169)</f>
        <v>1616500800</v>
      </c>
    </row>
    <row r="1170" spans="1:40" ht="15.75" customHeight="1" x14ac:dyDescent="0.2">
      <c r="A1170" s="281" t="s">
        <v>123</v>
      </c>
      <c r="B1170" s="54">
        <v>44277</v>
      </c>
      <c r="C1170" s="54">
        <v>44280</v>
      </c>
      <c r="D1170" s="53" t="s">
        <v>154</v>
      </c>
      <c r="E1170" s="323" t="s">
        <v>125</v>
      </c>
      <c r="F1170" s="53" t="s">
        <v>140</v>
      </c>
      <c r="G1170" s="53" t="s">
        <v>126</v>
      </c>
      <c r="H1170" s="357">
        <v>1001</v>
      </c>
      <c r="I1170" s="55"/>
      <c r="J1170" s="55"/>
      <c r="K1170" s="55"/>
      <c r="L1170" s="55"/>
      <c r="M1170" s="55"/>
      <c r="N1170" s="55"/>
      <c r="O1170" s="55"/>
      <c r="P1170" s="55"/>
      <c r="Q1170" s="55"/>
      <c r="R1170" s="56"/>
      <c r="S1170" s="55"/>
      <c r="T1170" s="55"/>
      <c r="U1170" s="55"/>
      <c r="V1170" s="55"/>
      <c r="W1170" s="55"/>
      <c r="X1170" s="55"/>
      <c r="Y1170" s="55"/>
      <c r="Z1170" s="55"/>
      <c r="AA1170" s="55"/>
      <c r="AB1170" s="57" t="e">
        <f>100/(SUM(I1170:Z1170))</f>
        <v>#DIV/0!</v>
      </c>
      <c r="AC1170" s="259">
        <f>SUM(I1170:AA1170)</f>
        <v>0</v>
      </c>
      <c r="AD1170" s="55"/>
      <c r="AE1170" s="55"/>
      <c r="AF1170" s="55"/>
      <c r="AG1170" s="58" t="s">
        <v>155</v>
      </c>
      <c r="AH1170" s="59"/>
      <c r="AI1170" s="59"/>
      <c r="AJ1170" s="53"/>
      <c r="AK1170" s="53"/>
      <c r="AL1170" s="58">
        <f>(B1170-DATE(1970,1,1))*86400</f>
        <v>1616371200</v>
      </c>
      <c r="AM1170" s="58">
        <f>(C1170-DATE(1970,1,1))*86400</f>
        <v>1616630400</v>
      </c>
      <c r="AN1170" s="58">
        <f>AVERAGE(AL1170:AM1170)</f>
        <v>1616500800</v>
      </c>
    </row>
    <row r="1171" spans="1:40" ht="15.75" customHeight="1" x14ac:dyDescent="0.2">
      <c r="A1171" s="288" t="s">
        <v>133</v>
      </c>
      <c r="B1171" s="60">
        <v>44273</v>
      </c>
      <c r="C1171" s="60">
        <v>44280</v>
      </c>
      <c r="D1171" s="61" t="s">
        <v>168</v>
      </c>
      <c r="E1171" s="334" t="s">
        <v>125</v>
      </c>
      <c r="F1171" s="61"/>
      <c r="G1171" s="61" t="s">
        <v>126</v>
      </c>
      <c r="H1171" s="334">
        <v>1000</v>
      </c>
      <c r="I1171" s="63">
        <v>29</v>
      </c>
      <c r="J1171" s="63"/>
      <c r="K1171" s="63">
        <v>9</v>
      </c>
      <c r="L1171" s="63">
        <v>1</v>
      </c>
      <c r="M1171" s="63">
        <v>9</v>
      </c>
      <c r="N1171" s="63"/>
      <c r="O1171" s="63"/>
      <c r="P1171" s="63">
        <v>9</v>
      </c>
      <c r="Q1171" s="63"/>
      <c r="R1171" s="64">
        <v>7</v>
      </c>
      <c r="S1171" s="63"/>
      <c r="T1171" s="63"/>
      <c r="U1171" s="63"/>
      <c r="V1171" s="63">
        <v>1</v>
      </c>
      <c r="W1171" s="63"/>
      <c r="X1171" s="63">
        <v>1</v>
      </c>
      <c r="Y1171" s="63"/>
      <c r="Z1171" s="63"/>
      <c r="AA1171" s="63">
        <v>34</v>
      </c>
      <c r="AB1171" s="65">
        <f>100/(SUM(I1171:Z1171))</f>
        <v>1.5151515151515151</v>
      </c>
      <c r="AC1171" s="259">
        <f>SUM(I1171:AA1171)</f>
        <v>100</v>
      </c>
      <c r="AD1171" s="63">
        <v>70</v>
      </c>
      <c r="AE1171" s="63"/>
      <c r="AF1171" s="63"/>
      <c r="AG1171" s="66" t="s">
        <v>127</v>
      </c>
      <c r="AH1171" s="67" t="s">
        <v>969</v>
      </c>
      <c r="AI1171" s="67" t="s">
        <v>970</v>
      </c>
      <c r="AJ1171" s="67" t="s">
        <v>971</v>
      </c>
      <c r="AK1171" s="61" t="s">
        <v>972</v>
      </c>
      <c r="AL1171" s="66">
        <f>(B1171-DATE(1970,1,1))*86400</f>
        <v>1616025600</v>
      </c>
      <c r="AM1171" s="66">
        <f>(C1171-DATE(1970,1,1))*86400</f>
        <v>1616630400</v>
      </c>
      <c r="AN1171" s="66">
        <f>AVERAGE(AL1171:AM1171)</f>
        <v>1616328000</v>
      </c>
    </row>
    <row r="1172" spans="1:40" ht="15.75" customHeight="1" x14ac:dyDescent="0.2">
      <c r="A1172" s="288" t="s">
        <v>133</v>
      </c>
      <c r="B1172" s="60">
        <v>44273</v>
      </c>
      <c r="C1172" s="60">
        <v>44280</v>
      </c>
      <c r="D1172" s="61" t="s">
        <v>168</v>
      </c>
      <c r="E1172" s="334" t="s">
        <v>125</v>
      </c>
      <c r="F1172" s="61"/>
      <c r="G1172" s="61" t="s">
        <v>126</v>
      </c>
      <c r="H1172" s="334">
        <v>1000</v>
      </c>
      <c r="I1172" s="63">
        <v>45</v>
      </c>
      <c r="J1172" s="63"/>
      <c r="K1172" s="63">
        <v>13</v>
      </c>
      <c r="L1172" s="63">
        <v>2</v>
      </c>
      <c r="M1172" s="63">
        <v>14</v>
      </c>
      <c r="N1172" s="63"/>
      <c r="O1172" s="63"/>
      <c r="P1172" s="63">
        <v>13</v>
      </c>
      <c r="Q1172" s="63"/>
      <c r="R1172" s="64">
        <v>11</v>
      </c>
      <c r="S1172" s="63"/>
      <c r="T1172" s="63"/>
      <c r="U1172" s="63"/>
      <c r="V1172" s="63">
        <v>1</v>
      </c>
      <c r="W1172" s="63"/>
      <c r="X1172" s="63">
        <v>1</v>
      </c>
      <c r="Y1172" s="63"/>
      <c r="Z1172" s="63"/>
      <c r="AA1172" s="63">
        <v>0</v>
      </c>
      <c r="AB1172" s="65">
        <f>100/(SUM(I1172:Z1172))</f>
        <v>1</v>
      </c>
      <c r="AC1172" s="259">
        <f>SUM(I1172:AA1172)</f>
        <v>100</v>
      </c>
      <c r="AD1172" s="63"/>
      <c r="AE1172" s="63"/>
      <c r="AF1172" s="63"/>
      <c r="AG1172" s="66" t="s">
        <v>127</v>
      </c>
      <c r="AH1172" s="67" t="s">
        <v>969</v>
      </c>
      <c r="AI1172" s="67" t="s">
        <v>970</v>
      </c>
      <c r="AJ1172" s="67" t="s">
        <v>971</v>
      </c>
      <c r="AK1172" s="61" t="s">
        <v>917</v>
      </c>
      <c r="AL1172" s="66">
        <f>(B1172-DATE(1970,1,1))*86400</f>
        <v>1616025600</v>
      </c>
      <c r="AM1172" s="66">
        <f>(C1172-DATE(1970,1,1))*86400</f>
        <v>1616630400</v>
      </c>
      <c r="AN1172" s="66">
        <f>AVERAGE(AL1172:AM1172)</f>
        <v>1616328000</v>
      </c>
    </row>
    <row r="1173" spans="1:40" ht="15.75" customHeight="1" x14ac:dyDescent="0.2">
      <c r="A1173" s="279" t="s">
        <v>133</v>
      </c>
      <c r="B1173" s="14">
        <v>44271</v>
      </c>
      <c r="C1173" s="14">
        <v>44272</v>
      </c>
      <c r="D1173" s="13" t="s">
        <v>124</v>
      </c>
      <c r="E1173" s="324" t="s">
        <v>125</v>
      </c>
      <c r="F1173" s="13" t="s">
        <v>140</v>
      </c>
      <c r="G1173" s="13" t="s">
        <v>126</v>
      </c>
      <c r="H1173" s="372">
        <v>1000</v>
      </c>
      <c r="I1173" s="15"/>
      <c r="J1173" s="15"/>
      <c r="K1173" s="15"/>
      <c r="L1173" s="15"/>
      <c r="M1173" s="15"/>
      <c r="N1173" s="15"/>
      <c r="O1173" s="15"/>
      <c r="P1173" s="15"/>
      <c r="Q1173" s="15"/>
      <c r="R1173" s="15"/>
      <c r="S1173" s="15"/>
      <c r="T1173" s="15"/>
      <c r="U1173" s="15"/>
      <c r="V1173" s="15"/>
      <c r="W1173" s="15"/>
      <c r="X1173" s="15"/>
      <c r="Y1173" s="15"/>
      <c r="Z1173" s="15"/>
      <c r="AA1173" s="15"/>
      <c r="AB1173" s="16" t="e">
        <f>100/(SUM(I1173:Z1173))</f>
        <v>#DIV/0!</v>
      </c>
      <c r="AC1173" s="259">
        <f>SUM(I1173:AA1173)</f>
        <v>0</v>
      </c>
      <c r="AD1173" s="15"/>
      <c r="AE1173" s="15"/>
      <c r="AF1173" s="15"/>
      <c r="AG1173" s="17" t="s">
        <v>365</v>
      </c>
      <c r="AH1173" s="18"/>
      <c r="AI1173" s="18"/>
      <c r="AJ1173" s="18" t="s">
        <v>973</v>
      </c>
      <c r="AK1173" s="13"/>
      <c r="AL1173" s="17">
        <f>(B1173-DATE(1970,1,1))*86400</f>
        <v>1615852800</v>
      </c>
      <c r="AM1173" s="17">
        <f>(C1173-DATE(1970,1,1))*86400</f>
        <v>1615939200</v>
      </c>
      <c r="AN1173" s="17">
        <f>AVERAGE(AL1173:AM1173)</f>
        <v>1615896000</v>
      </c>
    </row>
    <row r="1174" spans="1:40" ht="15.75" customHeight="1" x14ac:dyDescent="0.2">
      <c r="A1174" s="279" t="s">
        <v>133</v>
      </c>
      <c r="B1174" s="14">
        <v>44263</v>
      </c>
      <c r="C1174" s="14">
        <v>44264</v>
      </c>
      <c r="D1174" s="13" t="s">
        <v>124</v>
      </c>
      <c r="E1174" s="324" t="s">
        <v>125</v>
      </c>
      <c r="F1174" s="13" t="s">
        <v>390</v>
      </c>
      <c r="G1174" s="13" t="s">
        <v>126</v>
      </c>
      <c r="H1174" s="372">
        <v>1000</v>
      </c>
      <c r="I1174" s="15">
        <v>38</v>
      </c>
      <c r="J1174" s="15"/>
      <c r="K1174" s="15"/>
      <c r="L1174" s="15"/>
      <c r="M1174" s="15"/>
      <c r="N1174" s="15"/>
      <c r="O1174" s="15"/>
      <c r="P1174" s="15"/>
      <c r="Q1174" s="15"/>
      <c r="R1174" s="15"/>
      <c r="S1174" s="15"/>
      <c r="T1174" s="15"/>
      <c r="U1174" s="15">
        <v>37</v>
      </c>
      <c r="V1174" s="15">
        <v>2</v>
      </c>
      <c r="W1174" s="15"/>
      <c r="X1174" s="15">
        <v>2</v>
      </c>
      <c r="Y1174" s="15"/>
      <c r="Z1174" s="15"/>
      <c r="AA1174" s="15">
        <v>22</v>
      </c>
      <c r="AB1174" s="16">
        <f>100/(SUM(I1174:Z1174))</f>
        <v>1.2658227848101267</v>
      </c>
      <c r="AC1174" s="259">
        <f>SUM(I1174:AA1174)</f>
        <v>101</v>
      </c>
      <c r="AD1174" s="15"/>
      <c r="AE1174" s="15"/>
      <c r="AF1174" s="15"/>
      <c r="AG1174" s="17"/>
      <c r="AH1174" s="18" t="s">
        <v>974</v>
      </c>
      <c r="AI1174" s="18" t="s">
        <v>975</v>
      </c>
      <c r="AJ1174" s="18"/>
      <c r="AK1174" s="13" t="s">
        <v>976</v>
      </c>
      <c r="AL1174" s="17">
        <f>(B1174-DATE(1970,1,1))*86400</f>
        <v>1615161600</v>
      </c>
      <c r="AM1174" s="17">
        <f>(C1174-DATE(1970,1,1))*86400</f>
        <v>1615248000</v>
      </c>
      <c r="AN1174" s="17">
        <f>AVERAGE(AL1174:AM1174)</f>
        <v>1615204800</v>
      </c>
    </row>
    <row r="1175" spans="1:40" ht="15.75" customHeight="1" x14ac:dyDescent="0.2">
      <c r="A1175" s="279" t="s">
        <v>123</v>
      </c>
      <c r="B1175" s="14">
        <v>44263</v>
      </c>
      <c r="C1175" s="14">
        <v>44264</v>
      </c>
      <c r="D1175" s="13" t="s">
        <v>124</v>
      </c>
      <c r="E1175" s="324" t="s">
        <v>125</v>
      </c>
      <c r="F1175" s="13" t="s">
        <v>390</v>
      </c>
      <c r="G1175" s="13" t="s">
        <v>126</v>
      </c>
      <c r="H1175" s="372">
        <v>1000</v>
      </c>
      <c r="I1175" s="15">
        <v>53</v>
      </c>
      <c r="J1175" s="15"/>
      <c r="K1175" s="15"/>
      <c r="L1175" s="15"/>
      <c r="M1175" s="15"/>
      <c r="N1175" s="15"/>
      <c r="O1175" s="15"/>
      <c r="P1175" s="15"/>
      <c r="Q1175" s="15"/>
      <c r="R1175" s="15"/>
      <c r="S1175" s="15"/>
      <c r="T1175" s="15"/>
      <c r="U1175" s="15">
        <v>44</v>
      </c>
      <c r="V1175" s="15">
        <v>1</v>
      </c>
      <c r="W1175" s="15"/>
      <c r="X1175" s="15">
        <v>1</v>
      </c>
      <c r="Y1175" s="15"/>
      <c r="Z1175" s="15"/>
      <c r="AA1175" s="15">
        <v>0</v>
      </c>
      <c r="AB1175" s="16">
        <f>100/(SUM(I1175:Z1175))</f>
        <v>1.0101010101010102</v>
      </c>
      <c r="AC1175" s="259">
        <f>SUM(I1175:AA1175)</f>
        <v>99</v>
      </c>
      <c r="AD1175" s="15"/>
      <c r="AE1175" s="15"/>
      <c r="AF1175" s="15"/>
      <c r="AG1175" s="17"/>
      <c r="AH1175" s="18" t="s">
        <v>974</v>
      </c>
      <c r="AI1175" s="18" t="s">
        <v>975</v>
      </c>
      <c r="AJ1175" s="18"/>
      <c r="AK1175" s="13" t="s">
        <v>976</v>
      </c>
      <c r="AL1175" s="17">
        <f>(B1175-DATE(1970,1,1))*86400</f>
        <v>1615161600</v>
      </c>
      <c r="AM1175" s="17">
        <f>(C1175-DATE(1970,1,1))*86400</f>
        <v>1615248000</v>
      </c>
      <c r="AN1175" s="17">
        <f>AVERAGE(AL1175:AM1175)</f>
        <v>1615204800</v>
      </c>
    </row>
    <row r="1176" spans="1:40" ht="15.75" customHeight="1" x14ac:dyDescent="0.2">
      <c r="A1176" s="306" t="s">
        <v>133</v>
      </c>
      <c r="B1176" s="135">
        <v>44260</v>
      </c>
      <c r="C1176" s="135">
        <v>44266</v>
      </c>
      <c r="D1176" s="134" t="s">
        <v>873</v>
      </c>
      <c r="E1176" s="345" t="s">
        <v>184</v>
      </c>
      <c r="F1176" s="134"/>
      <c r="G1176" s="134" t="s">
        <v>126</v>
      </c>
      <c r="H1176" s="375">
        <v>1007</v>
      </c>
      <c r="I1176" s="136">
        <v>38</v>
      </c>
      <c r="J1176" s="136"/>
      <c r="K1176" s="136">
        <v>10</v>
      </c>
      <c r="L1176" s="136">
        <v>2</v>
      </c>
      <c r="M1176" s="136">
        <v>6</v>
      </c>
      <c r="N1176" s="136"/>
      <c r="O1176" s="136"/>
      <c r="P1176" s="136">
        <v>6</v>
      </c>
      <c r="Q1176" s="136"/>
      <c r="R1176" s="140">
        <v>3</v>
      </c>
      <c r="S1176" s="136"/>
      <c r="T1176" s="136"/>
      <c r="U1176" s="136">
        <v>1</v>
      </c>
      <c r="V1176" s="136">
        <v>2</v>
      </c>
      <c r="W1176" s="136"/>
      <c r="X1176" s="136">
        <v>2</v>
      </c>
      <c r="Y1176" s="136"/>
      <c r="Z1176" s="136">
        <v>1</v>
      </c>
      <c r="AA1176" s="136">
        <v>29</v>
      </c>
      <c r="AB1176" s="137">
        <f>100/(SUM(I1176:Z1176))</f>
        <v>1.408450704225352</v>
      </c>
      <c r="AC1176" s="259">
        <f>SUM(I1176:AA1176)</f>
        <v>100</v>
      </c>
      <c r="AD1176" s="136">
        <v>71</v>
      </c>
      <c r="AE1176" s="136"/>
      <c r="AF1176" s="136"/>
      <c r="AG1176" s="138"/>
      <c r="AH1176" s="139" t="s">
        <v>978</v>
      </c>
      <c r="AI1176" s="139" t="s">
        <v>979</v>
      </c>
      <c r="AJ1176" s="139" t="s">
        <v>980</v>
      </c>
      <c r="AK1176" s="134" t="s">
        <v>931</v>
      </c>
      <c r="AL1176" s="138">
        <f>(B1176-DATE(1970,1,1))*86400</f>
        <v>1614902400</v>
      </c>
      <c r="AM1176" s="138">
        <f>(C1176-DATE(1970,1,1))*86400</f>
        <v>1615420800</v>
      </c>
      <c r="AN1176" s="138">
        <f>AVERAGE(AL1176:AM1176)</f>
        <v>1615161600</v>
      </c>
    </row>
    <row r="1177" spans="1:40" ht="15.75" customHeight="1" x14ac:dyDescent="0.2">
      <c r="A1177" s="306" t="s">
        <v>133</v>
      </c>
      <c r="B1177" s="135">
        <v>44260</v>
      </c>
      <c r="C1177" s="135">
        <v>44266</v>
      </c>
      <c r="D1177" s="134" t="s">
        <v>873</v>
      </c>
      <c r="E1177" s="345" t="s">
        <v>184</v>
      </c>
      <c r="F1177" s="134" t="s">
        <v>140</v>
      </c>
      <c r="G1177" s="134" t="s">
        <v>126</v>
      </c>
      <c r="H1177" s="375">
        <v>1007</v>
      </c>
      <c r="I1177" s="136"/>
      <c r="J1177" s="136"/>
      <c r="K1177" s="136"/>
      <c r="L1177" s="136"/>
      <c r="M1177" s="136"/>
      <c r="N1177" s="136"/>
      <c r="O1177" s="136"/>
      <c r="P1177" s="136"/>
      <c r="Q1177" s="136"/>
      <c r="R1177" s="136"/>
      <c r="S1177" s="136"/>
      <c r="T1177" s="136"/>
      <c r="U1177" s="136"/>
      <c r="V1177" s="136"/>
      <c r="W1177" s="136"/>
      <c r="X1177" s="136"/>
      <c r="Y1177" s="136"/>
      <c r="Z1177" s="136"/>
      <c r="AA1177" s="136"/>
      <c r="AB1177" s="137" t="e">
        <f>100/(SUM(I1177:Z1177))</f>
        <v>#DIV/0!</v>
      </c>
      <c r="AC1177" s="259">
        <f>SUM(I1177:AA1177)</f>
        <v>0</v>
      </c>
      <c r="AD1177" s="136"/>
      <c r="AE1177" s="136"/>
      <c r="AF1177" s="136"/>
      <c r="AG1177" s="138"/>
      <c r="AH1177" s="139" t="s">
        <v>929</v>
      </c>
      <c r="AI1177" s="139"/>
      <c r="AJ1177" s="139"/>
      <c r="AK1177" s="134" t="s">
        <v>977</v>
      </c>
      <c r="AL1177" s="138">
        <f>(B1177-DATE(1970,1,1))*86400</f>
        <v>1614902400</v>
      </c>
      <c r="AM1177" s="138">
        <f>(C1177-DATE(1970,1,1))*86400</f>
        <v>1615420800</v>
      </c>
      <c r="AN1177" s="138">
        <f>AVERAGE(AL1177:AM1177)</f>
        <v>1615161600</v>
      </c>
    </row>
    <row r="1178" spans="1:40" ht="15.75" customHeight="1" x14ac:dyDescent="0.2">
      <c r="A1178" s="306" t="s">
        <v>123</v>
      </c>
      <c r="B1178" s="135">
        <v>44260</v>
      </c>
      <c r="C1178" s="135">
        <v>44266</v>
      </c>
      <c r="D1178" s="134" t="s">
        <v>873</v>
      </c>
      <c r="E1178" s="345" t="s">
        <v>184</v>
      </c>
      <c r="F1178" s="134"/>
      <c r="G1178" s="134" t="s">
        <v>126</v>
      </c>
      <c r="H1178" s="375">
        <v>1007</v>
      </c>
      <c r="I1178" s="136">
        <v>54</v>
      </c>
      <c r="J1178" s="136"/>
      <c r="K1178" s="136">
        <v>14</v>
      </c>
      <c r="L1178" s="136">
        <v>2</v>
      </c>
      <c r="M1178" s="136">
        <v>9</v>
      </c>
      <c r="N1178" s="136"/>
      <c r="O1178" s="136"/>
      <c r="P1178" s="136">
        <v>9</v>
      </c>
      <c r="Q1178" s="136"/>
      <c r="R1178" s="140">
        <v>4</v>
      </c>
      <c r="S1178" s="136"/>
      <c r="T1178" s="136"/>
      <c r="U1178" s="136">
        <v>2</v>
      </c>
      <c r="V1178" s="136">
        <v>2</v>
      </c>
      <c r="W1178" s="136"/>
      <c r="X1178" s="136">
        <v>3</v>
      </c>
      <c r="Y1178" s="136"/>
      <c r="Z1178" s="136">
        <v>1</v>
      </c>
      <c r="AA1178" s="136">
        <v>0</v>
      </c>
      <c r="AB1178" s="137">
        <f>100/(SUM(I1178:Z1178))</f>
        <v>1</v>
      </c>
      <c r="AC1178" s="259">
        <f>SUM(I1178:AA1178)</f>
        <v>100</v>
      </c>
      <c r="AD1178" s="136"/>
      <c r="AE1178" s="136"/>
      <c r="AF1178" s="136"/>
      <c r="AG1178" s="138"/>
      <c r="AH1178" s="139" t="s">
        <v>978</v>
      </c>
      <c r="AI1178" s="139" t="s">
        <v>979</v>
      </c>
      <c r="AJ1178" s="139" t="s">
        <v>980</v>
      </c>
      <c r="AK1178" s="134" t="s">
        <v>981</v>
      </c>
      <c r="AL1178" s="138">
        <f>(B1178-DATE(1970,1,1))*86400</f>
        <v>1614902400</v>
      </c>
      <c r="AM1178" s="138">
        <f>(C1178-DATE(1970,1,1))*86400</f>
        <v>1615420800</v>
      </c>
      <c r="AN1178" s="138">
        <f>AVERAGE(AL1178:AM1178)</f>
        <v>1615161600</v>
      </c>
    </row>
    <row r="1179" spans="1:40" ht="15.75" customHeight="1" x14ac:dyDescent="0.2">
      <c r="A1179" s="286" t="s">
        <v>133</v>
      </c>
      <c r="B1179" s="41">
        <v>44257</v>
      </c>
      <c r="C1179" s="41">
        <v>44266</v>
      </c>
      <c r="D1179" s="40" t="s">
        <v>148</v>
      </c>
      <c r="E1179" s="325" t="s">
        <v>125</v>
      </c>
      <c r="F1179" s="40"/>
      <c r="G1179" s="40" t="s">
        <v>149</v>
      </c>
      <c r="H1179" s="325">
        <v>1000</v>
      </c>
      <c r="I1179" s="42">
        <v>33</v>
      </c>
      <c r="J1179" s="42"/>
      <c r="K1179" s="42">
        <v>11</v>
      </c>
      <c r="L1179" s="42">
        <v>2</v>
      </c>
      <c r="M1179" s="42">
        <v>11</v>
      </c>
      <c r="N1179" s="42"/>
      <c r="O1179" s="42"/>
      <c r="P1179" s="42">
        <v>6</v>
      </c>
      <c r="Q1179" s="42"/>
      <c r="R1179" s="43">
        <v>6</v>
      </c>
      <c r="S1179" s="42"/>
      <c r="T1179" s="42"/>
      <c r="U1179" s="42"/>
      <c r="V1179" s="42">
        <v>1</v>
      </c>
      <c r="W1179" s="42"/>
      <c r="X1179" s="42">
        <v>2</v>
      </c>
      <c r="Y1179" s="42"/>
      <c r="Z1179" s="42">
        <v>1</v>
      </c>
      <c r="AA1179" s="42">
        <v>27</v>
      </c>
      <c r="AB1179" s="44">
        <f>100/(SUM(I1179:Z1179))</f>
        <v>1.3698630136986301</v>
      </c>
      <c r="AC1179" s="259">
        <f>SUM(I1179:AA1179)</f>
        <v>100</v>
      </c>
      <c r="AD1179" s="42"/>
      <c r="AE1179" s="42"/>
      <c r="AF1179" s="42"/>
      <c r="AG1179" s="45" t="s">
        <v>127</v>
      </c>
      <c r="AH1179" s="46" t="s">
        <v>982</v>
      </c>
      <c r="AI1179" s="46" t="s">
        <v>984</v>
      </c>
      <c r="AJ1179" s="46" t="s">
        <v>983</v>
      </c>
      <c r="AK1179" s="40" t="s">
        <v>987</v>
      </c>
      <c r="AL1179" s="45">
        <f>(B1179-DATE(1970,1,1))*86400</f>
        <v>1614643200</v>
      </c>
      <c r="AM1179" s="45">
        <f>(C1179-DATE(1970,1,1))*86400</f>
        <v>1615420800</v>
      </c>
      <c r="AN1179" s="45">
        <f>AVERAGE(AL1179:AM1179)</f>
        <v>1615032000</v>
      </c>
    </row>
    <row r="1180" spans="1:40" ht="15.75" customHeight="1" x14ac:dyDescent="0.2">
      <c r="A1180" s="286" t="s">
        <v>133</v>
      </c>
      <c r="B1180" s="41">
        <v>44257</v>
      </c>
      <c r="C1180" s="41">
        <v>44266</v>
      </c>
      <c r="D1180" s="40" t="s">
        <v>148</v>
      </c>
      <c r="E1180" s="325" t="s">
        <v>125</v>
      </c>
      <c r="F1180" s="40" t="s">
        <v>390</v>
      </c>
      <c r="G1180" s="40" t="s">
        <v>149</v>
      </c>
      <c r="H1180" s="325">
        <v>1000</v>
      </c>
      <c r="I1180" s="42">
        <v>36</v>
      </c>
      <c r="J1180" s="42"/>
      <c r="K1180" s="42"/>
      <c r="L1180" s="42"/>
      <c r="M1180" s="42"/>
      <c r="N1180" s="42"/>
      <c r="O1180" s="42"/>
      <c r="P1180" s="42"/>
      <c r="Q1180" s="42"/>
      <c r="R1180" s="43"/>
      <c r="S1180" s="42"/>
      <c r="T1180" s="42"/>
      <c r="U1180" s="42">
        <v>37</v>
      </c>
      <c r="V1180" s="42">
        <v>1</v>
      </c>
      <c r="W1180" s="42"/>
      <c r="X1180" s="42">
        <v>2</v>
      </c>
      <c r="Y1180" s="42"/>
      <c r="Z1180" s="42"/>
      <c r="AA1180" s="42">
        <v>24</v>
      </c>
      <c r="AB1180" s="44">
        <f>100/(SUM(I1180:Z1180))</f>
        <v>1.3157894736842106</v>
      </c>
      <c r="AC1180" s="259">
        <f>SUM(I1180:AA1180)</f>
        <v>100</v>
      </c>
      <c r="AD1180" s="42"/>
      <c r="AE1180" s="42"/>
      <c r="AF1180" s="42"/>
      <c r="AG1180" s="45" t="s">
        <v>127</v>
      </c>
      <c r="AH1180" s="132" t="s">
        <v>982</v>
      </c>
      <c r="AI1180" s="132" t="s">
        <v>983</v>
      </c>
      <c r="AJ1180" s="132" t="s">
        <v>984</v>
      </c>
      <c r="AK1180" s="40" t="s">
        <v>985</v>
      </c>
      <c r="AL1180" s="45">
        <f>(B1180-DATE(1970,1,1))*86400</f>
        <v>1614643200</v>
      </c>
      <c r="AM1180" s="45">
        <f>(C1180-DATE(1970,1,1))*86400</f>
        <v>1615420800</v>
      </c>
      <c r="AN1180" s="45">
        <f>AVERAGE(AL1180:AM1180)</f>
        <v>1615032000</v>
      </c>
    </row>
    <row r="1181" spans="1:40" ht="15.75" customHeight="1" x14ac:dyDescent="0.2">
      <c r="A1181" s="286" t="s">
        <v>123</v>
      </c>
      <c r="B1181" s="41">
        <v>44257</v>
      </c>
      <c r="C1181" s="41">
        <v>44266</v>
      </c>
      <c r="D1181" s="40" t="s">
        <v>148</v>
      </c>
      <c r="E1181" s="325" t="s">
        <v>125</v>
      </c>
      <c r="F1181" s="40" t="s">
        <v>390</v>
      </c>
      <c r="G1181" s="40" t="s">
        <v>149</v>
      </c>
      <c r="H1181" s="325">
        <v>1000</v>
      </c>
      <c r="I1181" s="42">
        <v>47</v>
      </c>
      <c r="J1181" s="42"/>
      <c r="K1181" s="42"/>
      <c r="L1181" s="42"/>
      <c r="M1181" s="42"/>
      <c r="N1181" s="42"/>
      <c r="O1181" s="42"/>
      <c r="P1181" s="42"/>
      <c r="Q1181" s="42"/>
      <c r="R1181" s="43"/>
      <c r="S1181" s="42"/>
      <c r="T1181" s="42"/>
      <c r="U1181" s="42">
        <v>50</v>
      </c>
      <c r="V1181" s="42">
        <v>1</v>
      </c>
      <c r="W1181" s="42"/>
      <c r="X1181" s="42">
        <v>2</v>
      </c>
      <c r="Y1181" s="42"/>
      <c r="Z1181" s="42"/>
      <c r="AA1181" s="42">
        <v>0</v>
      </c>
      <c r="AB1181" s="44">
        <f>100/(SUM(I1181:Z1181))</f>
        <v>1</v>
      </c>
      <c r="AC1181" s="259">
        <f>SUM(I1181:AA1181)</f>
        <v>100</v>
      </c>
      <c r="AD1181" s="42"/>
      <c r="AE1181" s="42"/>
      <c r="AF1181" s="42"/>
      <c r="AG1181" s="45" t="s">
        <v>127</v>
      </c>
      <c r="AH1181" s="46" t="s">
        <v>982</v>
      </c>
      <c r="AI1181" s="46" t="s">
        <v>983</v>
      </c>
      <c r="AJ1181" s="132" t="s">
        <v>984</v>
      </c>
      <c r="AK1181" s="40" t="s">
        <v>986</v>
      </c>
      <c r="AL1181" s="45">
        <f>(B1181-DATE(1970,1,1))*86400</f>
        <v>1614643200</v>
      </c>
      <c r="AM1181" s="45">
        <f>(C1181-DATE(1970,1,1))*86400</f>
        <v>1615420800</v>
      </c>
      <c r="AN1181" s="45">
        <f>AVERAGE(AL1181:AM1181)</f>
        <v>1615032000</v>
      </c>
    </row>
    <row r="1182" spans="1:40" ht="15.75" customHeight="1" x14ac:dyDescent="0.2">
      <c r="A1182" s="286" t="s">
        <v>123</v>
      </c>
      <c r="B1182" s="41">
        <v>44257</v>
      </c>
      <c r="C1182" s="41">
        <v>44266</v>
      </c>
      <c r="D1182" s="40" t="s">
        <v>148</v>
      </c>
      <c r="E1182" s="325" t="s">
        <v>125</v>
      </c>
      <c r="F1182" s="40"/>
      <c r="G1182" s="40" t="s">
        <v>149</v>
      </c>
      <c r="H1182" s="325">
        <v>1000</v>
      </c>
      <c r="I1182" s="42">
        <v>46</v>
      </c>
      <c r="J1182" s="42"/>
      <c r="K1182" s="42">
        <v>14</v>
      </c>
      <c r="L1182" s="42">
        <v>2</v>
      </c>
      <c r="M1182" s="42">
        <v>16</v>
      </c>
      <c r="N1182" s="42"/>
      <c r="O1182" s="42"/>
      <c r="P1182" s="42">
        <v>9</v>
      </c>
      <c r="Q1182" s="42"/>
      <c r="R1182" s="43">
        <v>9</v>
      </c>
      <c r="S1182" s="42"/>
      <c r="T1182" s="42"/>
      <c r="U1182" s="42"/>
      <c r="V1182" s="42">
        <v>1</v>
      </c>
      <c r="W1182" s="42"/>
      <c r="X1182" s="42">
        <v>3</v>
      </c>
      <c r="Y1182" s="42"/>
      <c r="Z1182" s="42">
        <v>0</v>
      </c>
      <c r="AA1182" s="42">
        <v>0</v>
      </c>
      <c r="AB1182" s="44">
        <f>100/(SUM(I1182:Z1182))</f>
        <v>1</v>
      </c>
      <c r="AC1182" s="259">
        <f>SUM(I1182:AA1182)</f>
        <v>100</v>
      </c>
      <c r="AD1182" s="42"/>
      <c r="AE1182" s="42"/>
      <c r="AF1182" s="42"/>
      <c r="AG1182" s="45" t="s">
        <v>127</v>
      </c>
      <c r="AH1182" s="46" t="s">
        <v>982</v>
      </c>
      <c r="AI1182" s="46" t="s">
        <v>983</v>
      </c>
      <c r="AJ1182" s="46"/>
      <c r="AK1182" s="40" t="s">
        <v>988</v>
      </c>
      <c r="AL1182" s="45">
        <f>(B1182-DATE(1970,1,1))*86400</f>
        <v>1614643200</v>
      </c>
      <c r="AM1182" s="45">
        <f>(C1182-DATE(1970,1,1))*86400</f>
        <v>1615420800</v>
      </c>
      <c r="AN1182" s="45">
        <f>AVERAGE(AL1182:AM1182)</f>
        <v>1615032000</v>
      </c>
    </row>
    <row r="1183" spans="1:40" ht="15.75" customHeight="1" x14ac:dyDescent="0.2">
      <c r="A1183" s="284" t="s">
        <v>133</v>
      </c>
      <c r="B1183" s="20">
        <v>44249</v>
      </c>
      <c r="C1183" s="20">
        <v>44252</v>
      </c>
      <c r="D1183" s="19" t="s">
        <v>134</v>
      </c>
      <c r="E1183" s="332" t="s">
        <v>125</v>
      </c>
      <c r="F1183" s="19"/>
      <c r="G1183" s="19" t="s">
        <v>135</v>
      </c>
      <c r="H1183" s="332">
        <v>2000</v>
      </c>
      <c r="I1183" s="21">
        <v>31</v>
      </c>
      <c r="J1183" s="21"/>
      <c r="K1183" s="21">
        <v>8</v>
      </c>
      <c r="L1183" s="21">
        <v>2</v>
      </c>
      <c r="M1183" s="21">
        <v>12</v>
      </c>
      <c r="N1183" s="21"/>
      <c r="O1183" s="21"/>
      <c r="P1183" s="21">
        <v>7</v>
      </c>
      <c r="Q1183" s="21"/>
      <c r="R1183" s="22">
        <v>6</v>
      </c>
      <c r="S1183" s="21"/>
      <c r="T1183" s="21"/>
      <c r="U1183" s="21"/>
      <c r="V1183" s="21">
        <v>2</v>
      </c>
      <c r="W1183" s="21"/>
      <c r="X1183" s="21">
        <v>2</v>
      </c>
      <c r="Y1183" s="21"/>
      <c r="Z1183" s="21">
        <v>1</v>
      </c>
      <c r="AA1183" s="21">
        <v>29</v>
      </c>
      <c r="AB1183" s="23">
        <f>100/(SUM(I1183:Z1183))</f>
        <v>1.408450704225352</v>
      </c>
      <c r="AC1183" s="259">
        <f>SUM(I1183:AA1183)</f>
        <v>100</v>
      </c>
      <c r="AD1183" s="24"/>
      <c r="AE1183" s="24"/>
      <c r="AF1183" s="24"/>
      <c r="AG1183" s="25" t="s">
        <v>127</v>
      </c>
      <c r="AH1183" s="26" t="s">
        <v>989</v>
      </c>
      <c r="AI1183" s="83"/>
      <c r="AJ1183" s="83" t="s">
        <v>990</v>
      </c>
      <c r="AK1183" s="19" t="s">
        <v>881</v>
      </c>
      <c r="AL1183" s="25">
        <f>(B1183-DATE(1970,1,1))*86400</f>
        <v>1613952000</v>
      </c>
      <c r="AM1183" s="25">
        <f>(C1183-DATE(1970,1,1))*86400</f>
        <v>1614211200</v>
      </c>
      <c r="AN1183" s="25">
        <f>AVERAGE(AL1183:AM1183)</f>
        <v>1614081600</v>
      </c>
    </row>
    <row r="1184" spans="1:40" ht="15.75" customHeight="1" x14ac:dyDescent="0.2">
      <c r="A1184" s="284" t="s">
        <v>133</v>
      </c>
      <c r="B1184" s="20">
        <v>44249</v>
      </c>
      <c r="C1184" s="20">
        <v>44252</v>
      </c>
      <c r="D1184" s="19" t="s">
        <v>134</v>
      </c>
      <c r="E1184" s="332" t="s">
        <v>125</v>
      </c>
      <c r="F1184" s="19" t="s">
        <v>390</v>
      </c>
      <c r="G1184" s="19" t="s">
        <v>135</v>
      </c>
      <c r="H1184" s="332">
        <v>2000</v>
      </c>
      <c r="I1184" s="21">
        <v>36</v>
      </c>
      <c r="J1184" s="21"/>
      <c r="K1184" s="21"/>
      <c r="L1184" s="21"/>
      <c r="M1184" s="21"/>
      <c r="N1184" s="21"/>
      <c r="O1184" s="21"/>
      <c r="P1184" s="21"/>
      <c r="Q1184" s="21"/>
      <c r="R1184" s="22"/>
      <c r="S1184" s="21"/>
      <c r="T1184" s="21"/>
      <c r="U1184" s="21">
        <v>39</v>
      </c>
      <c r="V1184" s="21">
        <v>2</v>
      </c>
      <c r="W1184" s="21"/>
      <c r="X1184" s="21">
        <v>3</v>
      </c>
      <c r="Y1184" s="21"/>
      <c r="Z1184" s="21">
        <v>2</v>
      </c>
      <c r="AA1184" s="21">
        <v>18</v>
      </c>
      <c r="AB1184" s="23">
        <f>100/(SUM(I1184:Z1184))</f>
        <v>1.2195121951219512</v>
      </c>
      <c r="AC1184" s="259">
        <f>SUM(I1184:AA1184)</f>
        <v>100</v>
      </c>
      <c r="AD1184" s="24"/>
      <c r="AE1184" s="24"/>
      <c r="AF1184" s="24"/>
      <c r="AG1184" s="25" t="s">
        <v>127</v>
      </c>
      <c r="AH1184" s="26" t="s">
        <v>989</v>
      </c>
      <c r="AI1184" s="19"/>
      <c r="AJ1184" s="83" t="s">
        <v>990</v>
      </c>
      <c r="AK1184" s="19" t="s">
        <v>991</v>
      </c>
      <c r="AL1184" s="25">
        <f>(B1184-DATE(1970,1,1))*86400</f>
        <v>1613952000</v>
      </c>
      <c r="AM1184" s="25">
        <f>(C1184-DATE(1970,1,1))*86400</f>
        <v>1614211200</v>
      </c>
      <c r="AN1184" s="25">
        <f>AVERAGE(AL1184:AM1184)</f>
        <v>1614081600</v>
      </c>
    </row>
    <row r="1185" spans="1:40" ht="15.75" customHeight="1" x14ac:dyDescent="0.2">
      <c r="A1185" s="284" t="s">
        <v>123</v>
      </c>
      <c r="B1185" s="20">
        <v>44249</v>
      </c>
      <c r="C1185" s="20">
        <v>44252</v>
      </c>
      <c r="D1185" s="19" t="s">
        <v>134</v>
      </c>
      <c r="E1185" s="332" t="s">
        <v>125</v>
      </c>
      <c r="F1185" s="19" t="s">
        <v>390</v>
      </c>
      <c r="G1185" s="19" t="s">
        <v>135</v>
      </c>
      <c r="H1185" s="332">
        <v>2000</v>
      </c>
      <c r="I1185" s="21">
        <v>45</v>
      </c>
      <c r="J1185" s="21"/>
      <c r="K1185" s="21"/>
      <c r="L1185" s="21"/>
      <c r="M1185" s="21"/>
      <c r="N1185" s="21"/>
      <c r="O1185" s="21"/>
      <c r="P1185" s="21"/>
      <c r="Q1185" s="21"/>
      <c r="R1185" s="22"/>
      <c r="S1185" s="21"/>
      <c r="T1185" s="21"/>
      <c r="U1185" s="21">
        <v>48</v>
      </c>
      <c r="V1185" s="21">
        <v>3</v>
      </c>
      <c r="W1185" s="21"/>
      <c r="X1185" s="21">
        <v>3</v>
      </c>
      <c r="Y1185" s="21"/>
      <c r="Z1185" s="21">
        <v>1</v>
      </c>
      <c r="AA1185" s="21">
        <v>0</v>
      </c>
      <c r="AB1185" s="23">
        <f>100/(SUM(I1185:Z1185))</f>
        <v>1</v>
      </c>
      <c r="AC1185" s="259">
        <f>SUM(I1185:AA1185)</f>
        <v>100</v>
      </c>
      <c r="AD1185" s="24"/>
      <c r="AE1185" s="24"/>
      <c r="AF1185" s="24"/>
      <c r="AG1185" s="25" t="s">
        <v>127</v>
      </c>
      <c r="AH1185" s="26" t="s">
        <v>989</v>
      </c>
      <c r="AI1185" s="19"/>
      <c r="AJ1185" s="83" t="s">
        <v>990</v>
      </c>
      <c r="AK1185" s="19" t="s">
        <v>991</v>
      </c>
      <c r="AL1185" s="25">
        <f>(B1185-DATE(1970,1,1))*86400</f>
        <v>1613952000</v>
      </c>
      <c r="AM1185" s="25">
        <f>(C1185-DATE(1970,1,1))*86400</f>
        <v>1614211200</v>
      </c>
      <c r="AN1185" s="25">
        <f>AVERAGE(AL1185:AM1185)</f>
        <v>1614081600</v>
      </c>
    </row>
    <row r="1186" spans="1:40" ht="15.75" customHeight="1" x14ac:dyDescent="0.2">
      <c r="A1186" s="284" t="s">
        <v>123</v>
      </c>
      <c r="B1186" s="20">
        <v>44249</v>
      </c>
      <c r="C1186" s="20">
        <v>44252</v>
      </c>
      <c r="D1186" s="19" t="s">
        <v>134</v>
      </c>
      <c r="E1186" s="332" t="s">
        <v>125</v>
      </c>
      <c r="F1186" s="19"/>
      <c r="G1186" s="19" t="s">
        <v>135</v>
      </c>
      <c r="H1186" s="332">
        <v>2000</v>
      </c>
      <c r="I1186" s="21">
        <v>44</v>
      </c>
      <c r="J1186" s="21"/>
      <c r="K1186" s="21">
        <v>11</v>
      </c>
      <c r="L1186" s="21">
        <v>2</v>
      </c>
      <c r="M1186" s="21">
        <v>17</v>
      </c>
      <c r="N1186" s="21"/>
      <c r="O1186" s="21"/>
      <c r="P1186" s="21">
        <v>10</v>
      </c>
      <c r="Q1186" s="21"/>
      <c r="R1186" s="22">
        <v>9</v>
      </c>
      <c r="S1186" s="21"/>
      <c r="T1186" s="21"/>
      <c r="U1186" s="21"/>
      <c r="V1186" s="21">
        <v>3</v>
      </c>
      <c r="W1186" s="21"/>
      <c r="X1186" s="21">
        <v>3</v>
      </c>
      <c r="Y1186" s="21"/>
      <c r="Z1186" s="21">
        <v>1</v>
      </c>
      <c r="AA1186" s="21">
        <v>0</v>
      </c>
      <c r="AB1186" s="23">
        <f>100/(SUM(I1186:Z1186))</f>
        <v>1</v>
      </c>
      <c r="AC1186" s="259">
        <f>SUM(I1186:AA1186)</f>
        <v>100</v>
      </c>
      <c r="AD1186" s="24"/>
      <c r="AE1186" s="24"/>
      <c r="AF1186" s="24"/>
      <c r="AG1186" s="25" t="s">
        <v>127</v>
      </c>
      <c r="AH1186" s="26" t="s">
        <v>989</v>
      </c>
      <c r="AI1186" s="83"/>
      <c r="AJ1186" s="83" t="s">
        <v>990</v>
      </c>
      <c r="AK1186" s="19" t="s">
        <v>992</v>
      </c>
      <c r="AL1186" s="25">
        <f>(B1186-DATE(1970,1,1))*86400</f>
        <v>1613952000</v>
      </c>
      <c r="AM1186" s="25">
        <f>(C1186-DATE(1970,1,1))*86400</f>
        <v>1614211200</v>
      </c>
      <c r="AN1186" s="25">
        <f>AVERAGE(AL1186:AM1186)</f>
        <v>1614081600</v>
      </c>
    </row>
    <row r="1187" spans="1:40" ht="15.75" customHeight="1" x14ac:dyDescent="0.2">
      <c r="A1187" s="281" t="s">
        <v>133</v>
      </c>
      <c r="B1187" s="54">
        <v>44247</v>
      </c>
      <c r="C1187" s="54">
        <v>44252</v>
      </c>
      <c r="D1187" s="53" t="s">
        <v>154</v>
      </c>
      <c r="E1187" s="323" t="s">
        <v>125</v>
      </c>
      <c r="F1187" s="53"/>
      <c r="G1187" s="53" t="s">
        <v>126</v>
      </c>
      <c r="H1187" s="357">
        <v>1001</v>
      </c>
      <c r="I1187" s="55">
        <v>29</v>
      </c>
      <c r="J1187" s="55"/>
      <c r="K1187" s="55">
        <v>7</v>
      </c>
      <c r="L1187" s="55">
        <v>1</v>
      </c>
      <c r="M1187" s="55">
        <v>8</v>
      </c>
      <c r="N1187" s="55"/>
      <c r="O1187" s="55"/>
      <c r="P1187" s="55">
        <v>5</v>
      </c>
      <c r="Q1187" s="55"/>
      <c r="R1187" s="56">
        <v>6</v>
      </c>
      <c r="S1187" s="55"/>
      <c r="T1187" s="55"/>
      <c r="U1187" s="55">
        <v>8</v>
      </c>
      <c r="V1187" s="55">
        <v>1</v>
      </c>
      <c r="W1187" s="55"/>
      <c r="X1187" s="55">
        <v>1</v>
      </c>
      <c r="Y1187" s="55"/>
      <c r="Z1187" s="55">
        <v>1</v>
      </c>
      <c r="AA1187" s="55">
        <v>33</v>
      </c>
      <c r="AB1187" s="57">
        <f>100/(SUM(I1187:Z1187))</f>
        <v>1.4925373134328359</v>
      </c>
      <c r="AC1187" s="259">
        <f>SUM(I1187:AA1187)</f>
        <v>100</v>
      </c>
      <c r="AD1187" s="55"/>
      <c r="AE1187" s="55"/>
      <c r="AF1187" s="55"/>
      <c r="AG1187" s="58" t="s">
        <v>155</v>
      </c>
      <c r="AH1187" s="59" t="s">
        <v>993</v>
      </c>
      <c r="AI1187" s="59" t="s">
        <v>994</v>
      </c>
      <c r="AJ1187" s="53" t="s">
        <v>995</v>
      </c>
      <c r="AK1187" s="53" t="s">
        <v>996</v>
      </c>
      <c r="AL1187" s="58">
        <f>(B1187-DATE(1970,1,1))*86400</f>
        <v>1613779200</v>
      </c>
      <c r="AM1187" s="58">
        <f>(C1187-DATE(1970,1,1))*86400</f>
        <v>1614211200</v>
      </c>
      <c r="AN1187" s="58">
        <f>AVERAGE(AL1187:AM1187)</f>
        <v>1613995200</v>
      </c>
    </row>
    <row r="1188" spans="1:40" ht="15.75" customHeight="1" x14ac:dyDescent="0.2">
      <c r="A1188" s="281" t="s">
        <v>123</v>
      </c>
      <c r="B1188" s="54">
        <v>44247</v>
      </c>
      <c r="C1188" s="54">
        <v>44252</v>
      </c>
      <c r="D1188" s="53" t="s">
        <v>154</v>
      </c>
      <c r="E1188" s="323" t="s">
        <v>125</v>
      </c>
      <c r="F1188" s="53"/>
      <c r="G1188" s="53" t="s">
        <v>126</v>
      </c>
      <c r="H1188" s="357">
        <v>1001</v>
      </c>
      <c r="I1188" s="55">
        <v>33</v>
      </c>
      <c r="J1188" s="55"/>
      <c r="K1188" s="55">
        <v>8</v>
      </c>
      <c r="L1188" s="55">
        <v>0</v>
      </c>
      <c r="M1188" s="55">
        <v>10</v>
      </c>
      <c r="N1188" s="55"/>
      <c r="O1188" s="55"/>
      <c r="P1188" s="55">
        <v>7</v>
      </c>
      <c r="Q1188" s="55"/>
      <c r="R1188" s="56">
        <v>7</v>
      </c>
      <c r="S1188" s="55"/>
      <c r="T1188" s="55"/>
      <c r="U1188" s="55">
        <v>11</v>
      </c>
      <c r="V1188" s="55">
        <v>1</v>
      </c>
      <c r="W1188" s="55"/>
      <c r="X1188" s="55">
        <v>1</v>
      </c>
      <c r="Y1188" s="55"/>
      <c r="Z1188" s="55">
        <v>0</v>
      </c>
      <c r="AA1188" s="55">
        <v>22</v>
      </c>
      <c r="AB1188" s="57">
        <f>100/(SUM(I1188:Z1188))</f>
        <v>1.2820512820512822</v>
      </c>
      <c r="AC1188" s="259">
        <f>SUM(I1188:AA1188)</f>
        <v>100</v>
      </c>
      <c r="AD1188" s="55"/>
      <c r="AE1188" s="55"/>
      <c r="AF1188" s="55"/>
      <c r="AG1188" s="58" t="s">
        <v>155</v>
      </c>
      <c r="AH1188" s="59" t="s">
        <v>993</v>
      </c>
      <c r="AI1188" s="59"/>
      <c r="AJ1188" s="59"/>
      <c r="AK1188" s="53" t="s">
        <v>998</v>
      </c>
      <c r="AL1188" s="58">
        <f>(B1188-DATE(1970,1,1))*86400</f>
        <v>1613779200</v>
      </c>
      <c r="AM1188" s="58">
        <f>(C1188-DATE(1970,1,1))*86400</f>
        <v>1614211200</v>
      </c>
      <c r="AN1188" s="58">
        <f>AVERAGE(AL1188:AM1188)</f>
        <v>1613995200</v>
      </c>
    </row>
    <row r="1189" spans="1:40" ht="15.75" customHeight="1" x14ac:dyDescent="0.2">
      <c r="A1189" s="281" t="s">
        <v>123</v>
      </c>
      <c r="B1189" s="54">
        <v>44247</v>
      </c>
      <c r="C1189" s="54">
        <v>44252</v>
      </c>
      <c r="D1189" s="53" t="s">
        <v>154</v>
      </c>
      <c r="E1189" s="323" t="s">
        <v>125</v>
      </c>
      <c r="F1189" s="53"/>
      <c r="G1189" s="53" t="s">
        <v>126</v>
      </c>
      <c r="H1189" s="357">
        <v>1001</v>
      </c>
      <c r="I1189" s="55">
        <v>45</v>
      </c>
      <c r="J1189" s="55"/>
      <c r="K1189" s="55">
        <v>10</v>
      </c>
      <c r="L1189" s="55">
        <v>1</v>
      </c>
      <c r="M1189" s="55">
        <v>12</v>
      </c>
      <c r="N1189" s="55"/>
      <c r="O1189" s="55"/>
      <c r="P1189" s="55">
        <v>9</v>
      </c>
      <c r="Q1189" s="55"/>
      <c r="R1189" s="56">
        <v>10</v>
      </c>
      <c r="S1189" s="55"/>
      <c r="T1189" s="55"/>
      <c r="U1189" s="55">
        <v>12</v>
      </c>
      <c r="V1189" s="55">
        <v>1</v>
      </c>
      <c r="W1189" s="55"/>
      <c r="X1189" s="55">
        <v>1</v>
      </c>
      <c r="Y1189" s="55"/>
      <c r="Z1189" s="55">
        <v>1</v>
      </c>
      <c r="AA1189" s="55">
        <v>0</v>
      </c>
      <c r="AB1189" s="57">
        <f>100/(SUM(I1189:Z1189))</f>
        <v>0.98039215686274506</v>
      </c>
      <c r="AC1189" s="259">
        <f>SUM(I1189:AA1189)</f>
        <v>102</v>
      </c>
      <c r="AD1189" s="55"/>
      <c r="AE1189" s="55"/>
      <c r="AF1189" s="55"/>
      <c r="AG1189" s="58" t="s">
        <v>155</v>
      </c>
      <c r="AH1189" s="59" t="s">
        <v>993</v>
      </c>
      <c r="AI1189" s="59" t="s">
        <v>994</v>
      </c>
      <c r="AJ1189" s="53" t="s">
        <v>995</v>
      </c>
      <c r="AK1189" s="53" t="s">
        <v>997</v>
      </c>
      <c r="AL1189" s="58">
        <f>(B1189-DATE(1970,1,1))*86400</f>
        <v>1613779200</v>
      </c>
      <c r="AM1189" s="58">
        <f>(C1189-DATE(1970,1,1))*86400</f>
        <v>1614211200</v>
      </c>
      <c r="AN1189" s="58">
        <f>AVERAGE(AL1189:AM1189)</f>
        <v>1613995200</v>
      </c>
    </row>
    <row r="1190" spans="1:40" ht="15.75" customHeight="1" x14ac:dyDescent="0.2">
      <c r="A1190" s="285" t="s">
        <v>133</v>
      </c>
      <c r="B1190" s="34">
        <v>44244</v>
      </c>
      <c r="C1190" s="34">
        <v>44249</v>
      </c>
      <c r="D1190" s="33" t="s">
        <v>143</v>
      </c>
      <c r="E1190" s="319" t="s">
        <v>125</v>
      </c>
      <c r="F1190" s="33"/>
      <c r="G1190" s="33" t="s">
        <v>126</v>
      </c>
      <c r="H1190" s="353">
        <v>1000</v>
      </c>
      <c r="I1190" s="35">
        <v>35</v>
      </c>
      <c r="J1190" s="35"/>
      <c r="K1190" s="35">
        <v>7</v>
      </c>
      <c r="L1190" s="35">
        <v>2</v>
      </c>
      <c r="M1190" s="35">
        <v>5</v>
      </c>
      <c r="N1190" s="35"/>
      <c r="O1190" s="35"/>
      <c r="P1190" s="35">
        <v>7</v>
      </c>
      <c r="Q1190" s="35"/>
      <c r="R1190" s="36">
        <v>3</v>
      </c>
      <c r="S1190" s="35"/>
      <c r="T1190" s="35"/>
      <c r="U1190" s="35"/>
      <c r="V1190" s="35">
        <v>6</v>
      </c>
      <c r="W1190" s="35"/>
      <c r="X1190" s="35">
        <v>2</v>
      </c>
      <c r="Y1190" s="35"/>
      <c r="Z1190" s="35">
        <v>2</v>
      </c>
      <c r="AA1190" s="35">
        <v>31</v>
      </c>
      <c r="AB1190" s="37">
        <f>100/(SUM(I1190:Z1190))</f>
        <v>1.4492753623188406</v>
      </c>
      <c r="AC1190" s="259">
        <f>SUM(I1190:AA1190)</f>
        <v>100</v>
      </c>
      <c r="AD1190" s="35"/>
      <c r="AE1190" s="35"/>
      <c r="AF1190" s="35"/>
      <c r="AG1190" s="39" t="s">
        <v>144</v>
      </c>
      <c r="AH1190" s="33" t="s">
        <v>958</v>
      </c>
      <c r="AI1190" s="38" t="s">
        <v>959</v>
      </c>
      <c r="AJ1190" s="38" t="s">
        <v>999</v>
      </c>
      <c r="AK1190" s="33" t="s">
        <v>931</v>
      </c>
      <c r="AL1190" s="39">
        <f>(B1190-DATE(1970,1,1))*86400</f>
        <v>1613520000</v>
      </c>
      <c r="AM1190" s="39">
        <f>(C1190-DATE(1970,1,1))*86400</f>
        <v>1613952000</v>
      </c>
      <c r="AN1190" s="39">
        <f>AVERAGE(AL1190:AM1190)</f>
        <v>1613736000</v>
      </c>
    </row>
    <row r="1191" spans="1:40" ht="15.75" customHeight="1" x14ac:dyDescent="0.2">
      <c r="A1191" s="285" t="s">
        <v>133</v>
      </c>
      <c r="B1191" s="34">
        <v>44244</v>
      </c>
      <c r="C1191" s="34">
        <v>44249</v>
      </c>
      <c r="D1191" s="33" t="s">
        <v>143</v>
      </c>
      <c r="E1191" s="319" t="s">
        <v>125</v>
      </c>
      <c r="F1191" s="33" t="s">
        <v>390</v>
      </c>
      <c r="G1191" s="33" t="s">
        <v>126</v>
      </c>
      <c r="H1191" s="353">
        <v>1000</v>
      </c>
      <c r="I1191" s="35">
        <v>39</v>
      </c>
      <c r="J1191" s="35"/>
      <c r="K1191" s="35"/>
      <c r="L1191" s="35"/>
      <c r="M1191" s="35"/>
      <c r="N1191" s="35"/>
      <c r="O1191" s="35"/>
      <c r="P1191" s="35"/>
      <c r="Q1191" s="35"/>
      <c r="R1191" s="36"/>
      <c r="S1191" s="35"/>
      <c r="T1191" s="35"/>
      <c r="U1191" s="35">
        <v>30</v>
      </c>
      <c r="V1191" s="35">
        <v>7</v>
      </c>
      <c r="W1191" s="35"/>
      <c r="X1191" s="35">
        <v>3</v>
      </c>
      <c r="Y1191" s="35"/>
      <c r="Z1191" s="35"/>
      <c r="AA1191" s="35">
        <v>21</v>
      </c>
      <c r="AB1191" s="37">
        <f>100/(SUM(I1191:Z1191))</f>
        <v>1.2658227848101267</v>
      </c>
      <c r="AC1191" s="259">
        <f>SUM(I1191:AA1191)</f>
        <v>100</v>
      </c>
      <c r="AD1191" s="35"/>
      <c r="AE1191" s="35"/>
      <c r="AF1191" s="35"/>
      <c r="AG1191" s="39" t="s">
        <v>144</v>
      </c>
      <c r="AH1191" s="33" t="s">
        <v>958</v>
      </c>
      <c r="AI1191" s="38" t="s">
        <v>959</v>
      </c>
      <c r="AJ1191" s="38" t="s">
        <v>999</v>
      </c>
      <c r="AK1191" s="33"/>
      <c r="AL1191" s="39">
        <f>(B1191-DATE(1970,1,1))*86400</f>
        <v>1613520000</v>
      </c>
      <c r="AM1191" s="39">
        <f>(C1191-DATE(1970,1,1))*86400</f>
        <v>1613952000</v>
      </c>
      <c r="AN1191" s="39">
        <f>AVERAGE(AL1191:AM1191)</f>
        <v>1613736000</v>
      </c>
    </row>
    <row r="1192" spans="1:40" ht="15.75" customHeight="1" x14ac:dyDescent="0.2">
      <c r="A1192" s="288" t="s">
        <v>133</v>
      </c>
      <c r="B1192" s="60">
        <v>44242</v>
      </c>
      <c r="C1192" s="60">
        <v>44249</v>
      </c>
      <c r="D1192" s="61" t="s">
        <v>168</v>
      </c>
      <c r="E1192" s="334" t="s">
        <v>125</v>
      </c>
      <c r="F1192" s="61"/>
      <c r="G1192" s="61" t="s">
        <v>126</v>
      </c>
      <c r="H1192" s="334">
        <v>1000</v>
      </c>
      <c r="I1192" s="63">
        <v>30</v>
      </c>
      <c r="J1192" s="63">
        <v>6</v>
      </c>
      <c r="K1192" s="63">
        <v>8</v>
      </c>
      <c r="L1192" s="63">
        <v>1</v>
      </c>
      <c r="M1192" s="63">
        <v>10</v>
      </c>
      <c r="N1192" s="63"/>
      <c r="O1192" s="63">
        <v>1</v>
      </c>
      <c r="P1192" s="63">
        <v>9</v>
      </c>
      <c r="Q1192" s="63"/>
      <c r="R1192" s="64"/>
      <c r="S1192" s="63"/>
      <c r="T1192" s="63"/>
      <c r="U1192" s="63"/>
      <c r="V1192" s="63">
        <v>1</v>
      </c>
      <c r="W1192" s="63"/>
      <c r="X1192" s="63">
        <v>1</v>
      </c>
      <c r="Y1192" s="63"/>
      <c r="Z1192" s="63"/>
      <c r="AA1192" s="63">
        <v>33</v>
      </c>
      <c r="AB1192" s="65">
        <f>100/(SUM(I1192:Z1192))</f>
        <v>1.4925373134328359</v>
      </c>
      <c r="AC1192" s="259">
        <f>SUM(I1192:AA1192)</f>
        <v>100</v>
      </c>
      <c r="AD1192" s="63">
        <v>71</v>
      </c>
      <c r="AE1192" s="63"/>
      <c r="AF1192" s="63"/>
      <c r="AG1192" s="66" t="s">
        <v>127</v>
      </c>
      <c r="AH1192" s="67" t="s">
        <v>1000</v>
      </c>
      <c r="AI1192" s="67" t="s">
        <v>1001</v>
      </c>
      <c r="AJ1192" s="67" t="s">
        <v>1002</v>
      </c>
      <c r="AK1192" s="61" t="s">
        <v>972</v>
      </c>
      <c r="AL1192" s="66">
        <f>(B1192-DATE(1970,1,1))*86400</f>
        <v>1613347200</v>
      </c>
      <c r="AM1192" s="66">
        <f>(C1192-DATE(1970,1,1))*86400</f>
        <v>1613952000</v>
      </c>
      <c r="AN1192" s="66">
        <f>AVERAGE(AL1192:AM1192)</f>
        <v>1613649600</v>
      </c>
    </row>
    <row r="1193" spans="1:40" ht="15.75" customHeight="1" x14ac:dyDescent="0.2">
      <c r="A1193" s="288" t="s">
        <v>133</v>
      </c>
      <c r="B1193" s="60">
        <v>44242</v>
      </c>
      <c r="C1193" s="60">
        <v>44249</v>
      </c>
      <c r="D1193" s="61" t="s">
        <v>168</v>
      </c>
      <c r="E1193" s="334" t="s">
        <v>125</v>
      </c>
      <c r="F1193" s="61"/>
      <c r="G1193" s="61" t="s">
        <v>126</v>
      </c>
      <c r="H1193" s="334">
        <v>1000</v>
      </c>
      <c r="I1193" s="63">
        <v>46</v>
      </c>
      <c r="J1193" s="63">
        <v>8</v>
      </c>
      <c r="K1193" s="63">
        <v>11</v>
      </c>
      <c r="L1193" s="63">
        <v>2</v>
      </c>
      <c r="M1193" s="63">
        <v>15</v>
      </c>
      <c r="N1193" s="63"/>
      <c r="O1193" s="63">
        <v>2</v>
      </c>
      <c r="P1193" s="63">
        <v>13</v>
      </c>
      <c r="Q1193" s="63"/>
      <c r="R1193" s="64"/>
      <c r="S1193" s="63"/>
      <c r="T1193" s="63"/>
      <c r="U1193" s="63"/>
      <c r="V1193" s="63">
        <v>2</v>
      </c>
      <c r="W1193" s="63"/>
      <c r="X1193" s="63">
        <v>1</v>
      </c>
      <c r="Y1193" s="63"/>
      <c r="Z1193" s="63"/>
      <c r="AA1193" s="63">
        <v>0</v>
      </c>
      <c r="AB1193" s="65">
        <f>100/(SUM(I1193:Z1193))</f>
        <v>1</v>
      </c>
      <c r="AC1193" s="259">
        <f>SUM(I1193:AA1193)</f>
        <v>100</v>
      </c>
      <c r="AD1193" s="63"/>
      <c r="AE1193" s="63"/>
      <c r="AF1193" s="63"/>
      <c r="AG1193" s="66" t="s">
        <v>127</v>
      </c>
      <c r="AH1193" s="67" t="s">
        <v>1000</v>
      </c>
      <c r="AI1193" s="67" t="s">
        <v>1001</v>
      </c>
      <c r="AJ1193" s="67" t="s">
        <v>1002</v>
      </c>
      <c r="AK1193" s="61" t="s">
        <v>885</v>
      </c>
      <c r="AL1193" s="66">
        <f>(B1193-DATE(1970,1,1))*86400</f>
        <v>1613347200</v>
      </c>
      <c r="AM1193" s="66">
        <f>(C1193-DATE(1970,1,1))*86400</f>
        <v>1613952000</v>
      </c>
      <c r="AN1193" s="66">
        <f>AVERAGE(AL1193:AM1193)</f>
        <v>1613649600</v>
      </c>
    </row>
    <row r="1194" spans="1:40" ht="15.75" customHeight="1" x14ac:dyDescent="0.2">
      <c r="A1194" s="279" t="s">
        <v>133</v>
      </c>
      <c r="B1194" s="14">
        <v>44243</v>
      </c>
      <c r="C1194" s="14">
        <v>44245</v>
      </c>
      <c r="D1194" s="13" t="s">
        <v>124</v>
      </c>
      <c r="E1194" s="324" t="s">
        <v>125</v>
      </c>
      <c r="F1194" s="13" t="s">
        <v>140</v>
      </c>
      <c r="G1194" s="13" t="s">
        <v>126</v>
      </c>
      <c r="H1194" s="372">
        <v>1000</v>
      </c>
      <c r="I1194" s="15"/>
      <c r="J1194" s="15"/>
      <c r="K1194" s="15"/>
      <c r="L1194" s="15"/>
      <c r="M1194" s="15"/>
      <c r="N1194" s="15"/>
      <c r="O1194" s="15"/>
      <c r="P1194" s="15"/>
      <c r="Q1194" s="15"/>
      <c r="R1194" s="15"/>
      <c r="S1194" s="15"/>
      <c r="T1194" s="15"/>
      <c r="U1194" s="15"/>
      <c r="V1194" s="15"/>
      <c r="W1194" s="15"/>
      <c r="X1194" s="15"/>
      <c r="Y1194" s="15"/>
      <c r="Z1194" s="15"/>
      <c r="AA1194" s="15"/>
      <c r="AB1194" s="16" t="e">
        <f>100/(SUM(I1194:Z1194))</f>
        <v>#DIV/0!</v>
      </c>
      <c r="AC1194" s="259">
        <f>SUM(I1194:AA1194)</f>
        <v>0</v>
      </c>
      <c r="AD1194" s="15"/>
      <c r="AE1194" s="15"/>
      <c r="AF1194" s="15"/>
      <c r="AG1194" s="17" t="s">
        <v>127</v>
      </c>
      <c r="AH1194" s="18"/>
      <c r="AI1194" s="18"/>
      <c r="AJ1194" s="18" t="s">
        <v>1003</v>
      </c>
      <c r="AK1194" s="13"/>
      <c r="AL1194" s="17">
        <f>(B1194-DATE(1970,1,1))*86400</f>
        <v>1613433600</v>
      </c>
      <c r="AM1194" s="17">
        <f>(C1194-DATE(1970,1,1))*86400</f>
        <v>1613606400</v>
      </c>
      <c r="AN1194" s="17">
        <f>AVERAGE(AL1194:AM1194)</f>
        <v>1613520000</v>
      </c>
    </row>
    <row r="1195" spans="1:40" ht="15.75" customHeight="1" x14ac:dyDescent="0.2">
      <c r="A1195" s="279" t="s">
        <v>123</v>
      </c>
      <c r="B1195" s="14">
        <v>44243</v>
      </c>
      <c r="C1195" s="14">
        <v>44245</v>
      </c>
      <c r="D1195" s="13" t="s">
        <v>124</v>
      </c>
      <c r="E1195" s="324" t="s">
        <v>125</v>
      </c>
      <c r="F1195" s="13" t="s">
        <v>140</v>
      </c>
      <c r="G1195" s="13" t="s">
        <v>126</v>
      </c>
      <c r="H1195" s="372">
        <v>1000</v>
      </c>
      <c r="I1195" s="15"/>
      <c r="J1195" s="15"/>
      <c r="K1195" s="15"/>
      <c r="L1195" s="15"/>
      <c r="M1195" s="15"/>
      <c r="N1195" s="15"/>
      <c r="O1195" s="15"/>
      <c r="P1195" s="15"/>
      <c r="Q1195" s="15"/>
      <c r="R1195" s="15"/>
      <c r="S1195" s="15"/>
      <c r="T1195" s="15"/>
      <c r="U1195" s="15"/>
      <c r="V1195" s="15"/>
      <c r="W1195" s="15"/>
      <c r="X1195" s="15"/>
      <c r="Y1195" s="15"/>
      <c r="Z1195" s="15"/>
      <c r="AA1195" s="15"/>
      <c r="AB1195" s="16" t="e">
        <f>100/(SUM(I1195:Z1195))</f>
        <v>#DIV/0!</v>
      </c>
      <c r="AC1195" s="259">
        <f>SUM(I1195:AA1195)</f>
        <v>0</v>
      </c>
      <c r="AD1195" s="15"/>
      <c r="AE1195" s="15"/>
      <c r="AF1195" s="15"/>
      <c r="AG1195" s="17" t="s">
        <v>127</v>
      </c>
      <c r="AH1195" s="18"/>
      <c r="AI1195" s="18"/>
      <c r="AJ1195" s="18" t="s">
        <v>1003</v>
      </c>
      <c r="AK1195" s="13"/>
      <c r="AL1195" s="17">
        <f>(B1195-DATE(1970,1,1))*86400</f>
        <v>1613433600</v>
      </c>
      <c r="AM1195" s="17">
        <f>(C1195-DATE(1970,1,1))*86400</f>
        <v>1613606400</v>
      </c>
      <c r="AN1195" s="17">
        <f>AVERAGE(AL1195:AM1195)</f>
        <v>1613520000</v>
      </c>
    </row>
    <row r="1196" spans="1:40" ht="15.75" customHeight="1" x14ac:dyDescent="0.2">
      <c r="A1196" s="279" t="s">
        <v>133</v>
      </c>
      <c r="B1196" s="143">
        <v>44228</v>
      </c>
      <c r="C1196" s="143">
        <v>44255</v>
      </c>
      <c r="D1196" s="13" t="s">
        <v>124</v>
      </c>
      <c r="E1196" s="324" t="s">
        <v>125</v>
      </c>
      <c r="F1196" s="13" t="s">
        <v>140</v>
      </c>
      <c r="G1196" s="144" t="s">
        <v>126</v>
      </c>
      <c r="H1196" s="376">
        <v>1000</v>
      </c>
      <c r="I1196" s="15">
        <v>39</v>
      </c>
      <c r="J1196" s="15"/>
      <c r="K1196" s="15"/>
      <c r="L1196" s="15"/>
      <c r="M1196" s="15"/>
      <c r="N1196" s="15"/>
      <c r="O1196" s="15"/>
      <c r="P1196" s="15"/>
      <c r="Q1196" s="15"/>
      <c r="R1196" s="15"/>
      <c r="S1196" s="15"/>
      <c r="T1196" s="15"/>
      <c r="U1196" s="15">
        <v>39</v>
      </c>
      <c r="V1196" s="15"/>
      <c r="W1196" s="15"/>
      <c r="X1196" s="15"/>
      <c r="Y1196" s="15"/>
      <c r="Z1196" s="15"/>
      <c r="AA1196" s="15"/>
      <c r="AB1196" s="16">
        <f>100/(SUM(I1196:Z1196))</f>
        <v>1.2820512820512822</v>
      </c>
      <c r="AC1196" s="259">
        <f>SUM(I1196:AA1196)</f>
        <v>78</v>
      </c>
      <c r="AD1196" s="15"/>
      <c r="AE1196" s="15"/>
      <c r="AF1196" s="15"/>
      <c r="AG1196" s="17" t="s">
        <v>127</v>
      </c>
      <c r="AH1196" s="18"/>
      <c r="AI1196" s="18"/>
      <c r="AJ1196" s="18" t="s">
        <v>937</v>
      </c>
      <c r="AK1196" s="13"/>
      <c r="AL1196" s="17">
        <f>(B1196-DATE(1970,1,1))*86400</f>
        <v>1612137600</v>
      </c>
      <c r="AM1196" s="17">
        <f>(C1196-DATE(1970,1,1))*86400</f>
        <v>1614470400</v>
      </c>
      <c r="AN1196" s="17">
        <f>AVERAGE(AL1196:AM1196)</f>
        <v>1613304000</v>
      </c>
    </row>
    <row r="1197" spans="1:40" ht="15.75" customHeight="1" x14ac:dyDescent="0.2">
      <c r="A1197" s="286" t="s">
        <v>133</v>
      </c>
      <c r="B1197" s="41">
        <v>44232</v>
      </c>
      <c r="C1197" s="41">
        <v>44240</v>
      </c>
      <c r="D1197" s="40" t="s">
        <v>148</v>
      </c>
      <c r="E1197" s="325" t="s">
        <v>125</v>
      </c>
      <c r="F1197" s="40"/>
      <c r="G1197" s="40" t="s">
        <v>149</v>
      </c>
      <c r="H1197" s="325">
        <v>1000</v>
      </c>
      <c r="I1197" s="42">
        <v>31</v>
      </c>
      <c r="J1197" s="42">
        <v>5</v>
      </c>
      <c r="K1197" s="42">
        <v>9</v>
      </c>
      <c r="L1197" s="42">
        <v>2</v>
      </c>
      <c r="M1197" s="42">
        <v>10</v>
      </c>
      <c r="N1197" s="42"/>
      <c r="O1197" s="42">
        <v>1</v>
      </c>
      <c r="P1197" s="42">
        <v>6</v>
      </c>
      <c r="Q1197" s="42"/>
      <c r="R1197" s="43"/>
      <c r="S1197" s="42"/>
      <c r="T1197" s="42"/>
      <c r="U1197" s="42"/>
      <c r="V1197" s="42">
        <v>2</v>
      </c>
      <c r="W1197" s="42"/>
      <c r="X1197" s="42">
        <v>1</v>
      </c>
      <c r="Y1197" s="42"/>
      <c r="Z1197" s="42">
        <v>1</v>
      </c>
      <c r="AA1197" s="42">
        <v>32</v>
      </c>
      <c r="AB1197" s="44">
        <f>100/(SUM(I1197:Z1197))</f>
        <v>1.4705882352941178</v>
      </c>
      <c r="AC1197" s="259">
        <f>SUM(I1197:AA1197)</f>
        <v>100</v>
      </c>
      <c r="AD1197" s="42"/>
      <c r="AE1197" s="42"/>
      <c r="AF1197" s="42"/>
      <c r="AG1197" s="45" t="s">
        <v>391</v>
      </c>
      <c r="AH1197" s="46" t="s">
        <v>1004</v>
      </c>
      <c r="AI1197" s="132" t="s">
        <v>1005</v>
      </c>
      <c r="AJ1197" s="46" t="s">
        <v>1006</v>
      </c>
      <c r="AK1197" s="40"/>
      <c r="AL1197" s="45">
        <f>(B1197-DATE(1970,1,1))*86400</f>
        <v>1612483200</v>
      </c>
      <c r="AM1197" s="45">
        <f>(C1197-DATE(1970,1,1))*86400</f>
        <v>1613174400</v>
      </c>
      <c r="AN1197" s="45">
        <f>AVERAGE(AL1197:AM1197)</f>
        <v>1612828800</v>
      </c>
    </row>
    <row r="1198" spans="1:40" ht="15.75" customHeight="1" x14ac:dyDescent="0.2">
      <c r="A1198" s="286" t="s">
        <v>133</v>
      </c>
      <c r="B1198" s="41">
        <v>44232</v>
      </c>
      <c r="C1198" s="41">
        <v>44240</v>
      </c>
      <c r="D1198" s="40" t="s">
        <v>148</v>
      </c>
      <c r="E1198" s="325" t="s">
        <v>125</v>
      </c>
      <c r="F1198" s="40" t="s">
        <v>390</v>
      </c>
      <c r="G1198" s="40" t="s">
        <v>149</v>
      </c>
      <c r="H1198" s="325">
        <v>1000</v>
      </c>
      <c r="I1198" s="42">
        <v>36</v>
      </c>
      <c r="J1198" s="42"/>
      <c r="K1198" s="42"/>
      <c r="L1198" s="42"/>
      <c r="M1198" s="42"/>
      <c r="N1198" s="42"/>
      <c r="O1198" s="42"/>
      <c r="P1198" s="42"/>
      <c r="Q1198" s="42"/>
      <c r="R1198" s="43"/>
      <c r="S1198" s="42"/>
      <c r="T1198" s="42"/>
      <c r="U1198" s="42">
        <v>38</v>
      </c>
      <c r="V1198" s="42"/>
      <c r="W1198" s="42"/>
      <c r="X1198" s="42"/>
      <c r="Y1198" s="42"/>
      <c r="Z1198" s="42">
        <v>3</v>
      </c>
      <c r="AA1198" s="42">
        <v>23</v>
      </c>
      <c r="AB1198" s="44">
        <f>100/(SUM(I1198:Z1198))</f>
        <v>1.2987012987012987</v>
      </c>
      <c r="AC1198" s="259">
        <f>SUM(I1198:AA1198)</f>
        <v>100</v>
      </c>
      <c r="AD1198" s="42"/>
      <c r="AE1198" s="42"/>
      <c r="AF1198" s="42"/>
      <c r="AG1198" s="45" t="s">
        <v>391</v>
      </c>
      <c r="AH1198" s="46" t="s">
        <v>1004</v>
      </c>
      <c r="AI1198" s="132" t="s">
        <v>1005</v>
      </c>
      <c r="AJ1198" s="46" t="s">
        <v>1006</v>
      </c>
      <c r="AK1198" s="40" t="s">
        <v>1007</v>
      </c>
      <c r="AL1198" s="45">
        <f>(B1198-DATE(1970,1,1))*86400</f>
        <v>1612483200</v>
      </c>
      <c r="AM1198" s="45">
        <f>(C1198-DATE(1970,1,1))*86400</f>
        <v>1613174400</v>
      </c>
      <c r="AN1198" s="45">
        <f>AVERAGE(AL1198:AM1198)</f>
        <v>1612828800</v>
      </c>
    </row>
    <row r="1199" spans="1:40" ht="15.75" customHeight="1" x14ac:dyDescent="0.2">
      <c r="A1199" s="286" t="s">
        <v>123</v>
      </c>
      <c r="B1199" s="41">
        <v>44232</v>
      </c>
      <c r="C1199" s="41">
        <v>44240</v>
      </c>
      <c r="D1199" s="40" t="s">
        <v>148</v>
      </c>
      <c r="E1199" s="325" t="s">
        <v>125</v>
      </c>
      <c r="F1199" s="40" t="s">
        <v>390</v>
      </c>
      <c r="G1199" s="40" t="s">
        <v>149</v>
      </c>
      <c r="H1199" s="325">
        <v>1000</v>
      </c>
      <c r="I1199" s="42">
        <v>47</v>
      </c>
      <c r="J1199" s="42"/>
      <c r="K1199" s="42"/>
      <c r="L1199" s="42"/>
      <c r="M1199" s="42"/>
      <c r="N1199" s="42"/>
      <c r="O1199" s="42"/>
      <c r="P1199" s="42"/>
      <c r="Q1199" s="42"/>
      <c r="R1199" s="43"/>
      <c r="S1199" s="42"/>
      <c r="T1199" s="42"/>
      <c r="U1199" s="42">
        <v>50</v>
      </c>
      <c r="V1199" s="42"/>
      <c r="W1199" s="42"/>
      <c r="X1199" s="42"/>
      <c r="Y1199" s="42"/>
      <c r="Z1199" s="42">
        <v>3</v>
      </c>
      <c r="AA1199" s="42">
        <v>0</v>
      </c>
      <c r="AB1199" s="44">
        <f>100/(SUM(I1199:Z1199))</f>
        <v>1</v>
      </c>
      <c r="AC1199" s="259">
        <f>SUM(I1199:AA1199)</f>
        <v>100</v>
      </c>
      <c r="AD1199" s="42"/>
      <c r="AE1199" s="42"/>
      <c r="AF1199" s="42"/>
      <c r="AG1199" s="45" t="s">
        <v>391</v>
      </c>
      <c r="AH1199" s="46" t="s">
        <v>1004</v>
      </c>
      <c r="AI1199" s="132" t="s">
        <v>1005</v>
      </c>
      <c r="AJ1199" s="46" t="s">
        <v>1006</v>
      </c>
      <c r="AK1199" s="40"/>
      <c r="AL1199" s="45">
        <f>(B1199-DATE(1970,1,1))*86400</f>
        <v>1612483200</v>
      </c>
      <c r="AM1199" s="45">
        <f>(C1199-DATE(1970,1,1))*86400</f>
        <v>1613174400</v>
      </c>
      <c r="AN1199" s="45">
        <f>AVERAGE(AL1199:AM1199)</f>
        <v>1612828800</v>
      </c>
    </row>
    <row r="1200" spans="1:40" ht="15.75" customHeight="1" x14ac:dyDescent="0.2">
      <c r="A1200" s="286" t="s">
        <v>123</v>
      </c>
      <c r="B1200" s="41">
        <v>44232</v>
      </c>
      <c r="C1200" s="41">
        <v>44240</v>
      </c>
      <c r="D1200" s="40" t="s">
        <v>148</v>
      </c>
      <c r="E1200" s="325" t="s">
        <v>125</v>
      </c>
      <c r="F1200" s="40"/>
      <c r="G1200" s="40" t="s">
        <v>149</v>
      </c>
      <c r="H1200" s="325">
        <v>1000</v>
      </c>
      <c r="I1200" s="42">
        <v>47</v>
      </c>
      <c r="J1200" s="42">
        <v>8</v>
      </c>
      <c r="K1200" s="42">
        <v>12</v>
      </c>
      <c r="L1200" s="42">
        <v>3</v>
      </c>
      <c r="M1200" s="42">
        <v>18</v>
      </c>
      <c r="N1200" s="42"/>
      <c r="O1200" s="42">
        <v>1</v>
      </c>
      <c r="P1200" s="42">
        <v>9</v>
      </c>
      <c r="Q1200" s="42"/>
      <c r="R1200" s="43"/>
      <c r="S1200" s="42"/>
      <c r="T1200" s="42"/>
      <c r="U1200" s="42"/>
      <c r="V1200" s="42">
        <v>1</v>
      </c>
      <c r="W1200" s="42"/>
      <c r="X1200" s="42">
        <v>1</v>
      </c>
      <c r="Y1200" s="42"/>
      <c r="Z1200" s="42">
        <v>0</v>
      </c>
      <c r="AA1200" s="42">
        <v>0</v>
      </c>
      <c r="AB1200" s="44">
        <f>100/(SUM(I1200:Z1200))</f>
        <v>1</v>
      </c>
      <c r="AC1200" s="259">
        <f>SUM(I1200:AA1200)</f>
        <v>100</v>
      </c>
      <c r="AD1200" s="42"/>
      <c r="AE1200" s="42"/>
      <c r="AF1200" s="42"/>
      <c r="AG1200" s="45" t="s">
        <v>391</v>
      </c>
      <c r="AH1200" s="46" t="s">
        <v>1004</v>
      </c>
      <c r="AI1200" s="132" t="s">
        <v>1927</v>
      </c>
      <c r="AJ1200" s="46" t="s">
        <v>1006</v>
      </c>
      <c r="AK1200" s="40"/>
      <c r="AL1200" s="45">
        <f>(B1200-DATE(1970,1,1))*86400</f>
        <v>1612483200</v>
      </c>
      <c r="AM1200" s="45">
        <f>(C1200-DATE(1970,1,1))*86400</f>
        <v>1613174400</v>
      </c>
      <c r="AN1200" s="45">
        <f>AVERAGE(AL1200:AM1200)</f>
        <v>1612828800</v>
      </c>
    </row>
    <row r="1201" spans="1:40" ht="15.75" customHeight="1" x14ac:dyDescent="0.2">
      <c r="A1201" s="279" t="s">
        <v>133</v>
      </c>
      <c r="B1201" s="14">
        <v>44222</v>
      </c>
      <c r="C1201" s="14">
        <v>44224</v>
      </c>
      <c r="D1201" s="13" t="s">
        <v>124</v>
      </c>
      <c r="E1201" s="324" t="s">
        <v>125</v>
      </c>
      <c r="F1201" s="13" t="s">
        <v>140</v>
      </c>
      <c r="G1201" s="13" t="s">
        <v>126</v>
      </c>
      <c r="H1201" s="372">
        <v>1000</v>
      </c>
      <c r="I1201" s="15"/>
      <c r="J1201" s="15"/>
      <c r="K1201" s="15"/>
      <c r="L1201" s="15"/>
      <c r="M1201" s="15"/>
      <c r="N1201" s="15"/>
      <c r="O1201" s="15"/>
      <c r="P1201" s="15"/>
      <c r="Q1201" s="15"/>
      <c r="R1201" s="15"/>
      <c r="S1201" s="15"/>
      <c r="T1201" s="15"/>
      <c r="U1201" s="15"/>
      <c r="V1201" s="15"/>
      <c r="W1201" s="15"/>
      <c r="X1201" s="15"/>
      <c r="Y1201" s="15"/>
      <c r="Z1201" s="15"/>
      <c r="AA1201" s="15"/>
      <c r="AB1201" s="16" t="e">
        <f>100/(SUM(I1201:Z1201))</f>
        <v>#DIV/0!</v>
      </c>
      <c r="AC1201" s="259">
        <f>SUM(I1201:AA1201)</f>
        <v>0</v>
      </c>
      <c r="AD1201" s="15"/>
      <c r="AE1201" s="15"/>
      <c r="AF1201" s="15"/>
      <c r="AG1201" s="17" t="s">
        <v>365</v>
      </c>
      <c r="AH1201" s="18"/>
      <c r="AI1201" s="18"/>
      <c r="AJ1201" s="18" t="s">
        <v>1008</v>
      </c>
      <c r="AK1201" s="13"/>
      <c r="AL1201" s="17">
        <f>(B1201-DATE(1970,1,1))*86400</f>
        <v>1611619200</v>
      </c>
      <c r="AM1201" s="17">
        <f>(C1201-DATE(1970,1,1))*86400</f>
        <v>1611792000</v>
      </c>
      <c r="AN1201" s="17">
        <f>AVERAGE(AL1201:AM1201)</f>
        <v>1611705600</v>
      </c>
    </row>
    <row r="1202" spans="1:40" ht="15.75" customHeight="1" x14ac:dyDescent="0.2">
      <c r="A1202" s="279" t="s">
        <v>123</v>
      </c>
      <c r="B1202" s="14">
        <v>44222</v>
      </c>
      <c r="C1202" s="14">
        <v>44224</v>
      </c>
      <c r="D1202" s="13" t="s">
        <v>124</v>
      </c>
      <c r="E1202" s="324" t="s">
        <v>125</v>
      </c>
      <c r="F1202" s="13" t="s">
        <v>140</v>
      </c>
      <c r="G1202" s="13" t="s">
        <v>126</v>
      </c>
      <c r="H1202" s="372">
        <v>1000</v>
      </c>
      <c r="I1202" s="15"/>
      <c r="J1202" s="15"/>
      <c r="K1202" s="15"/>
      <c r="L1202" s="15"/>
      <c r="M1202" s="15"/>
      <c r="N1202" s="15"/>
      <c r="O1202" s="15"/>
      <c r="P1202" s="15"/>
      <c r="Q1202" s="15"/>
      <c r="R1202" s="15"/>
      <c r="S1202" s="15"/>
      <c r="T1202" s="15"/>
      <c r="U1202" s="15"/>
      <c r="V1202" s="15"/>
      <c r="W1202" s="15"/>
      <c r="X1202" s="15"/>
      <c r="Y1202" s="15"/>
      <c r="Z1202" s="15"/>
      <c r="AA1202" s="15"/>
      <c r="AB1202" s="16" t="e">
        <f>100/(SUM(I1202:Z1202))</f>
        <v>#DIV/0!</v>
      </c>
      <c r="AC1202" s="259">
        <f>SUM(I1202:AA1202)</f>
        <v>0</v>
      </c>
      <c r="AD1202" s="15"/>
      <c r="AE1202" s="15"/>
      <c r="AF1202" s="15"/>
      <c r="AG1202" s="17" t="s">
        <v>365</v>
      </c>
      <c r="AH1202" s="18"/>
      <c r="AI1202" s="18"/>
      <c r="AJ1202" s="18" t="s">
        <v>1009</v>
      </c>
      <c r="AK1202" s="13" t="s">
        <v>1010</v>
      </c>
      <c r="AL1202" s="17">
        <f>(B1202-DATE(1970,1,1))*86400</f>
        <v>1611619200</v>
      </c>
      <c r="AM1202" s="17">
        <f>(C1202-DATE(1970,1,1))*86400</f>
        <v>1611792000</v>
      </c>
      <c r="AN1202" s="17">
        <f>AVERAGE(AL1202:AM1202)</f>
        <v>1611705600</v>
      </c>
    </row>
    <row r="1203" spans="1:40" ht="15.75" customHeight="1" x14ac:dyDescent="0.2">
      <c r="A1203" s="281" t="s">
        <v>133</v>
      </c>
      <c r="B1203" s="54">
        <v>44222</v>
      </c>
      <c r="C1203" s="54">
        <v>44224</v>
      </c>
      <c r="D1203" s="53" t="s">
        <v>154</v>
      </c>
      <c r="E1203" s="323" t="s">
        <v>125</v>
      </c>
      <c r="F1203" s="53" t="s">
        <v>2495</v>
      </c>
      <c r="G1203" s="53" t="s">
        <v>126</v>
      </c>
      <c r="H1203" s="357">
        <v>1138</v>
      </c>
      <c r="I1203" s="55"/>
      <c r="J1203" s="55"/>
      <c r="K1203" s="55"/>
      <c r="L1203" s="55"/>
      <c r="M1203" s="55"/>
      <c r="N1203" s="55"/>
      <c r="O1203" s="55"/>
      <c r="P1203" s="55"/>
      <c r="Q1203" s="55"/>
      <c r="R1203" s="56"/>
      <c r="S1203" s="55"/>
      <c r="T1203" s="55"/>
      <c r="U1203" s="55"/>
      <c r="V1203" s="55"/>
      <c r="W1203" s="55"/>
      <c r="X1203" s="55"/>
      <c r="Y1203" s="55"/>
      <c r="Z1203" s="55"/>
      <c r="AA1203" s="55"/>
      <c r="AB1203" s="57" t="e">
        <f>100/(SUM(I1203:Z1203))</f>
        <v>#DIV/0!</v>
      </c>
      <c r="AC1203" s="259">
        <f>SUM(I1203:AA1203)</f>
        <v>0</v>
      </c>
      <c r="AD1203" s="55"/>
      <c r="AE1203" s="55"/>
      <c r="AF1203" s="55"/>
      <c r="AG1203" s="58" t="s">
        <v>155</v>
      </c>
      <c r="AH1203" s="59" t="s">
        <v>1011</v>
      </c>
      <c r="AI1203" s="59" t="s">
        <v>1012</v>
      </c>
      <c r="AJ1203" s="59"/>
      <c r="AK1203" s="53" t="s">
        <v>1013</v>
      </c>
      <c r="AL1203" s="58">
        <f>(B1203-DATE(1970,1,1))*86400</f>
        <v>1611619200</v>
      </c>
      <c r="AM1203" s="58">
        <f>(C1203-DATE(1970,1,1))*86400</f>
        <v>1611792000</v>
      </c>
      <c r="AN1203" s="58">
        <f>AVERAGE(AL1203:AM1203)</f>
        <v>1611705600</v>
      </c>
    </row>
    <row r="1204" spans="1:40" ht="15.75" customHeight="1" x14ac:dyDescent="0.2">
      <c r="A1204" s="284" t="s">
        <v>133</v>
      </c>
      <c r="B1204" s="20">
        <v>44218</v>
      </c>
      <c r="C1204" s="20">
        <v>44222</v>
      </c>
      <c r="D1204" s="19" t="s">
        <v>134</v>
      </c>
      <c r="E1204" s="332" t="s">
        <v>125</v>
      </c>
      <c r="F1204" s="19"/>
      <c r="G1204" s="19" t="s">
        <v>135</v>
      </c>
      <c r="H1204" s="332">
        <v>2000</v>
      </c>
      <c r="I1204" s="21">
        <v>31</v>
      </c>
      <c r="J1204" s="21"/>
      <c r="K1204" s="21">
        <v>8</v>
      </c>
      <c r="L1204" s="21">
        <v>2</v>
      </c>
      <c r="M1204" s="21">
        <v>12</v>
      </c>
      <c r="N1204" s="21"/>
      <c r="O1204" s="21"/>
      <c r="P1204" s="21">
        <v>7</v>
      </c>
      <c r="Q1204" s="21"/>
      <c r="R1204" s="22">
        <v>7</v>
      </c>
      <c r="S1204" s="21"/>
      <c r="T1204" s="21"/>
      <c r="U1204" s="21"/>
      <c r="V1204" s="21">
        <v>3</v>
      </c>
      <c r="W1204" s="21"/>
      <c r="X1204" s="21">
        <v>2</v>
      </c>
      <c r="Y1204" s="21"/>
      <c r="Z1204" s="21">
        <v>1</v>
      </c>
      <c r="AA1204" s="21">
        <v>27</v>
      </c>
      <c r="AB1204" s="23">
        <f>100/(SUM(I1204:Z1204))</f>
        <v>1.3698630136986301</v>
      </c>
      <c r="AC1204" s="259">
        <f>SUM(I1204:AA1204)</f>
        <v>100</v>
      </c>
      <c r="AD1204" s="24"/>
      <c r="AE1204" s="24"/>
      <c r="AF1204" s="24"/>
      <c r="AG1204" s="25" t="s">
        <v>127</v>
      </c>
      <c r="AH1204" s="26" t="s">
        <v>1014</v>
      </c>
      <c r="AI1204" s="83"/>
      <c r="AJ1204" s="83" t="s">
        <v>1016</v>
      </c>
      <c r="AK1204" s="19" t="s">
        <v>882</v>
      </c>
      <c r="AL1204" s="25">
        <f>(B1204-DATE(1970,1,1))*86400</f>
        <v>1611273600</v>
      </c>
      <c r="AM1204" s="25">
        <f>(C1204-DATE(1970,1,1))*86400</f>
        <v>1611619200</v>
      </c>
      <c r="AN1204" s="25">
        <f>AVERAGE(AL1204:AM1204)</f>
        <v>1611446400</v>
      </c>
    </row>
    <row r="1205" spans="1:40" ht="15.75" customHeight="1" x14ac:dyDescent="0.2">
      <c r="A1205" s="284" t="s">
        <v>133</v>
      </c>
      <c r="B1205" s="20">
        <v>44218</v>
      </c>
      <c r="C1205" s="20">
        <v>44222</v>
      </c>
      <c r="D1205" s="19" t="s">
        <v>134</v>
      </c>
      <c r="E1205" s="332" t="s">
        <v>125</v>
      </c>
      <c r="F1205" s="19" t="s">
        <v>390</v>
      </c>
      <c r="G1205" s="19" t="s">
        <v>135</v>
      </c>
      <c r="H1205" s="332">
        <v>2000</v>
      </c>
      <c r="I1205" s="21">
        <v>34</v>
      </c>
      <c r="J1205" s="21"/>
      <c r="K1205" s="21"/>
      <c r="L1205" s="21"/>
      <c r="M1205" s="21"/>
      <c r="N1205" s="21"/>
      <c r="O1205" s="21"/>
      <c r="P1205" s="21"/>
      <c r="Q1205" s="21"/>
      <c r="R1205" s="22"/>
      <c r="S1205" s="21"/>
      <c r="T1205" s="21"/>
      <c r="U1205" s="21">
        <v>39</v>
      </c>
      <c r="V1205" s="21">
        <v>3</v>
      </c>
      <c r="W1205" s="21"/>
      <c r="X1205" s="21">
        <v>2</v>
      </c>
      <c r="Y1205" s="21"/>
      <c r="Z1205" s="21">
        <v>2</v>
      </c>
      <c r="AA1205" s="21">
        <v>20</v>
      </c>
      <c r="AB1205" s="23">
        <f>100/(SUM(I1205:Z1205))</f>
        <v>1.25</v>
      </c>
      <c r="AC1205" s="259">
        <f>SUM(I1205:AA1205)</f>
        <v>100</v>
      </c>
      <c r="AD1205" s="24"/>
      <c r="AE1205" s="24"/>
      <c r="AF1205" s="24"/>
      <c r="AG1205" s="25" t="s">
        <v>127</v>
      </c>
      <c r="AH1205" s="26" t="s">
        <v>1014</v>
      </c>
      <c r="AI1205" s="19" t="s">
        <v>1015</v>
      </c>
      <c r="AJ1205" s="83" t="s">
        <v>1016</v>
      </c>
      <c r="AK1205" s="19" t="s">
        <v>991</v>
      </c>
      <c r="AL1205" s="25">
        <f>(B1205-DATE(1970,1,1))*86400</f>
        <v>1611273600</v>
      </c>
      <c r="AM1205" s="25">
        <f>(C1205-DATE(1970,1,1))*86400</f>
        <v>1611619200</v>
      </c>
      <c r="AN1205" s="25">
        <f>AVERAGE(AL1205:AM1205)</f>
        <v>1611446400</v>
      </c>
    </row>
    <row r="1206" spans="1:40" ht="15.75" customHeight="1" x14ac:dyDescent="0.2">
      <c r="A1206" s="284" t="s">
        <v>123</v>
      </c>
      <c r="B1206" s="20">
        <v>44218</v>
      </c>
      <c r="C1206" s="20">
        <v>44222</v>
      </c>
      <c r="D1206" s="19" t="s">
        <v>134</v>
      </c>
      <c r="E1206" s="332" t="s">
        <v>125</v>
      </c>
      <c r="F1206" s="19" t="s">
        <v>390</v>
      </c>
      <c r="G1206" s="19" t="s">
        <v>135</v>
      </c>
      <c r="H1206" s="332">
        <v>2000</v>
      </c>
      <c r="I1206" s="21">
        <v>44</v>
      </c>
      <c r="J1206" s="21"/>
      <c r="K1206" s="21"/>
      <c r="L1206" s="21"/>
      <c r="M1206" s="21"/>
      <c r="N1206" s="21"/>
      <c r="O1206" s="21"/>
      <c r="P1206" s="21"/>
      <c r="Q1206" s="21"/>
      <c r="R1206" s="22"/>
      <c r="S1206" s="21"/>
      <c r="T1206" s="21"/>
      <c r="U1206" s="21">
        <v>47</v>
      </c>
      <c r="V1206" s="21">
        <v>4</v>
      </c>
      <c r="W1206" s="21"/>
      <c r="X1206" s="21">
        <v>3</v>
      </c>
      <c r="Y1206" s="21"/>
      <c r="Z1206" s="21">
        <v>0</v>
      </c>
      <c r="AA1206" s="21">
        <v>2</v>
      </c>
      <c r="AB1206" s="23">
        <f>100/(SUM(I1206:Z1206))</f>
        <v>1.0204081632653061</v>
      </c>
      <c r="AC1206" s="259">
        <f>SUM(I1206:AA1206)</f>
        <v>100</v>
      </c>
      <c r="AD1206" s="24"/>
      <c r="AE1206" s="24"/>
      <c r="AF1206" s="24"/>
      <c r="AG1206" s="25" t="s">
        <v>127</v>
      </c>
      <c r="AH1206" s="26" t="s">
        <v>1014</v>
      </c>
      <c r="AI1206" s="19" t="s">
        <v>1017</v>
      </c>
      <c r="AJ1206" s="83" t="s">
        <v>1016</v>
      </c>
      <c r="AK1206" s="19" t="s">
        <v>991</v>
      </c>
      <c r="AL1206" s="25">
        <f>(B1206-DATE(1970,1,1))*86400</f>
        <v>1611273600</v>
      </c>
      <c r="AM1206" s="25">
        <f>(C1206-DATE(1970,1,1))*86400</f>
        <v>1611619200</v>
      </c>
      <c r="AN1206" s="25">
        <f>AVERAGE(AL1206:AM1206)</f>
        <v>1611446400</v>
      </c>
    </row>
    <row r="1207" spans="1:40" ht="15.75" customHeight="1" x14ac:dyDescent="0.2">
      <c r="A1207" s="284" t="s">
        <v>123</v>
      </c>
      <c r="B1207" s="20">
        <v>44218</v>
      </c>
      <c r="C1207" s="20">
        <v>44222</v>
      </c>
      <c r="D1207" s="19" t="s">
        <v>134</v>
      </c>
      <c r="E1207" s="332" t="s">
        <v>125</v>
      </c>
      <c r="F1207" s="19"/>
      <c r="G1207" s="19" t="s">
        <v>135</v>
      </c>
      <c r="H1207" s="332">
        <v>2000</v>
      </c>
      <c r="I1207" s="21">
        <v>45</v>
      </c>
      <c r="J1207" s="21"/>
      <c r="K1207" s="21">
        <v>10</v>
      </c>
      <c r="L1207" s="21">
        <v>2</v>
      </c>
      <c r="M1207" s="21">
        <v>17</v>
      </c>
      <c r="N1207" s="21"/>
      <c r="O1207" s="21"/>
      <c r="P1207" s="21">
        <v>11</v>
      </c>
      <c r="Q1207" s="21"/>
      <c r="R1207" s="22">
        <v>8</v>
      </c>
      <c r="S1207" s="21"/>
      <c r="T1207" s="21"/>
      <c r="U1207" s="21"/>
      <c r="V1207" s="21">
        <v>3</v>
      </c>
      <c r="W1207" s="21"/>
      <c r="X1207" s="21">
        <v>3</v>
      </c>
      <c r="Y1207" s="21"/>
      <c r="Z1207" s="21">
        <v>1</v>
      </c>
      <c r="AA1207" s="21">
        <v>0</v>
      </c>
      <c r="AB1207" s="23">
        <f>100/(SUM(I1207:Z1207))</f>
        <v>1</v>
      </c>
      <c r="AC1207" s="259">
        <f>SUM(I1207:AA1207)</f>
        <v>100</v>
      </c>
      <c r="AD1207" s="24"/>
      <c r="AE1207" s="24"/>
      <c r="AF1207" s="24"/>
      <c r="AG1207" s="25" t="s">
        <v>127</v>
      </c>
      <c r="AH1207" s="26" t="s">
        <v>1014</v>
      </c>
      <c r="AI1207" s="83"/>
      <c r="AJ1207" s="83" t="s">
        <v>1016</v>
      </c>
      <c r="AK1207" s="19" t="s">
        <v>1018</v>
      </c>
      <c r="AL1207" s="25">
        <f>(B1207-DATE(1970,1,1))*86400</f>
        <v>1611273600</v>
      </c>
      <c r="AM1207" s="25">
        <f>(C1207-DATE(1970,1,1))*86400</f>
        <v>1611619200</v>
      </c>
      <c r="AN1207" s="25">
        <f>AVERAGE(AL1207:AM1207)</f>
        <v>1611446400</v>
      </c>
    </row>
    <row r="1208" spans="1:40" ht="15.75" customHeight="1" x14ac:dyDescent="0.2">
      <c r="A1208" s="286" t="s">
        <v>133</v>
      </c>
      <c r="B1208" s="41">
        <v>44204</v>
      </c>
      <c r="C1208" s="41">
        <v>44231</v>
      </c>
      <c r="D1208" s="40" t="s">
        <v>148</v>
      </c>
      <c r="E1208" s="325" t="s">
        <v>125</v>
      </c>
      <c r="F1208" s="40"/>
      <c r="G1208" s="40" t="s">
        <v>149</v>
      </c>
      <c r="H1208" s="325">
        <v>5000</v>
      </c>
      <c r="I1208" s="42">
        <v>35</v>
      </c>
      <c r="J1208" s="42"/>
      <c r="K1208" s="42">
        <v>9</v>
      </c>
      <c r="L1208" s="42">
        <v>2</v>
      </c>
      <c r="M1208" s="42">
        <v>10</v>
      </c>
      <c r="N1208" s="42"/>
      <c r="O1208" s="42"/>
      <c r="P1208" s="42">
        <v>6</v>
      </c>
      <c r="Q1208" s="42"/>
      <c r="R1208" s="43">
        <v>6</v>
      </c>
      <c r="S1208" s="42"/>
      <c r="T1208" s="42"/>
      <c r="U1208" s="42"/>
      <c r="V1208" s="42">
        <v>1</v>
      </c>
      <c r="W1208" s="42"/>
      <c r="X1208" s="42">
        <v>1</v>
      </c>
      <c r="Y1208" s="42"/>
      <c r="Z1208" s="42">
        <v>1</v>
      </c>
      <c r="AA1208" s="42">
        <v>29</v>
      </c>
      <c r="AB1208" s="44">
        <f>100/(SUM(I1208:Z1208))</f>
        <v>1.408450704225352</v>
      </c>
      <c r="AC1208" s="259">
        <f>SUM(I1208:AA1208)</f>
        <v>100</v>
      </c>
      <c r="AD1208" s="42">
        <v>40</v>
      </c>
      <c r="AE1208" s="42">
        <f>SUM(PRODUCT(44,100/77),PRODUCT(35,100/71,-1))</f>
        <v>7.8470824949698184</v>
      </c>
      <c r="AF1208" s="42">
        <f>SUM(PRODUCT(44,100/77),PRODUCT(33,100/71,-1))</f>
        <v>10.663983903420522</v>
      </c>
      <c r="AG1208" s="45" t="s">
        <v>1019</v>
      </c>
      <c r="AH1208" s="46" t="s">
        <v>1020</v>
      </c>
      <c r="AI1208" s="40" t="s">
        <v>1023</v>
      </c>
      <c r="AJ1208" s="46"/>
      <c r="AK1208" s="40" t="s">
        <v>1024</v>
      </c>
      <c r="AL1208" s="45">
        <f>(B1208-DATE(1970,1,1))*86400</f>
        <v>1610064000</v>
      </c>
      <c r="AM1208" s="45">
        <f>(C1208-DATE(1970,1,1))*86400</f>
        <v>1612396800</v>
      </c>
      <c r="AN1208" s="45">
        <f>AVERAGE(AL1208:AM1208)</f>
        <v>1611230400</v>
      </c>
    </row>
    <row r="1209" spans="1:40" ht="15.75" customHeight="1" x14ac:dyDescent="0.2">
      <c r="A1209" s="286" t="s">
        <v>133</v>
      </c>
      <c r="B1209" s="41">
        <v>44204</v>
      </c>
      <c r="C1209" s="41">
        <v>44231</v>
      </c>
      <c r="D1209" s="40" t="s">
        <v>148</v>
      </c>
      <c r="E1209" s="325" t="s">
        <v>125</v>
      </c>
      <c r="F1209" s="40" t="s">
        <v>390</v>
      </c>
      <c r="G1209" s="40" t="s">
        <v>149</v>
      </c>
      <c r="H1209" s="325">
        <v>5000</v>
      </c>
      <c r="I1209" s="42">
        <v>37</v>
      </c>
      <c r="J1209" s="42"/>
      <c r="K1209" s="42"/>
      <c r="L1209" s="42"/>
      <c r="M1209" s="42"/>
      <c r="N1209" s="42"/>
      <c r="O1209" s="42"/>
      <c r="P1209" s="42"/>
      <c r="Q1209" s="42"/>
      <c r="R1209" s="43"/>
      <c r="S1209" s="42"/>
      <c r="T1209" s="42"/>
      <c r="U1209" s="42">
        <v>40</v>
      </c>
      <c r="V1209" s="42"/>
      <c r="W1209" s="42"/>
      <c r="X1209" s="42"/>
      <c r="Y1209" s="42"/>
      <c r="Z1209" s="42">
        <v>1</v>
      </c>
      <c r="AA1209" s="42">
        <v>22</v>
      </c>
      <c r="AB1209" s="44">
        <f>100/(SUM(I1209:Z1209))</f>
        <v>1.2820512820512822</v>
      </c>
      <c r="AC1209" s="259">
        <f>SUM(I1209:AA1209)</f>
        <v>100</v>
      </c>
      <c r="AD1209" s="42"/>
      <c r="AE1209" s="42"/>
      <c r="AF1209" s="42"/>
      <c r="AG1209" s="45" t="s">
        <v>1019</v>
      </c>
      <c r="AH1209" s="46" t="s">
        <v>1020</v>
      </c>
      <c r="AI1209" s="40"/>
      <c r="AJ1209" s="46"/>
      <c r="AK1209" s="40" t="s">
        <v>1022</v>
      </c>
      <c r="AL1209" s="45">
        <f>(B1209-DATE(1970,1,1))*86400</f>
        <v>1610064000</v>
      </c>
      <c r="AM1209" s="45">
        <f>(C1209-DATE(1970,1,1))*86400</f>
        <v>1612396800</v>
      </c>
      <c r="AN1209" s="45">
        <f>AVERAGE(AL1209:AM1209)</f>
        <v>1611230400</v>
      </c>
    </row>
    <row r="1210" spans="1:40" ht="15.75" customHeight="1" x14ac:dyDescent="0.2">
      <c r="A1210" s="286" t="s">
        <v>123</v>
      </c>
      <c r="B1210" s="41">
        <v>44204</v>
      </c>
      <c r="C1210" s="41">
        <v>44231</v>
      </c>
      <c r="D1210" s="40" t="s">
        <v>148</v>
      </c>
      <c r="E1210" s="325" t="s">
        <v>125</v>
      </c>
      <c r="F1210" s="40" t="s">
        <v>390</v>
      </c>
      <c r="G1210" s="40" t="s">
        <v>149</v>
      </c>
      <c r="H1210" s="325">
        <v>5000</v>
      </c>
      <c r="I1210" s="42">
        <v>48</v>
      </c>
      <c r="J1210" s="42"/>
      <c r="K1210" s="42"/>
      <c r="L1210" s="42"/>
      <c r="M1210" s="42"/>
      <c r="N1210" s="42"/>
      <c r="O1210" s="42"/>
      <c r="P1210" s="42"/>
      <c r="Q1210" s="42"/>
      <c r="R1210" s="43"/>
      <c r="S1210" s="42"/>
      <c r="T1210" s="42"/>
      <c r="U1210" s="42">
        <v>51</v>
      </c>
      <c r="V1210" s="42"/>
      <c r="W1210" s="42"/>
      <c r="X1210" s="42"/>
      <c r="Y1210" s="42"/>
      <c r="Z1210" s="42">
        <v>1</v>
      </c>
      <c r="AA1210" s="42">
        <v>0</v>
      </c>
      <c r="AB1210" s="44">
        <f>100/(SUM(I1210:Z1210))</f>
        <v>1</v>
      </c>
      <c r="AC1210" s="259">
        <f>SUM(I1210:AA1210)</f>
        <v>100</v>
      </c>
      <c r="AD1210" s="42"/>
      <c r="AE1210" s="42"/>
      <c r="AF1210" s="42"/>
      <c r="AG1210" s="45" t="s">
        <v>1019</v>
      </c>
      <c r="AH1210" s="46" t="s">
        <v>1020</v>
      </c>
      <c r="AI1210" s="40"/>
      <c r="AJ1210" s="46"/>
      <c r="AK1210" s="40"/>
      <c r="AL1210" s="45">
        <f>(B1210-DATE(1970,1,1))*86400</f>
        <v>1610064000</v>
      </c>
      <c r="AM1210" s="45">
        <f>(C1210-DATE(1970,1,1))*86400</f>
        <v>1612396800</v>
      </c>
      <c r="AN1210" s="45">
        <f>AVERAGE(AL1210:AM1210)</f>
        <v>1611230400</v>
      </c>
    </row>
    <row r="1211" spans="1:40" ht="15.75" customHeight="1" x14ac:dyDescent="0.2">
      <c r="A1211" s="286" t="s">
        <v>123</v>
      </c>
      <c r="B1211" s="41">
        <v>44204</v>
      </c>
      <c r="C1211" s="41">
        <v>44231</v>
      </c>
      <c r="D1211" s="40" t="s">
        <v>148</v>
      </c>
      <c r="E1211" s="325" t="s">
        <v>125</v>
      </c>
      <c r="F1211" s="40" t="s">
        <v>140</v>
      </c>
      <c r="G1211" s="40" t="s">
        <v>149</v>
      </c>
      <c r="H1211" s="325">
        <v>5000</v>
      </c>
      <c r="I1211" s="42">
        <v>49</v>
      </c>
      <c r="J1211" s="42"/>
      <c r="K1211" s="42"/>
      <c r="L1211" s="42"/>
      <c r="M1211" s="42"/>
      <c r="N1211" s="42"/>
      <c r="O1211" s="42"/>
      <c r="P1211" s="42"/>
      <c r="Q1211" s="42"/>
      <c r="R1211" s="43"/>
      <c r="S1211" s="42"/>
      <c r="T1211" s="42"/>
      <c r="U1211" s="43">
        <v>48</v>
      </c>
      <c r="V1211" s="42"/>
      <c r="W1211" s="42"/>
      <c r="X1211" s="42"/>
      <c r="Y1211" s="42"/>
      <c r="Z1211" s="42">
        <v>3</v>
      </c>
      <c r="AA1211" s="42">
        <v>0</v>
      </c>
      <c r="AB1211" s="44">
        <f>100/(SUM(I1211:Z1211))</f>
        <v>1</v>
      </c>
      <c r="AC1211" s="259">
        <f>SUM(I1211:AA1211)</f>
        <v>100</v>
      </c>
      <c r="AD1211" s="42"/>
      <c r="AE1211" s="42"/>
      <c r="AF1211" s="42"/>
      <c r="AG1211" s="45" t="s">
        <v>1019</v>
      </c>
      <c r="AH1211" s="46" t="s">
        <v>1020</v>
      </c>
      <c r="AI1211" s="40"/>
      <c r="AJ1211" s="46"/>
      <c r="AK1211" s="40" t="s">
        <v>1021</v>
      </c>
      <c r="AL1211" s="45">
        <f>(B1211-DATE(1970,1,1))*86400</f>
        <v>1610064000</v>
      </c>
      <c r="AM1211" s="45">
        <f>(C1211-DATE(1970,1,1))*86400</f>
        <v>1612396800</v>
      </c>
      <c r="AN1211" s="45">
        <f>AVERAGE(AL1211:AM1211)</f>
        <v>1611230400</v>
      </c>
    </row>
    <row r="1212" spans="1:40" ht="15.75" customHeight="1" x14ac:dyDescent="0.2">
      <c r="A1212" s="281" t="s">
        <v>133</v>
      </c>
      <c r="B1212" s="54">
        <v>44215</v>
      </c>
      <c r="C1212" s="54">
        <v>44218</v>
      </c>
      <c r="D1212" s="53" t="s">
        <v>154</v>
      </c>
      <c r="E1212" s="323" t="s">
        <v>125</v>
      </c>
      <c r="F1212" s="53"/>
      <c r="G1212" s="53" t="s">
        <v>126</v>
      </c>
      <c r="H1212" s="357">
        <v>1001</v>
      </c>
      <c r="I1212" s="55">
        <v>30</v>
      </c>
      <c r="J1212" s="55"/>
      <c r="K1212" s="55">
        <v>6</v>
      </c>
      <c r="L1212" s="55">
        <v>1</v>
      </c>
      <c r="M1212" s="55">
        <v>8</v>
      </c>
      <c r="N1212" s="55"/>
      <c r="O1212" s="55"/>
      <c r="P1212" s="55">
        <v>6</v>
      </c>
      <c r="Q1212" s="55"/>
      <c r="R1212" s="56">
        <v>7</v>
      </c>
      <c r="S1212" s="55"/>
      <c r="T1212" s="55"/>
      <c r="U1212" s="55">
        <v>7</v>
      </c>
      <c r="V1212" s="55"/>
      <c r="W1212" s="55"/>
      <c r="X1212" s="55"/>
      <c r="Y1212" s="55"/>
      <c r="Z1212" s="55">
        <v>2</v>
      </c>
      <c r="AA1212" s="55">
        <v>34</v>
      </c>
      <c r="AB1212" s="57">
        <f>100/(SUM(I1212:Z1212))</f>
        <v>1.4925373134328359</v>
      </c>
      <c r="AC1212" s="259">
        <f>SUM(I1212:AA1212)</f>
        <v>101</v>
      </c>
      <c r="AD1212" s="55"/>
      <c r="AE1212" s="55"/>
      <c r="AF1212" s="55"/>
      <c r="AG1212" s="58" t="s">
        <v>155</v>
      </c>
      <c r="AH1212" s="59" t="s">
        <v>993</v>
      </c>
      <c r="AI1212" s="59"/>
      <c r="AJ1212" s="59" t="s">
        <v>1028</v>
      </c>
      <c r="AK1212" s="53" t="s">
        <v>1029</v>
      </c>
      <c r="AL1212" s="58">
        <f>(B1212-DATE(1970,1,1))*86400</f>
        <v>1611014400</v>
      </c>
      <c r="AM1212" s="58">
        <f>(C1212-DATE(1970,1,1))*86400</f>
        <v>1611273600</v>
      </c>
      <c r="AN1212" s="58">
        <f>AVERAGE(AL1212:AM1212)</f>
        <v>1611144000</v>
      </c>
    </row>
    <row r="1213" spans="1:40" ht="15.75" customHeight="1" x14ac:dyDescent="0.2">
      <c r="A1213" s="281" t="s">
        <v>123</v>
      </c>
      <c r="B1213" s="54">
        <v>44215</v>
      </c>
      <c r="C1213" s="54">
        <v>44218</v>
      </c>
      <c r="D1213" s="53" t="s">
        <v>154</v>
      </c>
      <c r="E1213" s="323" t="s">
        <v>125</v>
      </c>
      <c r="F1213" s="53" t="s">
        <v>140</v>
      </c>
      <c r="G1213" s="53" t="s">
        <v>126</v>
      </c>
      <c r="H1213" s="357">
        <v>1001</v>
      </c>
      <c r="I1213" s="55"/>
      <c r="J1213" s="55"/>
      <c r="K1213" s="55"/>
      <c r="L1213" s="55"/>
      <c r="M1213" s="55"/>
      <c r="N1213" s="55"/>
      <c r="O1213" s="55"/>
      <c r="P1213" s="55"/>
      <c r="Q1213" s="55"/>
      <c r="R1213" s="56"/>
      <c r="S1213" s="55"/>
      <c r="T1213" s="55"/>
      <c r="U1213" s="55"/>
      <c r="V1213" s="55"/>
      <c r="W1213" s="55"/>
      <c r="X1213" s="55"/>
      <c r="Y1213" s="55"/>
      <c r="Z1213" s="55"/>
      <c r="AA1213" s="55"/>
      <c r="AB1213" s="57" t="e">
        <f>100/(SUM(I1213:Z1213))</f>
        <v>#DIV/0!</v>
      </c>
      <c r="AC1213" s="259">
        <f>SUM(I1213:AA1213)</f>
        <v>0</v>
      </c>
      <c r="AD1213" s="55"/>
      <c r="AE1213" s="55"/>
      <c r="AF1213" s="55"/>
      <c r="AG1213" s="58" t="s">
        <v>155</v>
      </c>
      <c r="AH1213" s="59"/>
      <c r="AI1213" s="59"/>
      <c r="AJ1213" s="59" t="s">
        <v>1028</v>
      </c>
      <c r="AK1213" s="53"/>
      <c r="AL1213" s="58">
        <f>(B1213-DATE(1970,1,1))*86400</f>
        <v>1611014400</v>
      </c>
      <c r="AM1213" s="58">
        <f>(C1213-DATE(1970,1,1))*86400</f>
        <v>1611273600</v>
      </c>
      <c r="AN1213" s="58">
        <f>AVERAGE(AL1213:AM1213)</f>
        <v>1611144000</v>
      </c>
    </row>
    <row r="1214" spans="1:40" ht="15.75" customHeight="1" x14ac:dyDescent="0.2">
      <c r="A1214" s="281" t="s">
        <v>123</v>
      </c>
      <c r="B1214" s="54">
        <v>44215</v>
      </c>
      <c r="C1214" s="54">
        <v>44218</v>
      </c>
      <c r="D1214" s="53" t="s">
        <v>154</v>
      </c>
      <c r="E1214" s="323" t="s">
        <v>125</v>
      </c>
      <c r="F1214" s="53" t="s">
        <v>140</v>
      </c>
      <c r="G1214" s="53" t="s">
        <v>126</v>
      </c>
      <c r="H1214" s="357">
        <v>1001</v>
      </c>
      <c r="I1214" s="55"/>
      <c r="J1214" s="55"/>
      <c r="K1214" s="55"/>
      <c r="L1214" s="55"/>
      <c r="M1214" s="55"/>
      <c r="N1214" s="55"/>
      <c r="O1214" s="55"/>
      <c r="P1214" s="55"/>
      <c r="Q1214" s="55"/>
      <c r="R1214" s="56"/>
      <c r="S1214" s="55"/>
      <c r="T1214" s="55"/>
      <c r="U1214" s="55"/>
      <c r="V1214" s="55"/>
      <c r="W1214" s="55"/>
      <c r="X1214" s="55"/>
      <c r="Y1214" s="55"/>
      <c r="Z1214" s="55"/>
      <c r="AA1214" s="55"/>
      <c r="AB1214" s="57" t="e">
        <f>100/(SUM(I1214:Z1214))</f>
        <v>#DIV/0!</v>
      </c>
      <c r="AC1214" s="259">
        <f>SUM(I1214:AA1214)</f>
        <v>0</v>
      </c>
      <c r="AD1214" s="55"/>
      <c r="AE1214" s="55"/>
      <c r="AF1214" s="55"/>
      <c r="AG1214" s="58" t="s">
        <v>155</v>
      </c>
      <c r="AH1214" s="59"/>
      <c r="AI1214" s="59"/>
      <c r="AJ1214" s="59" t="s">
        <v>1028</v>
      </c>
      <c r="AK1214" s="53"/>
      <c r="AL1214" s="58">
        <f>(B1214-DATE(1970,1,1))*86400</f>
        <v>1611014400</v>
      </c>
      <c r="AM1214" s="58">
        <f>(C1214-DATE(1970,1,1))*86400</f>
        <v>1611273600</v>
      </c>
      <c r="AN1214" s="58">
        <f>AVERAGE(AL1214:AM1214)</f>
        <v>1611144000</v>
      </c>
    </row>
    <row r="1215" spans="1:40" ht="15.75" customHeight="1" x14ac:dyDescent="0.2">
      <c r="A1215" s="299" t="s">
        <v>133</v>
      </c>
      <c r="B1215" s="105">
        <v>44216</v>
      </c>
      <c r="C1215" s="105">
        <v>44217</v>
      </c>
      <c r="D1215" s="91" t="s">
        <v>243</v>
      </c>
      <c r="E1215" s="342" t="s">
        <v>184</v>
      </c>
      <c r="F1215" s="91" t="s">
        <v>140</v>
      </c>
      <c r="G1215" s="91" t="s">
        <v>1025</v>
      </c>
      <c r="H1215" s="377">
        <v>10000</v>
      </c>
      <c r="I1215" s="93"/>
      <c r="J1215" s="93"/>
      <c r="K1215" s="93"/>
      <c r="L1215" s="93"/>
      <c r="M1215" s="93"/>
      <c r="N1215" s="93"/>
      <c r="O1215" s="93"/>
      <c r="P1215" s="93"/>
      <c r="Q1215" s="93"/>
      <c r="R1215" s="93"/>
      <c r="S1215" s="93"/>
      <c r="T1215" s="93"/>
      <c r="U1215" s="93"/>
      <c r="V1215" s="93"/>
      <c r="W1215" s="93"/>
      <c r="X1215" s="93"/>
      <c r="Y1215" s="93"/>
      <c r="Z1215" s="93"/>
      <c r="AA1215" s="93"/>
      <c r="AB1215" s="95" t="e">
        <f>100/(SUM(I1215:Z1215))</f>
        <v>#DIV/0!</v>
      </c>
      <c r="AC1215" s="259">
        <f>SUM(I1215:AA1215)</f>
        <v>0</v>
      </c>
      <c r="AD1215" s="93"/>
      <c r="AE1215" s="93"/>
      <c r="AF1215" s="93"/>
      <c r="AG1215" s="96"/>
      <c r="AH1215" s="145"/>
      <c r="AI1215" s="145"/>
      <c r="AJ1215" s="145" t="s">
        <v>1026</v>
      </c>
      <c r="AK1215" s="91" t="s">
        <v>1027</v>
      </c>
      <c r="AL1215" s="96">
        <f>(B1215-DATE(1970,1,1))*86400</f>
        <v>1611100800</v>
      </c>
      <c r="AM1215" s="96">
        <f>(C1215-DATE(1970,1,1))*86400</f>
        <v>1611187200</v>
      </c>
      <c r="AN1215" s="96">
        <f>AVERAGE(AL1215:AM1215)</f>
        <v>1611144000</v>
      </c>
    </row>
    <row r="1216" spans="1:40" ht="15.75" customHeight="1" x14ac:dyDescent="0.2">
      <c r="A1216" s="279" t="s">
        <v>133</v>
      </c>
      <c r="B1216" s="14">
        <v>44214</v>
      </c>
      <c r="C1216" s="14">
        <v>44216</v>
      </c>
      <c r="D1216" s="13" t="s">
        <v>124</v>
      </c>
      <c r="E1216" s="324" t="s">
        <v>125</v>
      </c>
      <c r="F1216" s="13" t="s">
        <v>390</v>
      </c>
      <c r="G1216" s="13" t="s">
        <v>126</v>
      </c>
      <c r="H1216" s="372">
        <v>1000</v>
      </c>
      <c r="I1216" s="15">
        <v>41</v>
      </c>
      <c r="J1216" s="15"/>
      <c r="K1216" s="15"/>
      <c r="L1216" s="15"/>
      <c r="M1216" s="15"/>
      <c r="N1216" s="15"/>
      <c r="O1216" s="15"/>
      <c r="P1216" s="15"/>
      <c r="Q1216" s="15"/>
      <c r="R1216" s="15"/>
      <c r="S1216" s="15"/>
      <c r="T1216" s="15"/>
      <c r="U1216" s="15">
        <v>40</v>
      </c>
      <c r="V1216" s="15">
        <v>1</v>
      </c>
      <c r="W1216" s="15"/>
      <c r="X1216" s="15">
        <v>1</v>
      </c>
      <c r="Y1216" s="15"/>
      <c r="Z1216" s="15">
        <v>0</v>
      </c>
      <c r="AA1216" s="15">
        <v>17</v>
      </c>
      <c r="AB1216" s="16">
        <f>100/(SUM(I1216:Z1216))</f>
        <v>1.2048192771084338</v>
      </c>
      <c r="AC1216" s="259">
        <f>SUM(I1216:AA1216)</f>
        <v>100</v>
      </c>
      <c r="AD1216" s="15"/>
      <c r="AE1216" s="15"/>
      <c r="AF1216" s="15"/>
      <c r="AG1216" s="17"/>
      <c r="AH1216" s="18" t="s">
        <v>1030</v>
      </c>
      <c r="AI1216" s="18" t="s">
        <v>2059</v>
      </c>
      <c r="AJ1216" s="18" t="s">
        <v>1032</v>
      </c>
      <c r="AK1216" s="13"/>
      <c r="AL1216" s="17">
        <f>(B1216-DATE(1970,1,1))*86400</f>
        <v>1610928000</v>
      </c>
      <c r="AM1216" s="17">
        <f>(C1216-DATE(1970,1,1))*86400</f>
        <v>1611100800</v>
      </c>
      <c r="AN1216" s="17">
        <f>AVERAGE(AL1216:AM1216)</f>
        <v>1611014400</v>
      </c>
    </row>
    <row r="1217" spans="1:65" ht="15.75" customHeight="1" x14ac:dyDescent="0.2">
      <c r="A1217" s="279" t="s">
        <v>123</v>
      </c>
      <c r="B1217" s="14">
        <v>44214</v>
      </c>
      <c r="C1217" s="14">
        <v>44216</v>
      </c>
      <c r="D1217" s="13" t="s">
        <v>124</v>
      </c>
      <c r="E1217" s="324" t="s">
        <v>125</v>
      </c>
      <c r="F1217" s="13" t="s">
        <v>390</v>
      </c>
      <c r="G1217" s="13" t="s">
        <v>126</v>
      </c>
      <c r="H1217" s="372">
        <v>1000</v>
      </c>
      <c r="I1217" s="15">
        <v>52</v>
      </c>
      <c r="J1217" s="15"/>
      <c r="K1217" s="15"/>
      <c r="L1217" s="15"/>
      <c r="M1217" s="15"/>
      <c r="N1217" s="15"/>
      <c r="O1217" s="15"/>
      <c r="P1217" s="15"/>
      <c r="Q1217" s="15"/>
      <c r="R1217" s="15"/>
      <c r="S1217" s="15"/>
      <c r="T1217" s="15"/>
      <c r="U1217" s="15">
        <v>45</v>
      </c>
      <c r="V1217" s="15">
        <v>1</v>
      </c>
      <c r="W1217" s="15"/>
      <c r="X1217" s="15">
        <v>1</v>
      </c>
      <c r="Y1217" s="15"/>
      <c r="Z1217" s="15">
        <v>0</v>
      </c>
      <c r="AA1217" s="15">
        <v>0</v>
      </c>
      <c r="AB1217" s="16">
        <f>100/(SUM(I1217:Z1217))</f>
        <v>1.0101010101010102</v>
      </c>
      <c r="AC1217" s="259">
        <f>SUM(I1217:AA1217)</f>
        <v>99</v>
      </c>
      <c r="AD1217" s="15"/>
      <c r="AE1217" s="15"/>
      <c r="AF1217" s="15"/>
      <c r="AG1217" s="17"/>
      <c r="AH1217" s="18" t="s">
        <v>1030</v>
      </c>
      <c r="AI1217" s="18" t="s">
        <v>1031</v>
      </c>
      <c r="AJ1217" s="18" t="s">
        <v>1032</v>
      </c>
      <c r="AK1217" s="13" t="s">
        <v>1926</v>
      </c>
      <c r="AL1217" s="17">
        <f>(B1217-DATE(1970,1,1))*86400</f>
        <v>1610928000</v>
      </c>
      <c r="AM1217" s="17">
        <f>(C1217-DATE(1970,1,1))*86400</f>
        <v>1611100800</v>
      </c>
      <c r="AN1217" s="17">
        <f>AVERAGE(AL1217:AM1217)</f>
        <v>1611014400</v>
      </c>
    </row>
    <row r="1218" spans="1:65" ht="15.75" customHeight="1" x14ac:dyDescent="0.2">
      <c r="A1218" s="288" t="s">
        <v>133</v>
      </c>
      <c r="B1218" s="60">
        <v>44210</v>
      </c>
      <c r="C1218" s="60">
        <v>44217</v>
      </c>
      <c r="D1218" s="61" t="s">
        <v>168</v>
      </c>
      <c r="E1218" s="334" t="s">
        <v>125</v>
      </c>
      <c r="F1218" s="61"/>
      <c r="G1218" s="61" t="s">
        <v>126</v>
      </c>
      <c r="H1218" s="334">
        <v>1000</v>
      </c>
      <c r="I1218" s="63">
        <v>30</v>
      </c>
      <c r="J1218" s="63"/>
      <c r="K1218" s="63">
        <v>6</v>
      </c>
      <c r="L1218" s="63">
        <v>1</v>
      </c>
      <c r="M1218" s="63">
        <v>11</v>
      </c>
      <c r="N1218" s="63"/>
      <c r="O1218" s="63"/>
      <c r="P1218" s="63">
        <v>9</v>
      </c>
      <c r="Q1218" s="63"/>
      <c r="R1218" s="64">
        <v>8</v>
      </c>
      <c r="S1218" s="63"/>
      <c r="T1218" s="63"/>
      <c r="U1218" s="63"/>
      <c r="V1218" s="63">
        <v>1</v>
      </c>
      <c r="W1218" s="63"/>
      <c r="X1218" s="63">
        <v>1</v>
      </c>
      <c r="Y1218" s="63"/>
      <c r="Z1218" s="63"/>
      <c r="AA1218" s="63">
        <v>33</v>
      </c>
      <c r="AB1218" s="65">
        <f>100/(SUM(I1218:Z1218))</f>
        <v>1.4925373134328359</v>
      </c>
      <c r="AC1218" s="259">
        <f>SUM(I1218:AA1218)</f>
        <v>100</v>
      </c>
      <c r="AD1218" s="63">
        <v>70</v>
      </c>
      <c r="AE1218" s="63"/>
      <c r="AF1218" s="63"/>
      <c r="AG1218" s="66" t="s">
        <v>127</v>
      </c>
      <c r="AH1218" s="67" t="s">
        <v>1033</v>
      </c>
      <c r="AI1218" s="67" t="s">
        <v>1034</v>
      </c>
      <c r="AJ1218" s="67"/>
      <c r="AK1218" s="61" t="s">
        <v>1036</v>
      </c>
      <c r="AL1218" s="66">
        <f>(B1218-DATE(1970,1,1))*86400</f>
        <v>1610582400</v>
      </c>
      <c r="AM1218" s="66">
        <f>(C1218-DATE(1970,1,1))*86400</f>
        <v>1611187200</v>
      </c>
      <c r="AN1218" s="66">
        <f>AVERAGE(AL1218:AM1218)</f>
        <v>1610884800</v>
      </c>
    </row>
    <row r="1219" spans="1:65" ht="15.75" customHeight="1" x14ac:dyDescent="0.2">
      <c r="A1219" s="288" t="s">
        <v>133</v>
      </c>
      <c r="B1219" s="60">
        <v>44210</v>
      </c>
      <c r="C1219" s="60">
        <v>44217</v>
      </c>
      <c r="D1219" s="61" t="s">
        <v>168</v>
      </c>
      <c r="E1219" s="334" t="s">
        <v>125</v>
      </c>
      <c r="F1219" s="61"/>
      <c r="G1219" s="61" t="s">
        <v>126</v>
      </c>
      <c r="H1219" s="334">
        <v>1000</v>
      </c>
      <c r="I1219" s="63">
        <v>46</v>
      </c>
      <c r="J1219" s="63"/>
      <c r="K1219" s="63">
        <v>8</v>
      </c>
      <c r="L1219" s="63">
        <v>2</v>
      </c>
      <c r="M1219" s="63">
        <v>16</v>
      </c>
      <c r="N1219" s="63"/>
      <c r="O1219" s="63"/>
      <c r="P1219" s="63">
        <v>13</v>
      </c>
      <c r="Q1219" s="63"/>
      <c r="R1219" s="64">
        <v>11</v>
      </c>
      <c r="S1219" s="63"/>
      <c r="T1219" s="63"/>
      <c r="U1219" s="63"/>
      <c r="V1219" s="63">
        <v>2</v>
      </c>
      <c r="W1219" s="63"/>
      <c r="X1219" s="63">
        <v>2</v>
      </c>
      <c r="Y1219" s="63"/>
      <c r="Z1219" s="63"/>
      <c r="AA1219" s="63">
        <v>0</v>
      </c>
      <c r="AB1219" s="65">
        <f>100/(SUM(I1219:Z1219))</f>
        <v>1</v>
      </c>
      <c r="AC1219" s="259">
        <f>SUM(I1219:AA1219)</f>
        <v>100</v>
      </c>
      <c r="AD1219" s="63"/>
      <c r="AE1219" s="63"/>
      <c r="AF1219" s="63"/>
      <c r="AG1219" s="66" t="s">
        <v>127</v>
      </c>
      <c r="AH1219" s="67" t="s">
        <v>1033</v>
      </c>
      <c r="AI1219" s="67" t="s">
        <v>1034</v>
      </c>
      <c r="AJ1219" s="67"/>
      <c r="AK1219" s="61" t="s">
        <v>1035</v>
      </c>
      <c r="AL1219" s="66">
        <f>(B1219-DATE(1970,1,1))*86400</f>
        <v>1610582400</v>
      </c>
      <c r="AM1219" s="66">
        <f>(C1219-DATE(1970,1,1))*86400</f>
        <v>1611187200</v>
      </c>
      <c r="AN1219" s="66">
        <f>AVERAGE(AL1219:AM1219)</f>
        <v>1610884800</v>
      </c>
    </row>
    <row r="1220" spans="1:65" ht="15.75" customHeight="1" x14ac:dyDescent="0.2">
      <c r="A1220" s="279" t="s">
        <v>133</v>
      </c>
      <c r="B1220" s="14">
        <v>44201</v>
      </c>
      <c r="C1220" s="14">
        <v>44203</v>
      </c>
      <c r="D1220" s="13" t="s">
        <v>124</v>
      </c>
      <c r="E1220" s="324" t="s">
        <v>125</v>
      </c>
      <c r="F1220" s="13" t="s">
        <v>140</v>
      </c>
      <c r="G1220" s="13" t="s">
        <v>126</v>
      </c>
      <c r="H1220" s="372">
        <v>1000</v>
      </c>
      <c r="I1220" s="15"/>
      <c r="J1220" s="15"/>
      <c r="K1220" s="15"/>
      <c r="L1220" s="15"/>
      <c r="M1220" s="15"/>
      <c r="N1220" s="15"/>
      <c r="O1220" s="15"/>
      <c r="P1220" s="15"/>
      <c r="Q1220" s="15"/>
      <c r="R1220" s="15"/>
      <c r="S1220" s="15"/>
      <c r="T1220" s="15"/>
      <c r="U1220" s="15"/>
      <c r="V1220" s="15"/>
      <c r="W1220" s="15"/>
      <c r="X1220" s="15"/>
      <c r="Y1220" s="15"/>
      <c r="Z1220" s="15"/>
      <c r="AA1220" s="15"/>
      <c r="AB1220" s="16" t="e">
        <f>100/(SUM(I1220:Z1220))</f>
        <v>#DIV/0!</v>
      </c>
      <c r="AC1220" s="259">
        <f>SUM(I1220:AA1220)</f>
        <v>0</v>
      </c>
      <c r="AD1220" s="15"/>
      <c r="AE1220" s="15"/>
      <c r="AF1220" s="15"/>
      <c r="AG1220" s="17" t="s">
        <v>365</v>
      </c>
      <c r="AH1220" s="18"/>
      <c r="AI1220" s="18"/>
      <c r="AJ1220" s="18" t="s">
        <v>1037</v>
      </c>
      <c r="AK1220" s="13"/>
      <c r="AL1220" s="17">
        <f>(B1220-DATE(1970,1,1))*86400</f>
        <v>1609804800</v>
      </c>
      <c r="AM1220" s="17">
        <f>(C1220-DATE(1970,1,1))*86400</f>
        <v>1609977600</v>
      </c>
      <c r="AN1220" s="17">
        <f>AVERAGE(AL1220:AM1220)</f>
        <v>1609891200</v>
      </c>
    </row>
    <row r="1221" spans="1:65" ht="15.75" customHeight="1" x14ac:dyDescent="0.2">
      <c r="A1221" s="279" t="s">
        <v>123</v>
      </c>
      <c r="B1221" s="14">
        <v>44201</v>
      </c>
      <c r="C1221" s="14">
        <v>44203</v>
      </c>
      <c r="D1221" s="13" t="s">
        <v>124</v>
      </c>
      <c r="E1221" s="324" t="s">
        <v>125</v>
      </c>
      <c r="F1221" s="13" t="s">
        <v>140</v>
      </c>
      <c r="G1221" s="13" t="s">
        <v>126</v>
      </c>
      <c r="H1221" s="372">
        <v>1000</v>
      </c>
      <c r="I1221" s="15"/>
      <c r="J1221" s="15"/>
      <c r="K1221" s="15"/>
      <c r="L1221" s="15"/>
      <c r="M1221" s="15"/>
      <c r="N1221" s="15"/>
      <c r="O1221" s="15"/>
      <c r="P1221" s="15"/>
      <c r="Q1221" s="15"/>
      <c r="R1221" s="15"/>
      <c r="S1221" s="15"/>
      <c r="T1221" s="15"/>
      <c r="U1221" s="15"/>
      <c r="V1221" s="15"/>
      <c r="W1221" s="15"/>
      <c r="X1221" s="15"/>
      <c r="Y1221" s="15"/>
      <c r="Z1221" s="15"/>
      <c r="AA1221" s="15"/>
      <c r="AB1221" s="16" t="e">
        <f>100/(SUM(I1221:Z1221))</f>
        <v>#DIV/0!</v>
      </c>
      <c r="AC1221" s="259">
        <f>SUM(I1221:AA1221)</f>
        <v>0</v>
      </c>
      <c r="AD1221" s="15"/>
      <c r="AE1221" s="15"/>
      <c r="AF1221" s="15"/>
      <c r="AG1221" s="17" t="s">
        <v>365</v>
      </c>
      <c r="AH1221" s="18"/>
      <c r="AI1221" s="18"/>
      <c r="AJ1221" s="18"/>
      <c r="AK1221" s="13"/>
      <c r="AL1221" s="17">
        <f>(B1221-DATE(1970,1,1))*86400</f>
        <v>1609804800</v>
      </c>
      <c r="AM1221" s="17">
        <f>(C1221-DATE(1970,1,1))*86400</f>
        <v>1609977600</v>
      </c>
      <c r="AN1221" s="17">
        <f>AVERAGE(AL1221:AM1221)</f>
        <v>1609891200</v>
      </c>
    </row>
    <row r="1222" spans="1:65" ht="15.75" customHeight="1" x14ac:dyDescent="0.2">
      <c r="A1222" s="280" t="s">
        <v>123</v>
      </c>
      <c r="B1222" s="108">
        <v>44182</v>
      </c>
      <c r="C1222" s="108">
        <v>44185</v>
      </c>
      <c r="D1222" s="76" t="s">
        <v>200</v>
      </c>
      <c r="E1222" s="320" t="s">
        <v>125</v>
      </c>
      <c r="F1222" s="76" t="s">
        <v>390</v>
      </c>
      <c r="G1222" s="76" t="s">
        <v>126</v>
      </c>
      <c r="H1222" s="320">
        <v>1000</v>
      </c>
      <c r="I1222" s="78">
        <v>50</v>
      </c>
      <c r="J1222" s="78"/>
      <c r="K1222" s="78"/>
      <c r="L1222" s="78"/>
      <c r="M1222" s="78"/>
      <c r="N1222" s="78"/>
      <c r="O1222" s="78"/>
      <c r="P1222" s="78"/>
      <c r="Q1222" s="78"/>
      <c r="R1222" s="78"/>
      <c r="S1222" s="78"/>
      <c r="T1222" s="78"/>
      <c r="U1222" s="78">
        <v>39</v>
      </c>
      <c r="V1222" s="78"/>
      <c r="W1222" s="78"/>
      <c r="X1222" s="78"/>
      <c r="Y1222" s="78"/>
      <c r="Z1222" s="78">
        <v>0</v>
      </c>
      <c r="AA1222" s="78">
        <v>11</v>
      </c>
      <c r="AB1222" s="79">
        <f>100/(SUM(I1222:Z1222))</f>
        <v>1.1235955056179776</v>
      </c>
      <c r="AC1222" s="259">
        <f>SUM(I1222:AA1222)</f>
        <v>100</v>
      </c>
      <c r="AD1222" s="78"/>
      <c r="AE1222" s="78"/>
      <c r="AF1222" s="78"/>
      <c r="AG1222" s="142"/>
      <c r="AH1222" s="81" t="s">
        <v>1038</v>
      </c>
      <c r="AI1222" s="81" t="s">
        <v>1039</v>
      </c>
      <c r="AJ1222" s="81" t="s">
        <v>1040</v>
      </c>
      <c r="AK1222" s="76" t="s">
        <v>1041</v>
      </c>
      <c r="AL1222" s="80">
        <f>(B1222-DATE(1970,1,1))*86400</f>
        <v>1608163200</v>
      </c>
      <c r="AM1222" s="80">
        <f>(C1222-DATE(1970,1,1))*86400</f>
        <v>1608422400</v>
      </c>
      <c r="AN1222" s="80">
        <f>AVERAGE(AL1222:AM1222)</f>
        <v>1608292800</v>
      </c>
    </row>
    <row r="1223" spans="1:65" ht="15.75" customHeight="1" x14ac:dyDescent="0.2">
      <c r="A1223" s="281" t="s">
        <v>133</v>
      </c>
      <c r="B1223" s="54">
        <v>44179</v>
      </c>
      <c r="C1223" s="54">
        <v>44182</v>
      </c>
      <c r="D1223" s="53" t="s">
        <v>154</v>
      </c>
      <c r="E1223" s="323" t="s">
        <v>125</v>
      </c>
      <c r="F1223" s="53"/>
      <c r="G1223" s="53" t="s">
        <v>126</v>
      </c>
      <c r="H1223" s="357">
        <v>1499</v>
      </c>
      <c r="I1223" s="55">
        <v>30</v>
      </c>
      <c r="J1223" s="55"/>
      <c r="K1223" s="55">
        <v>5</v>
      </c>
      <c r="L1223" s="55">
        <v>1</v>
      </c>
      <c r="M1223" s="55">
        <v>8</v>
      </c>
      <c r="N1223" s="55"/>
      <c r="O1223" s="55"/>
      <c r="P1223" s="55">
        <v>7</v>
      </c>
      <c r="Q1223" s="55"/>
      <c r="R1223" s="56">
        <v>7</v>
      </c>
      <c r="S1223" s="55"/>
      <c r="T1223" s="55"/>
      <c r="U1223" s="55">
        <v>5</v>
      </c>
      <c r="V1223" s="56"/>
      <c r="W1223" s="56"/>
      <c r="X1223" s="56"/>
      <c r="Y1223" s="56"/>
      <c r="Z1223" s="55">
        <v>3</v>
      </c>
      <c r="AA1223" s="55">
        <v>34</v>
      </c>
      <c r="AB1223" s="57">
        <f>100/(SUM(I1223:Z1223))</f>
        <v>1.5151515151515151</v>
      </c>
      <c r="AC1223" s="259">
        <f>SUM(I1223:AA1223)</f>
        <v>100</v>
      </c>
      <c r="AD1223" s="55"/>
      <c r="AE1223" s="55"/>
      <c r="AF1223" s="55"/>
      <c r="AG1223" s="58" t="s">
        <v>155</v>
      </c>
      <c r="AH1223" s="59" t="s">
        <v>993</v>
      </c>
      <c r="AI1223" s="59"/>
      <c r="AJ1223" s="59"/>
      <c r="AK1223" s="53" t="s">
        <v>1029</v>
      </c>
      <c r="AL1223" s="58">
        <f>(B1223-DATE(1970,1,1))*86400</f>
        <v>1607904000</v>
      </c>
      <c r="AM1223" s="58">
        <f>(C1223-DATE(1970,1,1))*86400</f>
        <v>1608163200</v>
      </c>
      <c r="AN1223" s="58">
        <f>AVERAGE(AL1223:AM1223)</f>
        <v>1608033600</v>
      </c>
    </row>
    <row r="1224" spans="1:65" ht="15.75" customHeight="1" x14ac:dyDescent="0.2">
      <c r="A1224" s="281" t="s">
        <v>133</v>
      </c>
      <c r="B1224" s="54">
        <v>44177</v>
      </c>
      <c r="C1224" s="54">
        <v>44184</v>
      </c>
      <c r="D1224" s="53" t="s">
        <v>154</v>
      </c>
      <c r="E1224" s="323" t="s">
        <v>125</v>
      </c>
      <c r="F1224" s="53" t="s">
        <v>140</v>
      </c>
      <c r="G1224" s="53" t="s">
        <v>126</v>
      </c>
      <c r="H1224" s="357">
        <v>2499</v>
      </c>
      <c r="I1224" s="55"/>
      <c r="J1224" s="55"/>
      <c r="K1224" s="55"/>
      <c r="L1224" s="55"/>
      <c r="M1224" s="55"/>
      <c r="N1224" s="55"/>
      <c r="O1224" s="55"/>
      <c r="P1224" s="55"/>
      <c r="Q1224" s="55"/>
      <c r="R1224" s="56"/>
      <c r="S1224" s="55"/>
      <c r="T1224" s="55"/>
      <c r="U1224" s="55"/>
      <c r="V1224" s="55"/>
      <c r="W1224" s="55"/>
      <c r="X1224" s="55"/>
      <c r="Y1224" s="55"/>
      <c r="Z1224" s="55"/>
      <c r="AA1224" s="55"/>
      <c r="AB1224" s="57" t="e">
        <f>100/(SUM(I1224:Z1224))</f>
        <v>#DIV/0!</v>
      </c>
      <c r="AC1224" s="259">
        <f>SUM(I1224:AA1224)</f>
        <v>0</v>
      </c>
      <c r="AD1224" s="55"/>
      <c r="AE1224" s="55"/>
      <c r="AF1224" s="55"/>
      <c r="AG1224" s="58"/>
      <c r="AH1224" s="59"/>
      <c r="AI1224" s="59"/>
      <c r="AJ1224" s="59" t="s">
        <v>1044</v>
      </c>
      <c r="AK1224" s="53"/>
      <c r="AL1224" s="58">
        <f>(B1224-DATE(1970,1,1))*86400</f>
        <v>1607731200</v>
      </c>
      <c r="AM1224" s="58">
        <f>(C1224-DATE(1970,1,1))*86400</f>
        <v>1608336000</v>
      </c>
      <c r="AN1224" s="58">
        <f>AVERAGE(AL1224:AM1224)</f>
        <v>1608033600</v>
      </c>
    </row>
    <row r="1225" spans="1:65" ht="15.75" customHeight="1" x14ac:dyDescent="0.2">
      <c r="A1225" s="281" t="s">
        <v>123</v>
      </c>
      <c r="B1225" s="54">
        <v>44179</v>
      </c>
      <c r="C1225" s="54">
        <v>44182</v>
      </c>
      <c r="D1225" s="53" t="s">
        <v>154</v>
      </c>
      <c r="E1225" s="323" t="s">
        <v>125</v>
      </c>
      <c r="F1225" s="53" t="s">
        <v>140</v>
      </c>
      <c r="G1225" s="53" t="s">
        <v>126</v>
      </c>
      <c r="H1225" s="357">
        <v>1499</v>
      </c>
      <c r="I1225" s="55"/>
      <c r="J1225" s="55"/>
      <c r="K1225" s="55"/>
      <c r="L1225" s="55"/>
      <c r="M1225" s="55"/>
      <c r="N1225" s="55"/>
      <c r="O1225" s="55"/>
      <c r="P1225" s="55"/>
      <c r="Q1225" s="55"/>
      <c r="R1225" s="56"/>
      <c r="S1225" s="55"/>
      <c r="T1225" s="55"/>
      <c r="U1225" s="55"/>
      <c r="V1225" s="55"/>
      <c r="W1225" s="55"/>
      <c r="X1225" s="55"/>
      <c r="Y1225" s="55"/>
      <c r="Z1225" s="55"/>
      <c r="AA1225" s="55"/>
      <c r="AB1225" s="57" t="e">
        <f>100/(SUM(I1225:Z1225))</f>
        <v>#DIV/0!</v>
      </c>
      <c r="AC1225" s="259">
        <f>SUM(I1225:AA1225)</f>
        <v>0</v>
      </c>
      <c r="AD1225" s="55"/>
      <c r="AE1225" s="55"/>
      <c r="AF1225" s="55"/>
      <c r="AG1225" s="686" t="s">
        <v>155</v>
      </c>
      <c r="AH1225" s="59"/>
      <c r="AI1225" s="59"/>
      <c r="AJ1225" s="59" t="s">
        <v>1042</v>
      </c>
      <c r="AK1225" s="53"/>
      <c r="AL1225" s="58">
        <f>(B1225-DATE(1970,1,1))*86400</f>
        <v>1607904000</v>
      </c>
      <c r="AM1225" s="58">
        <f>(C1225-DATE(1970,1,1))*86400</f>
        <v>1608163200</v>
      </c>
      <c r="AN1225" s="58">
        <f>AVERAGE(AL1225:AM1225)</f>
        <v>1608033600</v>
      </c>
    </row>
    <row r="1226" spans="1:65" ht="15.75" customHeight="1" x14ac:dyDescent="0.2">
      <c r="A1226" s="281" t="s">
        <v>123</v>
      </c>
      <c r="B1226" s="54">
        <v>44179</v>
      </c>
      <c r="C1226" s="54">
        <v>44182</v>
      </c>
      <c r="D1226" s="53" t="s">
        <v>154</v>
      </c>
      <c r="E1226" s="323" t="s">
        <v>125</v>
      </c>
      <c r="F1226" s="53" t="s">
        <v>140</v>
      </c>
      <c r="G1226" s="53" t="s">
        <v>126</v>
      </c>
      <c r="H1226" s="357">
        <v>1499</v>
      </c>
      <c r="I1226" s="55"/>
      <c r="J1226" s="55"/>
      <c r="K1226" s="55"/>
      <c r="L1226" s="55"/>
      <c r="M1226" s="55"/>
      <c r="N1226" s="55"/>
      <c r="O1226" s="55"/>
      <c r="P1226" s="55"/>
      <c r="Q1226" s="55"/>
      <c r="R1226" s="56"/>
      <c r="S1226" s="55"/>
      <c r="T1226" s="55"/>
      <c r="U1226" s="55"/>
      <c r="V1226" s="55"/>
      <c r="W1226" s="55"/>
      <c r="X1226" s="55"/>
      <c r="Y1226" s="55"/>
      <c r="Z1226" s="55"/>
      <c r="AA1226" s="55"/>
      <c r="AB1226" s="57" t="e">
        <f>100/(SUM(I1226:Z1226))</f>
        <v>#DIV/0!</v>
      </c>
      <c r="AC1226" s="259">
        <f>SUM(I1226:AA1226)</f>
        <v>0</v>
      </c>
      <c r="AD1226" s="55"/>
      <c r="AE1226" s="55"/>
      <c r="AF1226" s="55"/>
      <c r="AG1226" s="58" t="s">
        <v>155</v>
      </c>
      <c r="AH1226" s="59"/>
      <c r="AI1226" s="59"/>
      <c r="AJ1226" s="59" t="s">
        <v>1043</v>
      </c>
      <c r="AK1226" s="53"/>
      <c r="AL1226" s="58">
        <f>(B1226-DATE(1970,1,1))*86400</f>
        <v>1607904000</v>
      </c>
      <c r="AM1226" s="58">
        <f>(C1226-DATE(1970,1,1))*86400</f>
        <v>1608163200</v>
      </c>
      <c r="AN1226" s="58">
        <f>AVERAGE(AL1226:AM1226)</f>
        <v>1608033600</v>
      </c>
    </row>
    <row r="1227" spans="1:65" ht="15.75" customHeight="1" x14ac:dyDescent="0.2">
      <c r="A1227" s="281" t="s">
        <v>123</v>
      </c>
      <c r="B1227" s="54">
        <v>44177</v>
      </c>
      <c r="C1227" s="54">
        <v>44184</v>
      </c>
      <c r="D1227" s="53" t="s">
        <v>154</v>
      </c>
      <c r="E1227" s="323" t="s">
        <v>125</v>
      </c>
      <c r="F1227" s="53" t="s">
        <v>140</v>
      </c>
      <c r="G1227" s="53" t="s">
        <v>126</v>
      </c>
      <c r="H1227" s="357">
        <v>2499</v>
      </c>
      <c r="I1227" s="55"/>
      <c r="J1227" s="55"/>
      <c r="K1227" s="55"/>
      <c r="L1227" s="55"/>
      <c r="M1227" s="55"/>
      <c r="N1227" s="55"/>
      <c r="O1227" s="55"/>
      <c r="P1227" s="55"/>
      <c r="Q1227" s="55"/>
      <c r="R1227" s="56"/>
      <c r="S1227" s="55"/>
      <c r="T1227" s="55"/>
      <c r="U1227" s="55"/>
      <c r="V1227" s="55"/>
      <c r="W1227" s="55"/>
      <c r="X1227" s="55"/>
      <c r="Y1227" s="55"/>
      <c r="Z1227" s="55"/>
      <c r="AA1227" s="55"/>
      <c r="AB1227" s="57" t="e">
        <f>100/(SUM(I1227:Z1227))</f>
        <v>#DIV/0!</v>
      </c>
      <c r="AC1227" s="259">
        <f>SUM(I1227:AA1227)</f>
        <v>0</v>
      </c>
      <c r="AD1227" s="55"/>
      <c r="AE1227" s="55"/>
      <c r="AF1227" s="55"/>
      <c r="AG1227" s="58"/>
      <c r="AH1227" s="59"/>
      <c r="AI1227" s="59"/>
      <c r="AJ1227" s="59" t="s">
        <v>1044</v>
      </c>
      <c r="AK1227" s="53"/>
      <c r="AL1227" s="58">
        <f>(B1227-DATE(1970,1,1))*86400</f>
        <v>1607731200</v>
      </c>
      <c r="AM1227" s="58">
        <f>(C1227-DATE(1970,1,1))*86400</f>
        <v>1608336000</v>
      </c>
      <c r="AN1227" s="58">
        <f>AVERAGE(AL1227:AM1227)</f>
        <v>1608033600</v>
      </c>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c r="BL1227" s="6"/>
      <c r="BM1227" s="6"/>
    </row>
    <row r="1228" spans="1:65" ht="15.75" customHeight="1" x14ac:dyDescent="0.2">
      <c r="A1228" s="281" t="s">
        <v>123</v>
      </c>
      <c r="B1228" s="54">
        <v>44177</v>
      </c>
      <c r="C1228" s="54">
        <v>44184</v>
      </c>
      <c r="D1228" s="53" t="s">
        <v>154</v>
      </c>
      <c r="E1228" s="323" t="s">
        <v>125</v>
      </c>
      <c r="F1228" s="53" t="s">
        <v>140</v>
      </c>
      <c r="G1228" s="53" t="s">
        <v>126</v>
      </c>
      <c r="H1228" s="357">
        <v>2499</v>
      </c>
      <c r="I1228" s="55"/>
      <c r="J1228" s="55"/>
      <c r="K1228" s="55"/>
      <c r="L1228" s="55"/>
      <c r="M1228" s="55"/>
      <c r="N1228" s="55"/>
      <c r="O1228" s="55"/>
      <c r="P1228" s="55"/>
      <c r="Q1228" s="55"/>
      <c r="R1228" s="56"/>
      <c r="S1228" s="55"/>
      <c r="T1228" s="55"/>
      <c r="U1228" s="55"/>
      <c r="V1228" s="55"/>
      <c r="W1228" s="55"/>
      <c r="X1228" s="55"/>
      <c r="Y1228" s="55"/>
      <c r="Z1228" s="55"/>
      <c r="AA1228" s="55"/>
      <c r="AB1228" s="57" t="e">
        <f>100/(SUM(I1228:Z1228))</f>
        <v>#DIV/0!</v>
      </c>
      <c r="AC1228" s="259">
        <f>SUM(I1228:AA1228)</f>
        <v>0</v>
      </c>
      <c r="AD1228" s="55"/>
      <c r="AE1228" s="55"/>
      <c r="AF1228" s="55"/>
      <c r="AG1228" s="58"/>
      <c r="AH1228" s="59"/>
      <c r="AI1228" s="59"/>
      <c r="AJ1228" s="59" t="s">
        <v>1044</v>
      </c>
      <c r="AK1228" s="53"/>
      <c r="AL1228" s="58">
        <f>(B1228-DATE(1970,1,1))*86400</f>
        <v>1607731200</v>
      </c>
      <c r="AM1228" s="58">
        <f>(C1228-DATE(1970,1,1))*86400</f>
        <v>1608336000</v>
      </c>
      <c r="AN1228" s="58">
        <f>AVERAGE(AL1228:AM1228)</f>
        <v>1608033600</v>
      </c>
    </row>
    <row r="1229" spans="1:65" ht="15.75" customHeight="1" x14ac:dyDescent="0.2">
      <c r="A1229" s="279" t="s">
        <v>133</v>
      </c>
      <c r="B1229" s="14">
        <v>44179</v>
      </c>
      <c r="C1229" s="14">
        <v>44181</v>
      </c>
      <c r="D1229" s="13" t="s">
        <v>124</v>
      </c>
      <c r="E1229" s="324" t="s">
        <v>125</v>
      </c>
      <c r="F1229" s="13" t="s">
        <v>390</v>
      </c>
      <c r="G1229" s="13" t="s">
        <v>126</v>
      </c>
      <c r="H1229" s="372">
        <v>1000</v>
      </c>
      <c r="I1229" s="15">
        <v>42</v>
      </c>
      <c r="J1229" s="15"/>
      <c r="K1229" s="15"/>
      <c r="L1229" s="15"/>
      <c r="M1229" s="15"/>
      <c r="N1229" s="15"/>
      <c r="O1229" s="15"/>
      <c r="P1229" s="15"/>
      <c r="Q1229" s="15"/>
      <c r="R1229" s="15"/>
      <c r="S1229" s="15"/>
      <c r="T1229" s="15"/>
      <c r="U1229" s="15">
        <v>40</v>
      </c>
      <c r="V1229" s="15">
        <v>1</v>
      </c>
      <c r="W1229" s="15"/>
      <c r="X1229" s="15">
        <v>2</v>
      </c>
      <c r="Y1229" s="15"/>
      <c r="Z1229" s="15">
        <v>1</v>
      </c>
      <c r="AA1229" s="15">
        <v>14</v>
      </c>
      <c r="AB1229" s="16">
        <f>100/(SUM(I1229:Z1229))</f>
        <v>1.1627906976744187</v>
      </c>
      <c r="AC1229" s="259">
        <f>SUM(I1229:AA1229)</f>
        <v>100</v>
      </c>
      <c r="AD1229" s="15"/>
      <c r="AE1229" s="15"/>
      <c r="AF1229" s="15"/>
      <c r="AG1229" s="17" t="s">
        <v>127</v>
      </c>
      <c r="AH1229" s="18" t="s">
        <v>1045</v>
      </c>
      <c r="AI1229" s="18" t="s">
        <v>1046</v>
      </c>
      <c r="AJ1229" s="18" t="s">
        <v>1047</v>
      </c>
      <c r="AK1229" s="13" t="s">
        <v>1048</v>
      </c>
      <c r="AL1229" s="17">
        <f>(B1229-DATE(1970,1,1))*86400</f>
        <v>1607904000</v>
      </c>
      <c r="AM1229" s="17">
        <f>(C1229-DATE(1970,1,1))*86400</f>
        <v>1608076800</v>
      </c>
      <c r="AN1229" s="17">
        <f>AVERAGE(AL1229:AM1229)</f>
        <v>1607990400</v>
      </c>
    </row>
    <row r="1230" spans="1:65" ht="15.75" customHeight="1" x14ac:dyDescent="0.2">
      <c r="A1230" s="279" t="s">
        <v>123</v>
      </c>
      <c r="B1230" s="14">
        <v>44179</v>
      </c>
      <c r="C1230" s="14">
        <v>44181</v>
      </c>
      <c r="D1230" s="13" t="s">
        <v>124</v>
      </c>
      <c r="E1230" s="324" t="s">
        <v>125</v>
      </c>
      <c r="F1230" s="13" t="s">
        <v>390</v>
      </c>
      <c r="G1230" s="13" t="s">
        <v>126</v>
      </c>
      <c r="H1230" s="372">
        <v>1000</v>
      </c>
      <c r="I1230" s="15">
        <v>51</v>
      </c>
      <c r="J1230" s="15"/>
      <c r="K1230" s="15"/>
      <c r="L1230" s="15"/>
      <c r="M1230" s="15"/>
      <c r="N1230" s="15"/>
      <c r="O1230" s="15"/>
      <c r="P1230" s="15"/>
      <c r="Q1230" s="15"/>
      <c r="R1230" s="15"/>
      <c r="S1230" s="15"/>
      <c r="T1230" s="15"/>
      <c r="U1230" s="15">
        <v>43</v>
      </c>
      <c r="V1230" s="15">
        <v>3</v>
      </c>
      <c r="W1230" s="15"/>
      <c r="X1230" s="15">
        <v>2</v>
      </c>
      <c r="Y1230" s="15"/>
      <c r="Z1230" s="15">
        <v>1</v>
      </c>
      <c r="AA1230" s="15">
        <v>0</v>
      </c>
      <c r="AB1230" s="16">
        <f>100/(SUM(I1230:Z1230))</f>
        <v>1</v>
      </c>
      <c r="AC1230" s="259">
        <f>SUM(I1230:AA1230)</f>
        <v>100</v>
      </c>
      <c r="AD1230" s="15"/>
      <c r="AE1230" s="15"/>
      <c r="AF1230" s="15"/>
      <c r="AG1230" s="17" t="s">
        <v>127</v>
      </c>
      <c r="AH1230" s="18" t="s">
        <v>1045</v>
      </c>
      <c r="AI1230" s="18" t="s">
        <v>1046</v>
      </c>
      <c r="AJ1230" s="18" t="s">
        <v>1047</v>
      </c>
      <c r="AK1230" s="13" t="s">
        <v>1049</v>
      </c>
      <c r="AL1230" s="17">
        <f>(B1230-DATE(1970,1,1))*86400</f>
        <v>1607904000</v>
      </c>
      <c r="AM1230" s="17">
        <f>(C1230-DATE(1970,1,1))*86400</f>
        <v>1608076800</v>
      </c>
      <c r="AN1230" s="17">
        <f>AVERAGE(AL1230:AM1230)</f>
        <v>1607990400</v>
      </c>
    </row>
    <row r="1231" spans="1:65" ht="15.75" customHeight="1" x14ac:dyDescent="0.2">
      <c r="A1231" s="284" t="s">
        <v>133</v>
      </c>
      <c r="B1231" s="20">
        <v>44176</v>
      </c>
      <c r="C1231" s="20">
        <v>44180</v>
      </c>
      <c r="D1231" s="19" t="s">
        <v>134</v>
      </c>
      <c r="E1231" s="332" t="s">
        <v>125</v>
      </c>
      <c r="F1231" s="19"/>
      <c r="G1231" s="19" t="s">
        <v>135</v>
      </c>
      <c r="H1231" s="332">
        <v>2000</v>
      </c>
      <c r="I1231" s="21">
        <v>31</v>
      </c>
      <c r="J1231" s="21"/>
      <c r="K1231" s="21">
        <v>7</v>
      </c>
      <c r="L1231" s="21">
        <v>1</v>
      </c>
      <c r="M1231" s="21">
        <v>11</v>
      </c>
      <c r="N1231" s="21"/>
      <c r="O1231" s="21"/>
      <c r="P1231" s="21">
        <v>7</v>
      </c>
      <c r="Q1231" s="21"/>
      <c r="R1231" s="22">
        <v>7</v>
      </c>
      <c r="S1231" s="21"/>
      <c r="T1231" s="21"/>
      <c r="U1231" s="21"/>
      <c r="V1231" s="21">
        <v>2</v>
      </c>
      <c r="W1231" s="21"/>
      <c r="X1231" s="21">
        <v>2</v>
      </c>
      <c r="Y1231" s="21"/>
      <c r="Z1231" s="21">
        <v>1</v>
      </c>
      <c r="AA1231" s="21">
        <v>31</v>
      </c>
      <c r="AB1231" s="23">
        <f>100/(SUM(I1231:Z1231))</f>
        <v>1.4492753623188406</v>
      </c>
      <c r="AC1231" s="259">
        <f>SUM(I1231:AA1231)</f>
        <v>100</v>
      </c>
      <c r="AD1231" s="24"/>
      <c r="AE1231" s="24"/>
      <c r="AF1231" s="24"/>
      <c r="AG1231" s="25" t="s">
        <v>127</v>
      </c>
      <c r="AH1231" s="26" t="s">
        <v>1050</v>
      </c>
      <c r="AI1231" s="83"/>
      <c r="AJ1231" s="83"/>
      <c r="AK1231" s="19" t="s">
        <v>882</v>
      </c>
      <c r="AL1231" s="25">
        <f>(B1231-DATE(1970,1,1))*86400</f>
        <v>1607644800</v>
      </c>
      <c r="AM1231" s="25">
        <f>(C1231-DATE(1970,1,1))*86400</f>
        <v>1607990400</v>
      </c>
      <c r="AN1231" s="25">
        <f>AVERAGE(AL1231:AM1231)</f>
        <v>1607817600</v>
      </c>
    </row>
    <row r="1232" spans="1:65" ht="15.75" customHeight="1" x14ac:dyDescent="0.2">
      <c r="A1232" s="284" t="s">
        <v>123</v>
      </c>
      <c r="B1232" s="20">
        <v>44176</v>
      </c>
      <c r="C1232" s="20">
        <v>44180</v>
      </c>
      <c r="D1232" s="19" t="s">
        <v>134</v>
      </c>
      <c r="E1232" s="332" t="s">
        <v>125</v>
      </c>
      <c r="F1232" s="19"/>
      <c r="G1232" s="19" t="s">
        <v>135</v>
      </c>
      <c r="H1232" s="332">
        <v>2000</v>
      </c>
      <c r="I1232" s="21">
        <v>47</v>
      </c>
      <c r="J1232" s="21"/>
      <c r="K1232" s="21">
        <v>9</v>
      </c>
      <c r="L1232" s="21">
        <v>2</v>
      </c>
      <c r="M1232" s="21">
        <v>17</v>
      </c>
      <c r="N1232" s="21"/>
      <c r="O1232" s="21"/>
      <c r="P1232" s="21">
        <v>11</v>
      </c>
      <c r="Q1232" s="21"/>
      <c r="R1232" s="22">
        <v>8</v>
      </c>
      <c r="S1232" s="21"/>
      <c r="T1232" s="21"/>
      <c r="U1232" s="21"/>
      <c r="V1232" s="21">
        <v>2</v>
      </c>
      <c r="W1232" s="21"/>
      <c r="X1232" s="21">
        <v>3</v>
      </c>
      <c r="Y1232" s="21"/>
      <c r="Z1232" s="21">
        <v>1</v>
      </c>
      <c r="AA1232" s="21">
        <v>0</v>
      </c>
      <c r="AB1232" s="23">
        <f>100/(SUM(I1232:Z1232))</f>
        <v>1</v>
      </c>
      <c r="AC1232" s="259">
        <f>SUM(I1232:AA1232)</f>
        <v>100</v>
      </c>
      <c r="AD1232" s="24"/>
      <c r="AE1232" s="24"/>
      <c r="AF1232" s="24"/>
      <c r="AG1232" s="25" t="s">
        <v>127</v>
      </c>
      <c r="AH1232" s="26" t="s">
        <v>1050</v>
      </c>
      <c r="AI1232" s="83"/>
      <c r="AJ1232" s="83"/>
      <c r="AK1232" s="19" t="s">
        <v>1018</v>
      </c>
      <c r="AL1232" s="25">
        <f>(B1232-DATE(1970,1,1))*86400</f>
        <v>1607644800</v>
      </c>
      <c r="AM1232" s="25">
        <f>(C1232-DATE(1970,1,1))*86400</f>
        <v>1607990400</v>
      </c>
      <c r="AN1232" s="25">
        <f>AVERAGE(AL1232:AM1232)</f>
        <v>1607817600</v>
      </c>
    </row>
    <row r="1233" spans="1:65" ht="15.75" customHeight="1" x14ac:dyDescent="0.2">
      <c r="A1233" s="288" t="s">
        <v>133</v>
      </c>
      <c r="B1233" s="60">
        <v>44173</v>
      </c>
      <c r="C1233" s="60">
        <v>44180</v>
      </c>
      <c r="D1233" s="61" t="s">
        <v>168</v>
      </c>
      <c r="E1233" s="334" t="s">
        <v>125</v>
      </c>
      <c r="F1233" s="61"/>
      <c r="G1233" s="61" t="s">
        <v>126</v>
      </c>
      <c r="H1233" s="334">
        <v>1000</v>
      </c>
      <c r="I1233" s="63">
        <v>30</v>
      </c>
      <c r="J1233" s="63"/>
      <c r="K1233" s="63">
        <v>6</v>
      </c>
      <c r="L1233" s="63">
        <v>1</v>
      </c>
      <c r="M1233" s="63">
        <v>10</v>
      </c>
      <c r="N1233" s="63"/>
      <c r="O1233" s="63"/>
      <c r="P1233" s="63">
        <v>10</v>
      </c>
      <c r="Q1233" s="63"/>
      <c r="R1233" s="64">
        <v>8</v>
      </c>
      <c r="S1233" s="63"/>
      <c r="T1233" s="63"/>
      <c r="U1233" s="63"/>
      <c r="V1233" s="63">
        <v>1</v>
      </c>
      <c r="W1233" s="63"/>
      <c r="X1233" s="63">
        <v>1</v>
      </c>
      <c r="Y1233" s="63"/>
      <c r="Z1233" s="63"/>
      <c r="AA1233" s="63">
        <v>33</v>
      </c>
      <c r="AB1233" s="65">
        <f>100/(SUM(I1233:Z1233))</f>
        <v>1.4925373134328359</v>
      </c>
      <c r="AC1233" s="259">
        <f>SUM(I1233:AA1233)</f>
        <v>100</v>
      </c>
      <c r="AD1233" s="63">
        <v>72</v>
      </c>
      <c r="AE1233" s="63"/>
      <c r="AF1233" s="63"/>
      <c r="AG1233" s="66" t="s">
        <v>127</v>
      </c>
      <c r="AH1233" s="67" t="s">
        <v>1051</v>
      </c>
      <c r="AI1233" s="67" t="s">
        <v>1052</v>
      </c>
      <c r="AJ1233" s="67"/>
      <c r="AK1233" s="61" t="s">
        <v>1054</v>
      </c>
      <c r="AL1233" s="66">
        <f>(B1233-DATE(1970,1,1))*86400</f>
        <v>1607385600</v>
      </c>
      <c r="AM1233" s="66">
        <f>(C1233-DATE(1970,1,1))*86400</f>
        <v>1607990400</v>
      </c>
      <c r="AN1233" s="66">
        <f>AVERAGE(AL1233:AM1233)</f>
        <v>1607688000</v>
      </c>
    </row>
    <row r="1234" spans="1:65" ht="15.75" customHeight="1" x14ac:dyDescent="0.2">
      <c r="A1234" s="288" t="s">
        <v>133</v>
      </c>
      <c r="B1234" s="60">
        <v>44173</v>
      </c>
      <c r="C1234" s="60">
        <v>44180</v>
      </c>
      <c r="D1234" s="61" t="s">
        <v>168</v>
      </c>
      <c r="E1234" s="334" t="s">
        <v>125</v>
      </c>
      <c r="F1234" s="61"/>
      <c r="G1234" s="61" t="s">
        <v>126</v>
      </c>
      <c r="H1234" s="334">
        <v>1000</v>
      </c>
      <c r="I1234" s="63">
        <v>46</v>
      </c>
      <c r="J1234" s="63"/>
      <c r="K1234" s="63">
        <v>8</v>
      </c>
      <c r="L1234" s="63">
        <v>2</v>
      </c>
      <c r="M1234" s="63">
        <v>15</v>
      </c>
      <c r="N1234" s="63"/>
      <c r="O1234" s="63"/>
      <c r="P1234" s="63">
        <v>14</v>
      </c>
      <c r="Q1234" s="63"/>
      <c r="R1234" s="64">
        <v>11</v>
      </c>
      <c r="S1234" s="63"/>
      <c r="T1234" s="63"/>
      <c r="U1234" s="63"/>
      <c r="V1234" s="63">
        <v>2</v>
      </c>
      <c r="W1234" s="63"/>
      <c r="X1234" s="63">
        <v>2</v>
      </c>
      <c r="Y1234" s="63"/>
      <c r="Z1234" s="63"/>
      <c r="AA1234" s="63">
        <v>0</v>
      </c>
      <c r="AB1234" s="65">
        <f>100/(SUM(I1234:Z1234))</f>
        <v>1</v>
      </c>
      <c r="AC1234" s="259">
        <f>SUM(I1234:AA1234)</f>
        <v>100</v>
      </c>
      <c r="AD1234" s="63"/>
      <c r="AE1234" s="63"/>
      <c r="AF1234" s="63"/>
      <c r="AG1234" s="66" t="s">
        <v>127</v>
      </c>
      <c r="AH1234" s="67" t="s">
        <v>1051</v>
      </c>
      <c r="AI1234" s="67" t="s">
        <v>1052</v>
      </c>
      <c r="AJ1234" s="67"/>
      <c r="AK1234" s="61" t="s">
        <v>1053</v>
      </c>
      <c r="AL1234" s="66">
        <f>(B1234-DATE(1970,1,1))*86400</f>
        <v>1607385600</v>
      </c>
      <c r="AM1234" s="66">
        <f>(C1234-DATE(1970,1,1))*86400</f>
        <v>1607990400</v>
      </c>
      <c r="AN1234" s="66">
        <f>AVERAGE(AL1234:AM1234)</f>
        <v>1607688000</v>
      </c>
    </row>
    <row r="1235" spans="1:65" ht="15.75" customHeight="1" x14ac:dyDescent="0.2">
      <c r="A1235" s="308" t="s">
        <v>133</v>
      </c>
      <c r="B1235" s="147">
        <v>44163</v>
      </c>
      <c r="C1235" s="147">
        <v>44182</v>
      </c>
      <c r="D1235" s="146" t="s">
        <v>2444</v>
      </c>
      <c r="E1235" s="346" t="s">
        <v>184</v>
      </c>
      <c r="F1235" s="146"/>
      <c r="G1235" s="146" t="s">
        <v>149</v>
      </c>
      <c r="H1235" s="346">
        <v>2000</v>
      </c>
      <c r="I1235" s="148">
        <v>34</v>
      </c>
      <c r="J1235" s="148"/>
      <c r="K1235" s="148">
        <v>6</v>
      </c>
      <c r="L1235" s="148">
        <v>2</v>
      </c>
      <c r="M1235" s="148">
        <v>9</v>
      </c>
      <c r="N1235" s="148"/>
      <c r="O1235" s="148"/>
      <c r="P1235" s="148">
        <v>3</v>
      </c>
      <c r="Q1235" s="148"/>
      <c r="R1235" s="148">
        <v>5</v>
      </c>
      <c r="S1235" s="148" t="s">
        <v>355</v>
      </c>
      <c r="T1235" s="148"/>
      <c r="U1235" s="148">
        <v>3</v>
      </c>
      <c r="V1235" s="148">
        <v>1</v>
      </c>
      <c r="W1235" s="148"/>
      <c r="X1235" s="148"/>
      <c r="Y1235" s="148"/>
      <c r="Z1235" s="148">
        <v>2</v>
      </c>
      <c r="AA1235" s="148">
        <v>35</v>
      </c>
      <c r="AB1235" s="149">
        <f>100/(SUM(I1235:Z1235))</f>
        <v>1.5384615384615385</v>
      </c>
      <c r="AC1235" s="259">
        <f>SUM(I1235:AA1235)</f>
        <v>100</v>
      </c>
      <c r="AD1235" s="148"/>
      <c r="AE1235" s="148"/>
      <c r="AF1235" s="148"/>
      <c r="AG1235" s="150" t="s">
        <v>1058</v>
      </c>
      <c r="AH1235" s="548" t="s">
        <v>1059</v>
      </c>
      <c r="AI1235" s="152" t="s">
        <v>2440</v>
      </c>
      <c r="AJ1235" s="152"/>
      <c r="AK1235" s="146" t="s">
        <v>1057</v>
      </c>
      <c r="AL1235" s="150">
        <f>(B1235-DATE(1970,1,1))*86400</f>
        <v>1606521600</v>
      </c>
      <c r="AM1235" s="150">
        <f>(C1235-DATE(1970,1,1))*86400</f>
        <v>1608163200</v>
      </c>
      <c r="AN1235" s="150">
        <f>AVERAGE(AL1235:AM1235)</f>
        <v>1607342400</v>
      </c>
    </row>
    <row r="1236" spans="1:65" ht="15.75" customHeight="1" x14ac:dyDescent="0.2">
      <c r="A1236" s="308" t="s">
        <v>133</v>
      </c>
      <c r="B1236" s="147">
        <v>44163</v>
      </c>
      <c r="C1236" s="147">
        <v>44182</v>
      </c>
      <c r="D1236" s="146" t="s">
        <v>2444</v>
      </c>
      <c r="E1236" s="346" t="s">
        <v>184</v>
      </c>
      <c r="F1236" s="146" t="s">
        <v>390</v>
      </c>
      <c r="G1236" s="146" t="s">
        <v>149</v>
      </c>
      <c r="H1236" s="346">
        <v>2000</v>
      </c>
      <c r="I1236" s="148">
        <v>34</v>
      </c>
      <c r="J1236" s="148"/>
      <c r="K1236" s="148"/>
      <c r="L1236" s="148"/>
      <c r="M1236" s="148"/>
      <c r="N1236" s="148"/>
      <c r="O1236" s="148"/>
      <c r="P1236" s="148"/>
      <c r="Q1236" s="148"/>
      <c r="R1236" s="148"/>
      <c r="S1236" s="148"/>
      <c r="T1236" s="148"/>
      <c r="U1236" s="148">
        <v>30</v>
      </c>
      <c r="V1236" s="148"/>
      <c r="W1236" s="148"/>
      <c r="X1236" s="148"/>
      <c r="Y1236" s="148"/>
      <c r="Z1236" s="148">
        <v>2</v>
      </c>
      <c r="AA1236" s="148">
        <v>34</v>
      </c>
      <c r="AB1236" s="149">
        <f>100/(SUM(I1236:Z1236))</f>
        <v>1.5151515151515151</v>
      </c>
      <c r="AC1236" s="259">
        <f>SUM(I1236:AA1236)</f>
        <v>100</v>
      </c>
      <c r="AD1236" s="148"/>
      <c r="AE1236" s="148"/>
      <c r="AF1236" s="148"/>
      <c r="AG1236" s="150" t="s">
        <v>1055</v>
      </c>
      <c r="AH1236" s="151" t="s">
        <v>1056</v>
      </c>
      <c r="AI1236" s="152" t="s">
        <v>2440</v>
      </c>
      <c r="AJ1236" s="152"/>
      <c r="AK1236" s="146" t="s">
        <v>1057</v>
      </c>
      <c r="AL1236" s="150">
        <f>(B1236-DATE(1970,1,1))*86400</f>
        <v>1606521600</v>
      </c>
      <c r="AM1236" s="150">
        <f>(C1236-DATE(1970,1,1))*86400</f>
        <v>1608163200</v>
      </c>
      <c r="AN1236" s="150">
        <f>AVERAGE(AL1236:AM1236)</f>
        <v>1607342400</v>
      </c>
    </row>
    <row r="1237" spans="1:65" ht="15.75" customHeight="1" x14ac:dyDescent="0.2">
      <c r="A1237" s="308" t="s">
        <v>123</v>
      </c>
      <c r="B1237" s="147">
        <v>44163</v>
      </c>
      <c r="C1237" s="147">
        <v>44182</v>
      </c>
      <c r="D1237" s="146" t="s">
        <v>2444</v>
      </c>
      <c r="E1237" s="346" t="s">
        <v>184</v>
      </c>
      <c r="F1237" s="146"/>
      <c r="G1237" s="146" t="s">
        <v>149</v>
      </c>
      <c r="H1237" s="346">
        <v>2000</v>
      </c>
      <c r="I1237" s="148">
        <v>56</v>
      </c>
      <c r="J1237" s="148"/>
      <c r="K1237" s="148">
        <v>10</v>
      </c>
      <c r="L1237" s="148">
        <v>3</v>
      </c>
      <c r="M1237" s="148">
        <v>13</v>
      </c>
      <c r="N1237" s="148"/>
      <c r="O1237" s="148"/>
      <c r="P1237" s="148">
        <v>3</v>
      </c>
      <c r="Q1237" s="148"/>
      <c r="R1237" s="148">
        <v>6</v>
      </c>
      <c r="S1237" s="148"/>
      <c r="T1237" s="148"/>
      <c r="U1237" s="148">
        <v>6</v>
      </c>
      <c r="V1237" s="148">
        <v>1</v>
      </c>
      <c r="W1237" s="148"/>
      <c r="X1237" s="148"/>
      <c r="Y1237" s="148"/>
      <c r="Z1237" s="148">
        <v>2</v>
      </c>
      <c r="AA1237" s="148">
        <v>0</v>
      </c>
      <c r="AB1237" s="149">
        <f>100/(SUM(I1237:Z1237))</f>
        <v>1</v>
      </c>
      <c r="AC1237" s="259">
        <f>SUM(I1237:AA1237)</f>
        <v>100</v>
      </c>
      <c r="AD1237" s="148"/>
      <c r="AE1237" s="148"/>
      <c r="AF1237" s="148"/>
      <c r="AG1237" s="150" t="s">
        <v>1058</v>
      </c>
      <c r="AH1237" s="151" t="s">
        <v>1059</v>
      </c>
      <c r="AI1237" s="152" t="s">
        <v>2440</v>
      </c>
      <c r="AJ1237" s="152"/>
      <c r="AK1237" s="146" t="s">
        <v>1057</v>
      </c>
      <c r="AL1237" s="150">
        <f>(B1237-DATE(1970,1,1))*86400</f>
        <v>1606521600</v>
      </c>
      <c r="AM1237" s="150">
        <f>(C1237-DATE(1970,1,1))*86400</f>
        <v>1608163200</v>
      </c>
      <c r="AN1237" s="150">
        <f>AVERAGE(AL1237:AM1237)</f>
        <v>1607342400</v>
      </c>
    </row>
    <row r="1238" spans="1:65" ht="15.75" customHeight="1" x14ac:dyDescent="0.2">
      <c r="A1238" s="285" t="s">
        <v>133</v>
      </c>
      <c r="B1238" s="34">
        <v>44169</v>
      </c>
      <c r="C1238" s="34">
        <v>44172</v>
      </c>
      <c r="D1238" s="33" t="s">
        <v>143</v>
      </c>
      <c r="E1238" s="319" t="s">
        <v>125</v>
      </c>
      <c r="F1238" s="33"/>
      <c r="G1238" s="33" t="s">
        <v>126</v>
      </c>
      <c r="H1238" s="353">
        <v>600</v>
      </c>
      <c r="I1238" s="35">
        <v>31</v>
      </c>
      <c r="J1238" s="35"/>
      <c r="K1238" s="35">
        <v>8</v>
      </c>
      <c r="L1238" s="35">
        <v>2</v>
      </c>
      <c r="M1238" s="35">
        <v>6</v>
      </c>
      <c r="N1238" s="35"/>
      <c r="O1238" s="35"/>
      <c r="P1238" s="35">
        <v>7</v>
      </c>
      <c r="Q1238" s="35"/>
      <c r="R1238" s="36">
        <v>2</v>
      </c>
      <c r="S1238" s="35"/>
      <c r="T1238" s="35"/>
      <c r="U1238" s="35"/>
      <c r="V1238" s="35">
        <v>5</v>
      </c>
      <c r="W1238" s="35"/>
      <c r="X1238" s="35">
        <v>2</v>
      </c>
      <c r="Y1238" s="35"/>
      <c r="Z1238" s="35">
        <v>3</v>
      </c>
      <c r="AA1238" s="35">
        <v>34</v>
      </c>
      <c r="AB1238" s="37">
        <f>100/(SUM(I1238:Z1238))</f>
        <v>1.5151515151515151</v>
      </c>
      <c r="AC1238" s="259">
        <f>SUM(I1238:AA1238)</f>
        <v>100</v>
      </c>
      <c r="AD1238" s="35"/>
      <c r="AE1238" s="35"/>
      <c r="AF1238" s="35"/>
      <c r="AG1238" s="39" t="s">
        <v>144</v>
      </c>
      <c r="AH1238" s="33" t="s">
        <v>1065</v>
      </c>
      <c r="AI1238" s="33"/>
      <c r="AJ1238" s="38" t="s">
        <v>1066</v>
      </c>
      <c r="AK1238" s="33" t="s">
        <v>911</v>
      </c>
      <c r="AL1238" s="39">
        <f>(B1238-DATE(1970,1,1))*86400</f>
        <v>1607040000</v>
      </c>
      <c r="AM1238" s="39">
        <f>(C1238-DATE(1970,1,1))*86400</f>
        <v>1607299200</v>
      </c>
      <c r="AN1238" s="39">
        <f>AVERAGE(AL1238:AM1238)</f>
        <v>1607169600</v>
      </c>
    </row>
    <row r="1239" spans="1:65" ht="15.75" customHeight="1" x14ac:dyDescent="0.2">
      <c r="A1239" s="285" t="s">
        <v>133</v>
      </c>
      <c r="B1239" s="34">
        <v>44169</v>
      </c>
      <c r="C1239" s="34">
        <v>44172</v>
      </c>
      <c r="D1239" s="33" t="s">
        <v>143</v>
      </c>
      <c r="E1239" s="319" t="s">
        <v>125</v>
      </c>
      <c r="F1239" s="33" t="s">
        <v>2530</v>
      </c>
      <c r="G1239" s="33" t="s">
        <v>126</v>
      </c>
      <c r="H1239" s="353">
        <v>600</v>
      </c>
      <c r="I1239" s="35">
        <v>34</v>
      </c>
      <c r="J1239" s="35"/>
      <c r="K1239" s="35"/>
      <c r="L1239" s="35"/>
      <c r="M1239" s="35"/>
      <c r="N1239" s="35"/>
      <c r="O1239" s="35"/>
      <c r="P1239" s="35"/>
      <c r="Q1239" s="35"/>
      <c r="R1239" s="36"/>
      <c r="S1239" s="35"/>
      <c r="T1239" s="35"/>
      <c r="U1239" s="35">
        <v>36</v>
      </c>
      <c r="V1239" s="35"/>
      <c r="W1239" s="35"/>
      <c r="X1239" s="35"/>
      <c r="Y1239" s="35"/>
      <c r="Z1239" s="35"/>
      <c r="AA1239" s="35">
        <v>30</v>
      </c>
      <c r="AB1239" s="37">
        <f>100/(SUM(I1239:Z1239))</f>
        <v>1.4285714285714286</v>
      </c>
      <c r="AC1239" s="259">
        <f>SUM(I1239:AA1239)</f>
        <v>100</v>
      </c>
      <c r="AD1239" s="35"/>
      <c r="AE1239" s="35"/>
      <c r="AF1239" s="35"/>
      <c r="AG1239" s="39" t="s">
        <v>144</v>
      </c>
      <c r="AH1239" s="38" t="s">
        <v>1060</v>
      </c>
      <c r="AI1239" s="33" t="s">
        <v>1061</v>
      </c>
      <c r="AJ1239" s="38" t="s">
        <v>1062</v>
      </c>
      <c r="AK1239" s="33" t="s">
        <v>1063</v>
      </c>
      <c r="AL1239" s="39">
        <f>(B1239-DATE(1970,1,1))*86400</f>
        <v>1607040000</v>
      </c>
      <c r="AM1239" s="39">
        <f>(C1239-DATE(1970,1,1))*86400</f>
        <v>1607299200</v>
      </c>
      <c r="AN1239" s="39">
        <f>AVERAGE(AL1239:AM1239)</f>
        <v>1607169600</v>
      </c>
    </row>
    <row r="1240" spans="1:65" ht="15.75" customHeight="1" x14ac:dyDescent="0.2">
      <c r="A1240" s="285" t="s">
        <v>133</v>
      </c>
      <c r="B1240" s="34">
        <v>44169</v>
      </c>
      <c r="C1240" s="34">
        <v>44172</v>
      </c>
      <c r="D1240" s="33" t="s">
        <v>143</v>
      </c>
      <c r="E1240" s="319" t="s">
        <v>125</v>
      </c>
      <c r="F1240" s="33"/>
      <c r="G1240" s="33" t="s">
        <v>126</v>
      </c>
      <c r="H1240" s="353">
        <v>600</v>
      </c>
      <c r="I1240" s="35">
        <v>48</v>
      </c>
      <c r="J1240" s="35"/>
      <c r="K1240" s="35">
        <v>12</v>
      </c>
      <c r="L1240" s="35">
        <v>3</v>
      </c>
      <c r="M1240" s="35">
        <v>9</v>
      </c>
      <c r="N1240" s="35"/>
      <c r="O1240" s="35"/>
      <c r="P1240" s="35">
        <v>10</v>
      </c>
      <c r="Q1240" s="35"/>
      <c r="R1240" s="36">
        <v>2</v>
      </c>
      <c r="S1240" s="35"/>
      <c r="T1240" s="35"/>
      <c r="U1240" s="35"/>
      <c r="V1240" s="35">
        <v>8</v>
      </c>
      <c r="W1240" s="35"/>
      <c r="X1240" s="35">
        <v>3</v>
      </c>
      <c r="Y1240" s="35"/>
      <c r="Z1240" s="35">
        <v>5</v>
      </c>
      <c r="AA1240" s="35">
        <v>0</v>
      </c>
      <c r="AB1240" s="37">
        <f>100/(SUM(I1240:Z1240))</f>
        <v>1</v>
      </c>
      <c r="AC1240" s="259">
        <f>SUM(I1240:AA1240)</f>
        <v>100</v>
      </c>
      <c r="AD1240" s="35"/>
      <c r="AE1240" s="35"/>
      <c r="AF1240" s="35"/>
      <c r="AG1240" s="39" t="s">
        <v>144</v>
      </c>
      <c r="AH1240" s="33" t="s">
        <v>1065</v>
      </c>
      <c r="AI1240" s="33"/>
      <c r="AJ1240" s="38" t="s">
        <v>1066</v>
      </c>
      <c r="AK1240" s="33" t="s">
        <v>911</v>
      </c>
      <c r="AL1240" s="39">
        <f>(B1240-DATE(1970,1,1))*86400</f>
        <v>1607040000</v>
      </c>
      <c r="AM1240" s="39">
        <f>(C1240-DATE(1970,1,1))*86400</f>
        <v>1607299200</v>
      </c>
      <c r="AN1240" s="39">
        <f>AVERAGE(AL1240:AM1240)</f>
        <v>1607169600</v>
      </c>
    </row>
    <row r="1241" spans="1:65" ht="15.75" customHeight="1" x14ac:dyDescent="0.2">
      <c r="A1241" s="285" t="s">
        <v>123</v>
      </c>
      <c r="B1241" s="34">
        <v>44169</v>
      </c>
      <c r="C1241" s="34">
        <v>44172</v>
      </c>
      <c r="D1241" s="33" t="s">
        <v>143</v>
      </c>
      <c r="E1241" s="319" t="s">
        <v>125</v>
      </c>
      <c r="F1241" s="33" t="s">
        <v>2530</v>
      </c>
      <c r="G1241" s="33" t="s">
        <v>126</v>
      </c>
      <c r="H1241" s="353">
        <v>600</v>
      </c>
      <c r="I1241" s="35">
        <v>39</v>
      </c>
      <c r="J1241" s="35"/>
      <c r="K1241" s="35"/>
      <c r="L1241" s="35"/>
      <c r="M1241" s="35"/>
      <c r="N1241" s="35"/>
      <c r="O1241" s="35"/>
      <c r="P1241" s="35"/>
      <c r="Q1241" s="35"/>
      <c r="R1241" s="36"/>
      <c r="S1241" s="35"/>
      <c r="T1241" s="35"/>
      <c r="U1241" s="35">
        <v>41</v>
      </c>
      <c r="V1241" s="35"/>
      <c r="W1241" s="35"/>
      <c r="X1241" s="35"/>
      <c r="Y1241" s="35"/>
      <c r="Z1241" s="35"/>
      <c r="AA1241" s="35">
        <v>20</v>
      </c>
      <c r="AB1241" s="37">
        <f>100/(SUM(I1241:Z1241))</f>
        <v>1.25</v>
      </c>
      <c r="AC1241" s="259">
        <f>SUM(I1241:AA1241)</f>
        <v>100</v>
      </c>
      <c r="AD1241" s="35"/>
      <c r="AE1241" s="35"/>
      <c r="AF1241" s="35"/>
      <c r="AG1241" s="39" t="s">
        <v>144</v>
      </c>
      <c r="AH1241" s="38" t="s">
        <v>1060</v>
      </c>
      <c r="AI1241" s="33" t="s">
        <v>1061</v>
      </c>
      <c r="AJ1241" s="38" t="s">
        <v>1062</v>
      </c>
      <c r="AK1241" s="33" t="s">
        <v>1064</v>
      </c>
      <c r="AL1241" s="39">
        <f>(B1241-DATE(1970,1,1))*86400</f>
        <v>1607040000</v>
      </c>
      <c r="AM1241" s="39">
        <f>(C1241-DATE(1970,1,1))*86400</f>
        <v>1607299200</v>
      </c>
      <c r="AN1241" s="39">
        <f>AVERAGE(AL1241:AM1241)</f>
        <v>1607169600</v>
      </c>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c r="BL1241" s="6"/>
      <c r="BM1241" s="6"/>
    </row>
    <row r="1242" spans="1:65" ht="15.75" customHeight="1" x14ac:dyDescent="0.2">
      <c r="A1242" s="285" t="s">
        <v>123</v>
      </c>
      <c r="B1242" s="34">
        <v>44169</v>
      </c>
      <c r="C1242" s="34">
        <v>44172</v>
      </c>
      <c r="D1242" s="33" t="s">
        <v>143</v>
      </c>
      <c r="E1242" s="319" t="s">
        <v>125</v>
      </c>
      <c r="F1242" s="33"/>
      <c r="G1242" s="33" t="s">
        <v>126</v>
      </c>
      <c r="H1242" s="353">
        <v>600</v>
      </c>
      <c r="I1242" s="35">
        <v>50</v>
      </c>
      <c r="J1242" s="35"/>
      <c r="K1242" s="35">
        <v>11</v>
      </c>
      <c r="L1242" s="35">
        <v>2</v>
      </c>
      <c r="M1242" s="35">
        <v>10</v>
      </c>
      <c r="N1242" s="35"/>
      <c r="O1242" s="35"/>
      <c r="P1242" s="35">
        <v>11</v>
      </c>
      <c r="Q1242" s="35"/>
      <c r="R1242" s="36">
        <v>3</v>
      </c>
      <c r="S1242" s="35"/>
      <c r="T1242" s="35"/>
      <c r="U1242" s="35"/>
      <c r="V1242" s="35">
        <v>6</v>
      </c>
      <c r="W1242" s="35"/>
      <c r="X1242" s="35">
        <v>2</v>
      </c>
      <c r="Y1242" s="35"/>
      <c r="Z1242" s="35">
        <v>4</v>
      </c>
      <c r="AA1242" s="35">
        <v>0</v>
      </c>
      <c r="AB1242" s="37">
        <f>100/(SUM(I1242:Z1242))</f>
        <v>1.0101010101010102</v>
      </c>
      <c r="AC1242" s="259">
        <f>SUM(I1242:AA1242)</f>
        <v>99</v>
      </c>
      <c r="AD1242" s="35"/>
      <c r="AE1242" s="35"/>
      <c r="AF1242" s="35"/>
      <c r="AG1242" s="39" t="s">
        <v>144</v>
      </c>
      <c r="AH1242" s="33" t="s">
        <v>1065</v>
      </c>
      <c r="AI1242" s="33"/>
      <c r="AJ1242" s="38" t="s">
        <v>1066</v>
      </c>
      <c r="AK1242" s="33" t="s">
        <v>1067</v>
      </c>
      <c r="AL1242" s="39">
        <f>(B1242-DATE(1970,1,1))*86400</f>
        <v>1607040000</v>
      </c>
      <c r="AM1242" s="39">
        <f>(C1242-DATE(1970,1,1))*86400</f>
        <v>1607299200</v>
      </c>
      <c r="AN1242" s="39">
        <f>AVERAGE(AL1242:AM1242)</f>
        <v>1607169600</v>
      </c>
    </row>
    <row r="1243" spans="1:65" ht="15.75" customHeight="1" x14ac:dyDescent="0.2">
      <c r="A1243" s="286" t="s">
        <v>133</v>
      </c>
      <c r="B1243" s="41">
        <v>44166</v>
      </c>
      <c r="C1243" s="41">
        <v>44173</v>
      </c>
      <c r="D1243" s="40" t="s">
        <v>148</v>
      </c>
      <c r="E1243" s="325" t="s">
        <v>125</v>
      </c>
      <c r="F1243" s="40"/>
      <c r="G1243" s="40" t="s">
        <v>149</v>
      </c>
      <c r="H1243" s="325">
        <v>1000</v>
      </c>
      <c r="I1243" s="42">
        <v>30</v>
      </c>
      <c r="J1243" s="42"/>
      <c r="K1243" s="42">
        <v>7</v>
      </c>
      <c r="L1243" s="42">
        <v>2</v>
      </c>
      <c r="M1243" s="42">
        <v>11</v>
      </c>
      <c r="N1243" s="42"/>
      <c r="O1243" s="42"/>
      <c r="P1243" s="42">
        <v>6</v>
      </c>
      <c r="Q1243" s="42"/>
      <c r="R1243" s="43">
        <v>8</v>
      </c>
      <c r="S1243" s="42"/>
      <c r="T1243" s="42"/>
      <c r="U1243" s="42"/>
      <c r="V1243" s="42">
        <v>2</v>
      </c>
      <c r="W1243" s="42"/>
      <c r="X1243" s="42">
        <v>1</v>
      </c>
      <c r="Y1243" s="42"/>
      <c r="Z1243" s="42">
        <v>1</v>
      </c>
      <c r="AA1243" s="42">
        <v>32</v>
      </c>
      <c r="AB1243" s="44">
        <f>100/(SUM(I1243:Z1243))</f>
        <v>1.4705882352941178</v>
      </c>
      <c r="AC1243" s="259">
        <f>SUM(I1243:AA1243)</f>
        <v>100</v>
      </c>
      <c r="AD1243" s="42">
        <v>52</v>
      </c>
      <c r="AE1243" s="42"/>
      <c r="AF1243" s="42"/>
      <c r="AG1243" s="45" t="s">
        <v>391</v>
      </c>
      <c r="AH1243" s="46" t="s">
        <v>1068</v>
      </c>
      <c r="AI1243" s="132" t="s">
        <v>1069</v>
      </c>
      <c r="AJ1243" s="132" t="s">
        <v>1070</v>
      </c>
      <c r="AK1243" s="40" t="s">
        <v>1073</v>
      </c>
      <c r="AL1243" s="45">
        <f>(B1243-DATE(1970,1,1))*86400</f>
        <v>1606780800</v>
      </c>
      <c r="AM1243" s="45">
        <f>(C1243-DATE(1970,1,1))*86400</f>
        <v>1607385600</v>
      </c>
      <c r="AN1243" s="45">
        <f>AVERAGE(AL1243:AM1243)</f>
        <v>1607083200</v>
      </c>
    </row>
    <row r="1244" spans="1:65" ht="15.75" customHeight="1" x14ac:dyDescent="0.2">
      <c r="A1244" s="286" t="s">
        <v>133</v>
      </c>
      <c r="B1244" s="41">
        <v>44166</v>
      </c>
      <c r="C1244" s="41">
        <v>44173</v>
      </c>
      <c r="D1244" s="40" t="s">
        <v>148</v>
      </c>
      <c r="E1244" s="325" t="s">
        <v>125</v>
      </c>
      <c r="F1244" s="40" t="s">
        <v>390</v>
      </c>
      <c r="G1244" s="40" t="s">
        <v>149</v>
      </c>
      <c r="H1244" s="325">
        <v>1000</v>
      </c>
      <c r="I1244" s="42">
        <v>37</v>
      </c>
      <c r="J1244" s="42"/>
      <c r="K1244" s="42"/>
      <c r="L1244" s="42"/>
      <c r="M1244" s="42"/>
      <c r="N1244" s="42"/>
      <c r="O1244" s="42"/>
      <c r="P1244" s="42"/>
      <c r="Q1244" s="42"/>
      <c r="R1244" s="43"/>
      <c r="S1244" s="42"/>
      <c r="T1244" s="42"/>
      <c r="U1244" s="42">
        <v>41</v>
      </c>
      <c r="V1244" s="42"/>
      <c r="W1244" s="42"/>
      <c r="X1244" s="42"/>
      <c r="Y1244" s="42"/>
      <c r="Z1244" s="42">
        <v>1</v>
      </c>
      <c r="AA1244" s="42">
        <v>21</v>
      </c>
      <c r="AB1244" s="44">
        <f>100/(SUM(I1244:Z1244))</f>
        <v>1.2658227848101267</v>
      </c>
      <c r="AC1244" s="259">
        <f>SUM(I1244:AA1244)</f>
        <v>100</v>
      </c>
      <c r="AD1244" s="42"/>
      <c r="AE1244" s="42"/>
      <c r="AF1244" s="42"/>
      <c r="AG1244" s="45" t="s">
        <v>391</v>
      </c>
      <c r="AH1244" s="46" t="s">
        <v>1068</v>
      </c>
      <c r="AI1244" s="132" t="s">
        <v>1069</v>
      </c>
      <c r="AJ1244" s="46" t="s">
        <v>1070</v>
      </c>
      <c r="AK1244" s="40" t="s">
        <v>1071</v>
      </c>
      <c r="AL1244" s="45">
        <f>(B1244-DATE(1970,1,1))*86400</f>
        <v>1606780800</v>
      </c>
      <c r="AM1244" s="45">
        <f>(C1244-DATE(1970,1,1))*86400</f>
        <v>1607385600</v>
      </c>
      <c r="AN1244" s="45">
        <f>AVERAGE(AL1244:AM1244)</f>
        <v>1607083200</v>
      </c>
    </row>
    <row r="1245" spans="1:65" ht="15.75" customHeight="1" x14ac:dyDescent="0.2">
      <c r="A1245" s="286" t="s">
        <v>123</v>
      </c>
      <c r="B1245" s="41">
        <v>44166</v>
      </c>
      <c r="C1245" s="41">
        <v>44173</v>
      </c>
      <c r="D1245" s="40" t="s">
        <v>148</v>
      </c>
      <c r="E1245" s="325" t="s">
        <v>125</v>
      </c>
      <c r="F1245" s="40" t="s">
        <v>390</v>
      </c>
      <c r="G1245" s="40" t="s">
        <v>149</v>
      </c>
      <c r="H1245" s="325">
        <v>1000</v>
      </c>
      <c r="I1245" s="42">
        <v>48</v>
      </c>
      <c r="J1245" s="42"/>
      <c r="K1245" s="42"/>
      <c r="L1245" s="42"/>
      <c r="M1245" s="42"/>
      <c r="N1245" s="42"/>
      <c r="O1245" s="42"/>
      <c r="P1245" s="42"/>
      <c r="Q1245" s="42"/>
      <c r="R1245" s="43"/>
      <c r="S1245" s="42"/>
      <c r="T1245" s="42"/>
      <c r="U1245" s="42">
        <v>52</v>
      </c>
      <c r="V1245" s="42"/>
      <c r="W1245" s="42"/>
      <c r="X1245" s="42"/>
      <c r="Y1245" s="42"/>
      <c r="Z1245" s="42">
        <v>1</v>
      </c>
      <c r="AA1245" s="42">
        <v>0</v>
      </c>
      <c r="AB1245" s="44">
        <f>100/(SUM(I1245:Z1245))</f>
        <v>0.99009900990099009</v>
      </c>
      <c r="AC1245" s="259">
        <f>SUM(I1245:AA1245)</f>
        <v>101</v>
      </c>
      <c r="AD1245" s="42"/>
      <c r="AE1245" s="42"/>
      <c r="AF1245" s="42"/>
      <c r="AG1245" s="45" t="s">
        <v>391</v>
      </c>
      <c r="AH1245" s="46" t="s">
        <v>1068</v>
      </c>
      <c r="AI1245" s="132" t="s">
        <v>1069</v>
      </c>
      <c r="AJ1245" s="46" t="s">
        <v>1070</v>
      </c>
      <c r="AK1245" s="40" t="s">
        <v>1072</v>
      </c>
      <c r="AL1245" s="45">
        <f>(B1245-DATE(1970,1,1))*86400</f>
        <v>1606780800</v>
      </c>
      <c r="AM1245" s="45">
        <f>(C1245-DATE(1970,1,1))*86400</f>
        <v>1607385600</v>
      </c>
      <c r="AN1245" s="45">
        <f>AVERAGE(AL1245:AM1245)</f>
        <v>1607083200</v>
      </c>
    </row>
    <row r="1246" spans="1:65" ht="15.75" customHeight="1" x14ac:dyDescent="0.2">
      <c r="A1246" s="286" t="s">
        <v>123</v>
      </c>
      <c r="B1246" s="41">
        <v>44166</v>
      </c>
      <c r="C1246" s="41">
        <v>44173</v>
      </c>
      <c r="D1246" s="40" t="s">
        <v>148</v>
      </c>
      <c r="E1246" s="325" t="s">
        <v>125</v>
      </c>
      <c r="F1246" s="40"/>
      <c r="G1246" s="40" t="s">
        <v>149</v>
      </c>
      <c r="H1246" s="325">
        <v>1000</v>
      </c>
      <c r="I1246" s="42">
        <v>45</v>
      </c>
      <c r="J1246" s="42"/>
      <c r="K1246" s="42">
        <v>10</v>
      </c>
      <c r="L1246" s="42">
        <v>2</v>
      </c>
      <c r="M1246" s="42">
        <v>19</v>
      </c>
      <c r="N1246" s="42"/>
      <c r="O1246" s="42"/>
      <c r="P1246" s="42">
        <v>10</v>
      </c>
      <c r="Q1246" s="42"/>
      <c r="R1246" s="43">
        <v>9</v>
      </c>
      <c r="S1246" s="42"/>
      <c r="T1246" s="42"/>
      <c r="U1246" s="42"/>
      <c r="V1246" s="42">
        <v>3</v>
      </c>
      <c r="W1246" s="42"/>
      <c r="X1246" s="42">
        <v>2</v>
      </c>
      <c r="Y1246" s="42"/>
      <c r="Z1246" s="42">
        <v>0</v>
      </c>
      <c r="AA1246" s="42">
        <v>0</v>
      </c>
      <c r="AB1246" s="44">
        <f>100/(SUM(I1246:Z1246))</f>
        <v>1</v>
      </c>
      <c r="AC1246" s="259">
        <f>SUM(I1246:AA1246)</f>
        <v>100</v>
      </c>
      <c r="AD1246" s="42"/>
      <c r="AE1246" s="42"/>
      <c r="AF1246" s="42"/>
      <c r="AG1246" s="45" t="s">
        <v>391</v>
      </c>
      <c r="AH1246" s="46" t="s">
        <v>1068</v>
      </c>
      <c r="AI1246" s="132" t="s">
        <v>1069</v>
      </c>
      <c r="AJ1246" s="132" t="s">
        <v>1070</v>
      </c>
      <c r="AK1246" s="40" t="s">
        <v>1074</v>
      </c>
      <c r="AL1246" s="45">
        <f>(B1246-DATE(1970,1,1))*86400</f>
        <v>1606780800</v>
      </c>
      <c r="AM1246" s="45">
        <f>(C1246-DATE(1970,1,1))*86400</f>
        <v>1607385600</v>
      </c>
      <c r="AN1246" s="45">
        <f>AVERAGE(AL1246:AM1246)</f>
        <v>1607083200</v>
      </c>
    </row>
    <row r="1247" spans="1:65" ht="15.75" customHeight="1" x14ac:dyDescent="0.2">
      <c r="A1247" s="284" t="s">
        <v>133</v>
      </c>
      <c r="B1247" s="20">
        <v>44165</v>
      </c>
      <c r="C1247" s="20">
        <v>44169</v>
      </c>
      <c r="D1247" s="19" t="s">
        <v>134</v>
      </c>
      <c r="E1247" s="332" t="s">
        <v>125</v>
      </c>
      <c r="F1247" s="19"/>
      <c r="G1247" s="19" t="s">
        <v>135</v>
      </c>
      <c r="H1247" s="332">
        <v>2000</v>
      </c>
      <c r="I1247" s="21">
        <v>32</v>
      </c>
      <c r="J1247" s="21"/>
      <c r="K1247" s="21">
        <v>7</v>
      </c>
      <c r="L1247" s="21">
        <v>2</v>
      </c>
      <c r="M1247" s="21">
        <v>11</v>
      </c>
      <c r="N1247" s="21"/>
      <c r="O1247" s="21"/>
      <c r="P1247" s="21">
        <v>7</v>
      </c>
      <c r="Q1247" s="21"/>
      <c r="R1247" s="22">
        <v>7</v>
      </c>
      <c r="S1247" s="21"/>
      <c r="T1247" s="21"/>
      <c r="U1247" s="21"/>
      <c r="V1247" s="21">
        <v>2</v>
      </c>
      <c r="W1247" s="21"/>
      <c r="X1247" s="21">
        <v>1</v>
      </c>
      <c r="Y1247" s="21"/>
      <c r="Z1247" s="21">
        <v>1</v>
      </c>
      <c r="AA1247" s="21">
        <v>30</v>
      </c>
      <c r="AB1247" s="23">
        <f>100/(SUM(I1247:Z1247))</f>
        <v>1.4285714285714286</v>
      </c>
      <c r="AC1247" s="259">
        <f>SUM(I1247:AA1247)</f>
        <v>100</v>
      </c>
      <c r="AD1247" s="24"/>
      <c r="AE1247" s="24"/>
      <c r="AF1247" s="24"/>
      <c r="AG1247" s="25" t="s">
        <v>127</v>
      </c>
      <c r="AH1247" s="26" t="s">
        <v>1075</v>
      </c>
      <c r="AI1247" s="83" t="s">
        <v>1076</v>
      </c>
      <c r="AJ1247" s="83" t="s">
        <v>1077</v>
      </c>
      <c r="AK1247" s="19" t="s">
        <v>882</v>
      </c>
      <c r="AL1247" s="25">
        <f>(B1247-DATE(1970,1,1))*86400</f>
        <v>1606694400</v>
      </c>
      <c r="AM1247" s="25">
        <f>(C1247-DATE(1970,1,1))*86400</f>
        <v>1607040000</v>
      </c>
      <c r="AN1247" s="25">
        <f>AVERAGE(AL1247:AM1247)</f>
        <v>1606867200</v>
      </c>
    </row>
    <row r="1248" spans="1:65" ht="15.75" customHeight="1" x14ac:dyDescent="0.2">
      <c r="A1248" s="284" t="s">
        <v>123</v>
      </c>
      <c r="B1248" s="20">
        <v>44165</v>
      </c>
      <c r="C1248" s="20">
        <v>44169</v>
      </c>
      <c r="D1248" s="19" t="s">
        <v>134</v>
      </c>
      <c r="E1248" s="332" t="s">
        <v>125</v>
      </c>
      <c r="F1248" s="19"/>
      <c r="G1248" s="19" t="s">
        <v>135</v>
      </c>
      <c r="H1248" s="332">
        <v>2000</v>
      </c>
      <c r="I1248" s="21">
        <v>47</v>
      </c>
      <c r="J1248" s="21"/>
      <c r="K1248" s="21">
        <v>9</v>
      </c>
      <c r="L1248" s="21">
        <v>3</v>
      </c>
      <c r="M1248" s="21">
        <v>17</v>
      </c>
      <c r="N1248" s="21"/>
      <c r="O1248" s="21"/>
      <c r="P1248" s="21">
        <v>10</v>
      </c>
      <c r="Q1248" s="21"/>
      <c r="R1248" s="22">
        <v>9</v>
      </c>
      <c r="S1248" s="21"/>
      <c r="T1248" s="21"/>
      <c r="U1248" s="21"/>
      <c r="V1248" s="21">
        <v>2</v>
      </c>
      <c r="W1248" s="21"/>
      <c r="X1248" s="21">
        <v>2</v>
      </c>
      <c r="Y1248" s="21"/>
      <c r="Z1248" s="21">
        <v>1</v>
      </c>
      <c r="AA1248" s="21">
        <v>0</v>
      </c>
      <c r="AB1248" s="23">
        <f>100/(SUM(I1248:Z1248))</f>
        <v>1</v>
      </c>
      <c r="AC1248" s="259">
        <f>SUM(I1248:AA1248)</f>
        <v>100</v>
      </c>
      <c r="AD1248" s="24"/>
      <c r="AE1248" s="24"/>
      <c r="AF1248" s="24"/>
      <c r="AG1248" s="25" t="s">
        <v>127</v>
      </c>
      <c r="AH1248" s="26" t="s">
        <v>1075</v>
      </c>
      <c r="AI1248" s="83" t="s">
        <v>1077</v>
      </c>
      <c r="AJ1248" s="83"/>
      <c r="AK1248" s="19" t="s">
        <v>1078</v>
      </c>
      <c r="AL1248" s="25">
        <f>(B1248-DATE(1970,1,1))*86400</f>
        <v>1606694400</v>
      </c>
      <c r="AM1248" s="25">
        <f>(C1248-DATE(1970,1,1))*86400</f>
        <v>1607040000</v>
      </c>
      <c r="AN1248" s="25">
        <f>AVERAGE(AL1248:AM1248)</f>
        <v>1606867200</v>
      </c>
    </row>
    <row r="1249" spans="1:65" ht="15.75" customHeight="1" x14ac:dyDescent="0.2">
      <c r="A1249" s="285" t="s">
        <v>133</v>
      </c>
      <c r="B1249" s="34">
        <v>44161</v>
      </c>
      <c r="C1249" s="34">
        <v>44165</v>
      </c>
      <c r="D1249" s="33" t="s">
        <v>143</v>
      </c>
      <c r="E1249" s="319" t="s">
        <v>125</v>
      </c>
      <c r="F1249" s="33"/>
      <c r="G1249" s="33" t="s">
        <v>126</v>
      </c>
      <c r="H1249" s="353">
        <v>1000</v>
      </c>
      <c r="I1249" s="35">
        <v>32</v>
      </c>
      <c r="J1249" s="35"/>
      <c r="K1249" s="35">
        <v>10</v>
      </c>
      <c r="L1249" s="35">
        <v>1</v>
      </c>
      <c r="M1249" s="35">
        <v>6</v>
      </c>
      <c r="N1249" s="35"/>
      <c r="O1249" s="35"/>
      <c r="P1249" s="35">
        <v>8</v>
      </c>
      <c r="Q1249" s="35"/>
      <c r="R1249" s="36">
        <v>3</v>
      </c>
      <c r="S1249" s="35"/>
      <c r="T1249" s="35"/>
      <c r="U1249" s="35"/>
      <c r="V1249" s="35">
        <v>5</v>
      </c>
      <c r="W1249" s="35"/>
      <c r="X1249" s="35">
        <v>2</v>
      </c>
      <c r="Y1249" s="35"/>
      <c r="Z1249" s="35">
        <v>1</v>
      </c>
      <c r="AA1249" s="35">
        <v>32</v>
      </c>
      <c r="AB1249" s="37">
        <f>100/(SUM(I1249:Z1249))</f>
        <v>1.4705882352941178</v>
      </c>
      <c r="AC1249" s="259">
        <f>SUM(I1249:AA1249)</f>
        <v>100</v>
      </c>
      <c r="AD1249" s="35"/>
      <c r="AE1249" s="35"/>
      <c r="AF1249" s="35"/>
      <c r="AG1249" s="39" t="s">
        <v>144</v>
      </c>
      <c r="AH1249" s="33" t="s">
        <v>1060</v>
      </c>
      <c r="AI1249" s="33" t="s">
        <v>1061</v>
      </c>
      <c r="AJ1249" s="38" t="s">
        <v>1066</v>
      </c>
      <c r="AK1249" s="33" t="s">
        <v>1081</v>
      </c>
      <c r="AL1249" s="39">
        <f>(B1249-DATE(1970,1,1))*86400</f>
        <v>1606348800</v>
      </c>
      <c r="AM1249" s="39">
        <f>(C1249-DATE(1970,1,1))*86400</f>
        <v>1606694400</v>
      </c>
      <c r="AN1249" s="39">
        <f>AVERAGE(AL1249:AM1249)</f>
        <v>1606521600</v>
      </c>
    </row>
    <row r="1250" spans="1:65" ht="15.75" customHeight="1" x14ac:dyDescent="0.2">
      <c r="A1250" s="285" t="s">
        <v>133</v>
      </c>
      <c r="B1250" s="34">
        <v>44161</v>
      </c>
      <c r="C1250" s="34">
        <v>44165</v>
      </c>
      <c r="D1250" s="33" t="s">
        <v>143</v>
      </c>
      <c r="E1250" s="319" t="s">
        <v>125</v>
      </c>
      <c r="F1250" s="33" t="s">
        <v>2530</v>
      </c>
      <c r="G1250" s="33" t="s">
        <v>126</v>
      </c>
      <c r="H1250" s="353">
        <v>1000</v>
      </c>
      <c r="I1250" s="35">
        <v>40</v>
      </c>
      <c r="J1250" s="35"/>
      <c r="K1250" s="35"/>
      <c r="L1250" s="35"/>
      <c r="M1250" s="35"/>
      <c r="N1250" s="35"/>
      <c r="O1250" s="35"/>
      <c r="P1250" s="35"/>
      <c r="Q1250" s="35"/>
      <c r="R1250" s="36"/>
      <c r="S1250" s="35"/>
      <c r="T1250" s="35"/>
      <c r="U1250" s="35">
        <v>34</v>
      </c>
      <c r="V1250" s="35"/>
      <c r="W1250" s="35"/>
      <c r="X1250" s="35"/>
      <c r="Y1250" s="35"/>
      <c r="Z1250" s="35"/>
      <c r="AA1250" s="35">
        <v>26</v>
      </c>
      <c r="AB1250" s="37">
        <f>100/(SUM(I1250:Z1250))</f>
        <v>1.3513513513513513</v>
      </c>
      <c r="AC1250" s="259">
        <f>SUM(I1250:AA1250)</f>
        <v>100</v>
      </c>
      <c r="AD1250" s="35"/>
      <c r="AE1250" s="35"/>
      <c r="AF1250" s="35"/>
      <c r="AG1250" s="39" t="s">
        <v>144</v>
      </c>
      <c r="AH1250" s="33" t="s">
        <v>1060</v>
      </c>
      <c r="AI1250" s="33" t="s">
        <v>1061</v>
      </c>
      <c r="AJ1250" s="38" t="s">
        <v>1062</v>
      </c>
      <c r="AK1250" s="33" t="s">
        <v>1079</v>
      </c>
      <c r="AL1250" s="39">
        <f>(B1250-DATE(1970,1,1))*86400</f>
        <v>1606348800</v>
      </c>
      <c r="AM1250" s="39">
        <f>(C1250-DATE(1970,1,1))*86400</f>
        <v>1606694400</v>
      </c>
      <c r="AN1250" s="39">
        <f>AVERAGE(AL1250:AM1250)</f>
        <v>1606521600</v>
      </c>
    </row>
    <row r="1251" spans="1:65" ht="15.75" customHeight="1" x14ac:dyDescent="0.2">
      <c r="A1251" s="285" t="s">
        <v>133</v>
      </c>
      <c r="B1251" s="34">
        <v>44161</v>
      </c>
      <c r="C1251" s="34">
        <v>44165</v>
      </c>
      <c r="D1251" s="33" t="s">
        <v>143</v>
      </c>
      <c r="E1251" s="319" t="s">
        <v>125</v>
      </c>
      <c r="F1251" s="33"/>
      <c r="G1251" s="33" t="s">
        <v>126</v>
      </c>
      <c r="H1251" s="353">
        <v>1000</v>
      </c>
      <c r="I1251" s="35">
        <v>47</v>
      </c>
      <c r="J1251" s="35"/>
      <c r="K1251" s="35">
        <v>14</v>
      </c>
      <c r="L1251" s="35">
        <v>2</v>
      </c>
      <c r="M1251" s="35">
        <v>10</v>
      </c>
      <c r="N1251" s="35"/>
      <c r="O1251" s="35"/>
      <c r="P1251" s="35">
        <v>11</v>
      </c>
      <c r="Q1251" s="35"/>
      <c r="R1251" s="36">
        <v>3</v>
      </c>
      <c r="S1251" s="35"/>
      <c r="T1251" s="35"/>
      <c r="U1251" s="35"/>
      <c r="V1251" s="35">
        <v>7</v>
      </c>
      <c r="W1251" s="35"/>
      <c r="X1251" s="35">
        <v>3</v>
      </c>
      <c r="Y1251" s="35"/>
      <c r="Z1251" s="35">
        <v>3</v>
      </c>
      <c r="AA1251" s="35">
        <v>0</v>
      </c>
      <c r="AB1251" s="37">
        <f>100/(SUM(I1251:Z1251))</f>
        <v>1</v>
      </c>
      <c r="AC1251" s="259">
        <f>SUM(I1251:AA1251)</f>
        <v>100</v>
      </c>
      <c r="AD1251" s="35"/>
      <c r="AE1251" s="35"/>
      <c r="AF1251" s="35"/>
      <c r="AG1251" s="39" t="s">
        <v>144</v>
      </c>
      <c r="AH1251" s="33" t="s">
        <v>1060</v>
      </c>
      <c r="AI1251" s="33" t="s">
        <v>1061</v>
      </c>
      <c r="AJ1251" s="38" t="s">
        <v>1066</v>
      </c>
      <c r="AK1251" s="33" t="s">
        <v>1081</v>
      </c>
      <c r="AL1251" s="39">
        <f>(B1251-DATE(1970,1,1))*86400</f>
        <v>1606348800</v>
      </c>
      <c r="AM1251" s="39">
        <f>(C1251-DATE(1970,1,1))*86400</f>
        <v>1606694400</v>
      </c>
      <c r="AN1251" s="39">
        <f>AVERAGE(AL1251:AM1251)</f>
        <v>1606521600</v>
      </c>
    </row>
    <row r="1252" spans="1:65" ht="15.75" customHeight="1" x14ac:dyDescent="0.2">
      <c r="A1252" s="285" t="s">
        <v>123</v>
      </c>
      <c r="B1252" s="34">
        <v>44161</v>
      </c>
      <c r="C1252" s="34">
        <v>44165</v>
      </c>
      <c r="D1252" s="33" t="s">
        <v>143</v>
      </c>
      <c r="E1252" s="319" t="s">
        <v>125</v>
      </c>
      <c r="F1252" s="33" t="s">
        <v>2376</v>
      </c>
      <c r="G1252" s="33" t="s">
        <v>126</v>
      </c>
      <c r="H1252" s="353">
        <v>1000</v>
      </c>
      <c r="I1252" s="35">
        <v>45</v>
      </c>
      <c r="J1252" s="35"/>
      <c r="K1252" s="35"/>
      <c r="L1252" s="35"/>
      <c r="M1252" s="35"/>
      <c r="N1252" s="35"/>
      <c r="O1252" s="35"/>
      <c r="P1252" s="35"/>
      <c r="Q1252" s="35"/>
      <c r="R1252" s="36"/>
      <c r="S1252" s="35"/>
      <c r="T1252" s="35"/>
      <c r="U1252" s="35">
        <v>37</v>
      </c>
      <c r="V1252" s="35"/>
      <c r="W1252" s="35"/>
      <c r="X1252" s="35"/>
      <c r="Y1252" s="35"/>
      <c r="Z1252" s="35"/>
      <c r="AA1252" s="35">
        <v>18</v>
      </c>
      <c r="AB1252" s="37">
        <f>100/(SUM(I1252:Z1252))</f>
        <v>1.2195121951219512</v>
      </c>
      <c r="AC1252" s="259">
        <f>SUM(I1252:AA1252)</f>
        <v>100</v>
      </c>
      <c r="AD1252" s="35"/>
      <c r="AE1252" s="35"/>
      <c r="AF1252" s="35"/>
      <c r="AG1252" s="39" t="s">
        <v>144</v>
      </c>
      <c r="AH1252" s="33" t="s">
        <v>1060</v>
      </c>
      <c r="AI1252" s="33" t="s">
        <v>1061</v>
      </c>
      <c r="AJ1252" s="38" t="s">
        <v>1062</v>
      </c>
      <c r="AK1252" s="33" t="s">
        <v>1080</v>
      </c>
      <c r="AL1252" s="39">
        <f>(B1252-DATE(1970,1,1))*86400</f>
        <v>1606348800</v>
      </c>
      <c r="AM1252" s="39">
        <f>(C1252-DATE(1970,1,1))*86400</f>
        <v>1606694400</v>
      </c>
      <c r="AN1252" s="39">
        <f>AVERAGE(AL1252:AM1252)</f>
        <v>1606521600</v>
      </c>
    </row>
    <row r="1253" spans="1:65" ht="15.75" customHeight="1" x14ac:dyDescent="0.2">
      <c r="A1253" s="285" t="s">
        <v>123</v>
      </c>
      <c r="B1253" s="34">
        <v>44161</v>
      </c>
      <c r="C1253" s="34">
        <v>44165</v>
      </c>
      <c r="D1253" s="33" t="s">
        <v>143</v>
      </c>
      <c r="E1253" s="319" t="s">
        <v>125</v>
      </c>
      <c r="F1253" s="33"/>
      <c r="G1253" s="33" t="s">
        <v>126</v>
      </c>
      <c r="H1253" s="353">
        <v>1000</v>
      </c>
      <c r="I1253" s="35">
        <v>49</v>
      </c>
      <c r="J1253" s="35"/>
      <c r="K1253" s="35">
        <v>10</v>
      </c>
      <c r="L1253" s="35">
        <v>2</v>
      </c>
      <c r="M1253" s="35">
        <v>11</v>
      </c>
      <c r="N1253" s="35"/>
      <c r="O1253" s="35"/>
      <c r="P1253" s="35">
        <v>13</v>
      </c>
      <c r="Q1253" s="35"/>
      <c r="R1253" s="36">
        <v>4</v>
      </c>
      <c r="S1253" s="35"/>
      <c r="T1253" s="35"/>
      <c r="U1253" s="35"/>
      <c r="V1253" s="35">
        <v>5</v>
      </c>
      <c r="W1253" s="35"/>
      <c r="X1253" s="35">
        <v>3</v>
      </c>
      <c r="Y1253" s="35"/>
      <c r="Z1253" s="35">
        <v>3</v>
      </c>
      <c r="AA1253" s="35">
        <v>0</v>
      </c>
      <c r="AB1253" s="37">
        <f>100/(SUM(I1253:Z1253))</f>
        <v>1</v>
      </c>
      <c r="AC1253" s="259">
        <f>SUM(I1253:AA1253)</f>
        <v>100</v>
      </c>
      <c r="AD1253" s="35"/>
      <c r="AE1253" s="35"/>
      <c r="AF1253" s="35"/>
      <c r="AG1253" s="39" t="s">
        <v>144</v>
      </c>
      <c r="AH1253" s="33" t="s">
        <v>1060</v>
      </c>
      <c r="AI1253" s="33" t="s">
        <v>1061</v>
      </c>
      <c r="AJ1253" s="38" t="s">
        <v>1066</v>
      </c>
      <c r="AK1253" s="33" t="s">
        <v>1082</v>
      </c>
      <c r="AL1253" s="39">
        <f>(B1253-DATE(1970,1,1))*86400</f>
        <v>1606348800</v>
      </c>
      <c r="AM1253" s="39">
        <f>(C1253-DATE(1970,1,1))*86400</f>
        <v>1606694400</v>
      </c>
      <c r="AN1253" s="39">
        <f>AVERAGE(AL1253:AM1253)</f>
        <v>1606521600</v>
      </c>
    </row>
    <row r="1254" spans="1:65" ht="15.75" customHeight="1" x14ac:dyDescent="0.2">
      <c r="A1254" s="281" t="s">
        <v>133</v>
      </c>
      <c r="B1254" s="54">
        <v>44153</v>
      </c>
      <c r="C1254" s="54">
        <v>44156</v>
      </c>
      <c r="D1254" s="53" t="s">
        <v>154</v>
      </c>
      <c r="E1254" s="323" t="s">
        <v>125</v>
      </c>
      <c r="F1254" s="53"/>
      <c r="G1254" s="53" t="s">
        <v>126</v>
      </c>
      <c r="H1254" s="357">
        <v>1005</v>
      </c>
      <c r="I1254" s="55">
        <v>29</v>
      </c>
      <c r="J1254" s="55"/>
      <c r="K1254" s="55">
        <v>5</v>
      </c>
      <c r="L1254" s="55">
        <v>1</v>
      </c>
      <c r="M1254" s="55">
        <v>9</v>
      </c>
      <c r="N1254" s="55"/>
      <c r="O1254" s="55"/>
      <c r="P1254" s="55">
        <v>7</v>
      </c>
      <c r="Q1254" s="55"/>
      <c r="R1254" s="56">
        <v>8</v>
      </c>
      <c r="S1254" s="55"/>
      <c r="T1254" s="55"/>
      <c r="U1254" s="55">
        <v>3</v>
      </c>
      <c r="V1254" s="55">
        <v>1</v>
      </c>
      <c r="W1254" s="55"/>
      <c r="X1254" s="55">
        <v>1</v>
      </c>
      <c r="Y1254" s="55"/>
      <c r="Z1254" s="55"/>
      <c r="AA1254" s="55">
        <v>36</v>
      </c>
      <c r="AB1254" s="57">
        <f>100/(SUM(I1254:Z1254))</f>
        <v>1.5625</v>
      </c>
      <c r="AC1254" s="259">
        <f>SUM(I1254:AA1254)</f>
        <v>100</v>
      </c>
      <c r="AD1254" s="55"/>
      <c r="AE1254" s="55"/>
      <c r="AF1254" s="55"/>
      <c r="AG1254" s="58" t="s">
        <v>155</v>
      </c>
      <c r="AH1254" s="59" t="s">
        <v>1083</v>
      </c>
      <c r="AI1254" s="59" t="s">
        <v>1084</v>
      </c>
      <c r="AJ1254" s="59" t="s">
        <v>1085</v>
      </c>
      <c r="AK1254" s="53" t="s">
        <v>1086</v>
      </c>
      <c r="AL1254" s="58">
        <f>(B1254-DATE(1970,1,1))*86400</f>
        <v>1605657600</v>
      </c>
      <c r="AM1254" s="58">
        <f>(C1254-DATE(1970,1,1))*86400</f>
        <v>1605916800</v>
      </c>
      <c r="AN1254" s="58">
        <f>AVERAGE(AL1254:AM1254)</f>
        <v>1605787200</v>
      </c>
    </row>
    <row r="1255" spans="1:65" ht="15.75" customHeight="1" x14ac:dyDescent="0.2">
      <c r="A1255" s="281" t="s">
        <v>123</v>
      </c>
      <c r="B1255" s="54">
        <v>44153</v>
      </c>
      <c r="C1255" s="54">
        <v>44156</v>
      </c>
      <c r="D1255" s="53" t="s">
        <v>154</v>
      </c>
      <c r="E1255" s="323" t="s">
        <v>125</v>
      </c>
      <c r="F1255" s="53"/>
      <c r="G1255" s="53" t="s">
        <v>126</v>
      </c>
      <c r="H1255" s="357">
        <v>1005</v>
      </c>
      <c r="I1255" s="55">
        <v>36</v>
      </c>
      <c r="J1255" s="55"/>
      <c r="K1255" s="55">
        <v>7</v>
      </c>
      <c r="L1255" s="55">
        <v>1</v>
      </c>
      <c r="M1255" s="55">
        <v>11</v>
      </c>
      <c r="N1255" s="55"/>
      <c r="O1255" s="55"/>
      <c r="P1255" s="55">
        <v>9</v>
      </c>
      <c r="Q1255" s="55"/>
      <c r="R1255" s="56">
        <v>10</v>
      </c>
      <c r="S1255" s="55"/>
      <c r="T1255" s="55"/>
      <c r="U1255" s="55">
        <v>5</v>
      </c>
      <c r="V1255" s="55">
        <v>1</v>
      </c>
      <c r="W1255" s="55"/>
      <c r="X1255" s="55">
        <v>0</v>
      </c>
      <c r="Y1255" s="55"/>
      <c r="Z1255" s="55"/>
      <c r="AA1255" s="55">
        <v>21</v>
      </c>
      <c r="AB1255" s="57">
        <f>100/(SUM(I1255:Z1255))</f>
        <v>1.25</v>
      </c>
      <c r="AC1255" s="259">
        <f>SUM(I1255:AA1255)</f>
        <v>101</v>
      </c>
      <c r="AD1255" s="55"/>
      <c r="AE1255" s="55"/>
      <c r="AF1255" s="55"/>
      <c r="AG1255" s="58" t="s">
        <v>155</v>
      </c>
      <c r="AH1255" s="59" t="s">
        <v>1083</v>
      </c>
      <c r="AI1255" s="59" t="s">
        <v>1084</v>
      </c>
      <c r="AJ1255" s="59" t="s">
        <v>1085</v>
      </c>
      <c r="AK1255" s="53" t="s">
        <v>1087</v>
      </c>
      <c r="AL1255" s="58">
        <f>(B1255-DATE(1970,1,1))*86400</f>
        <v>1605657600</v>
      </c>
      <c r="AM1255" s="58">
        <f>(C1255-DATE(1970,1,1))*86400</f>
        <v>1605916800</v>
      </c>
      <c r="AN1255" s="58">
        <f>AVERAGE(AL1255:AM1255)</f>
        <v>1605787200</v>
      </c>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c r="BL1255" s="6"/>
      <c r="BM1255" s="6"/>
    </row>
    <row r="1256" spans="1:65" ht="15.75" customHeight="1" x14ac:dyDescent="0.2">
      <c r="A1256" s="281" t="s">
        <v>123</v>
      </c>
      <c r="B1256" s="54">
        <v>44153</v>
      </c>
      <c r="C1256" s="54">
        <v>44156</v>
      </c>
      <c r="D1256" s="53" t="s">
        <v>154</v>
      </c>
      <c r="E1256" s="323" t="s">
        <v>125</v>
      </c>
      <c r="F1256" s="53"/>
      <c r="G1256" s="53" t="s">
        <v>126</v>
      </c>
      <c r="H1256" s="357">
        <v>1005</v>
      </c>
      <c r="I1256" s="55">
        <v>48</v>
      </c>
      <c r="J1256" s="55"/>
      <c r="K1256" s="55">
        <v>8</v>
      </c>
      <c r="L1256" s="55">
        <v>1</v>
      </c>
      <c r="M1256" s="55">
        <v>13</v>
      </c>
      <c r="N1256" s="55"/>
      <c r="O1256" s="55"/>
      <c r="P1256" s="55">
        <v>11</v>
      </c>
      <c r="Q1256" s="55"/>
      <c r="R1256" s="56">
        <v>12</v>
      </c>
      <c r="S1256" s="55"/>
      <c r="T1256" s="55"/>
      <c r="U1256" s="55">
        <v>5</v>
      </c>
      <c r="V1256" s="55">
        <v>1</v>
      </c>
      <c r="W1256" s="55"/>
      <c r="X1256" s="55">
        <v>1</v>
      </c>
      <c r="Y1256" s="55"/>
      <c r="Z1256" s="55"/>
      <c r="AA1256" s="55">
        <v>0</v>
      </c>
      <c r="AB1256" s="57">
        <f>100/(SUM(I1256:Z1256))</f>
        <v>1</v>
      </c>
      <c r="AC1256" s="259">
        <f>SUM(I1256:AA1256)</f>
        <v>100</v>
      </c>
      <c r="AD1256" s="55"/>
      <c r="AE1256" s="55"/>
      <c r="AF1256" s="55"/>
      <c r="AG1256" s="58" t="s">
        <v>155</v>
      </c>
      <c r="AH1256" s="59" t="s">
        <v>1083</v>
      </c>
      <c r="AI1256" s="59" t="s">
        <v>1084</v>
      </c>
      <c r="AJ1256" s="59" t="s">
        <v>1085</v>
      </c>
      <c r="AK1256" s="53" t="s">
        <v>1088</v>
      </c>
      <c r="AL1256" s="58">
        <f>(B1256-DATE(1970,1,1))*86400</f>
        <v>1605657600</v>
      </c>
      <c r="AM1256" s="58">
        <f>(C1256-DATE(1970,1,1))*86400</f>
        <v>1605916800</v>
      </c>
      <c r="AN1256" s="58">
        <f>AVERAGE(AL1256:AM1256)</f>
        <v>1605787200</v>
      </c>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c r="BL1256" s="6"/>
      <c r="BM1256" s="6"/>
    </row>
    <row r="1257" spans="1:65" ht="15.75" customHeight="1" x14ac:dyDescent="0.2">
      <c r="A1257" s="288" t="s">
        <v>133</v>
      </c>
      <c r="B1257" s="60">
        <v>44150</v>
      </c>
      <c r="C1257" s="60">
        <v>44158</v>
      </c>
      <c r="D1257" s="61" t="s">
        <v>168</v>
      </c>
      <c r="E1257" s="334" t="s">
        <v>125</v>
      </c>
      <c r="F1257" s="61"/>
      <c r="G1257" s="61" t="s">
        <v>126</v>
      </c>
      <c r="H1257" s="334">
        <v>1000</v>
      </c>
      <c r="I1257" s="63">
        <v>32</v>
      </c>
      <c r="J1257" s="63"/>
      <c r="K1257" s="63">
        <v>5</v>
      </c>
      <c r="L1257" s="63">
        <v>1</v>
      </c>
      <c r="M1257" s="63">
        <v>10</v>
      </c>
      <c r="N1257" s="63"/>
      <c r="O1257" s="63"/>
      <c r="P1257" s="63">
        <v>9</v>
      </c>
      <c r="Q1257" s="63"/>
      <c r="R1257" s="64">
        <v>7</v>
      </c>
      <c r="S1257" s="63"/>
      <c r="T1257" s="63"/>
      <c r="U1257" s="63"/>
      <c r="V1257" s="63">
        <v>2</v>
      </c>
      <c r="W1257" s="63"/>
      <c r="X1257" s="63">
        <v>1</v>
      </c>
      <c r="Y1257" s="63"/>
      <c r="Z1257" s="63"/>
      <c r="AA1257" s="63">
        <v>33</v>
      </c>
      <c r="AB1257" s="65">
        <f>100/(SUM(I1257:Z1257))</f>
        <v>1.4925373134328359</v>
      </c>
      <c r="AC1257" s="259">
        <f>SUM(I1257:AA1257)</f>
        <v>100</v>
      </c>
      <c r="AD1257" s="63">
        <v>68</v>
      </c>
      <c r="AE1257" s="63"/>
      <c r="AF1257" s="63"/>
      <c r="AG1257" s="66" t="s">
        <v>127</v>
      </c>
      <c r="AH1257" s="67" t="s">
        <v>1089</v>
      </c>
      <c r="AI1257" s="67" t="s">
        <v>1090</v>
      </c>
      <c r="AJ1257" s="67"/>
      <c r="AK1257" s="61" t="s">
        <v>1092</v>
      </c>
      <c r="AL1257" s="66">
        <f>(B1257-DATE(1970,1,1))*86400</f>
        <v>1605398400</v>
      </c>
      <c r="AM1257" s="66">
        <f>(C1257-DATE(1970,1,1))*86400</f>
        <v>1606089600</v>
      </c>
      <c r="AN1257" s="66">
        <f>AVERAGE(AL1257:AM1257)</f>
        <v>1605744000</v>
      </c>
    </row>
    <row r="1258" spans="1:65" ht="15.75" customHeight="1" x14ac:dyDescent="0.2">
      <c r="A1258" s="288" t="s">
        <v>133</v>
      </c>
      <c r="B1258" s="60">
        <v>44150</v>
      </c>
      <c r="C1258" s="60">
        <v>44158</v>
      </c>
      <c r="D1258" s="61" t="s">
        <v>168</v>
      </c>
      <c r="E1258" s="334" t="s">
        <v>125</v>
      </c>
      <c r="F1258" s="61"/>
      <c r="G1258" s="61" t="s">
        <v>126</v>
      </c>
      <c r="H1258" s="334">
        <v>1000</v>
      </c>
      <c r="I1258" s="63">
        <v>48</v>
      </c>
      <c r="J1258" s="63"/>
      <c r="K1258" s="63">
        <v>7</v>
      </c>
      <c r="L1258" s="63">
        <v>2</v>
      </c>
      <c r="M1258" s="63">
        <v>15</v>
      </c>
      <c r="N1258" s="63"/>
      <c r="O1258" s="63"/>
      <c r="P1258" s="63">
        <v>13</v>
      </c>
      <c r="Q1258" s="63"/>
      <c r="R1258" s="64">
        <v>10</v>
      </c>
      <c r="S1258" s="63"/>
      <c r="T1258" s="63"/>
      <c r="U1258" s="63"/>
      <c r="V1258" s="63">
        <v>3</v>
      </c>
      <c r="W1258" s="63"/>
      <c r="X1258" s="63">
        <v>2</v>
      </c>
      <c r="Y1258" s="63"/>
      <c r="Z1258" s="63"/>
      <c r="AA1258" s="63">
        <v>0</v>
      </c>
      <c r="AB1258" s="65">
        <f>100/(SUM(I1258:Z1258))</f>
        <v>1</v>
      </c>
      <c r="AC1258" s="259">
        <f>SUM(I1258:AA1258)</f>
        <v>100</v>
      </c>
      <c r="AD1258" s="63"/>
      <c r="AE1258" s="63"/>
      <c r="AF1258" s="63"/>
      <c r="AG1258" s="66" t="s">
        <v>127</v>
      </c>
      <c r="AH1258" s="67" t="s">
        <v>1089</v>
      </c>
      <c r="AI1258" s="67" t="s">
        <v>1090</v>
      </c>
      <c r="AJ1258" s="67"/>
      <c r="AK1258" s="61" t="s">
        <v>1091</v>
      </c>
      <c r="AL1258" s="66">
        <f>(B1258-DATE(1970,1,1))*86400</f>
        <v>1605398400</v>
      </c>
      <c r="AM1258" s="66">
        <f>(C1258-DATE(1970,1,1))*86400</f>
        <v>1606089600</v>
      </c>
      <c r="AN1258" s="66">
        <f>AVERAGE(AL1258:AM1258)</f>
        <v>1605744000</v>
      </c>
    </row>
    <row r="1259" spans="1:65" ht="15.75" customHeight="1" x14ac:dyDescent="0.2">
      <c r="A1259" s="286" t="s">
        <v>133</v>
      </c>
      <c r="B1259" s="41">
        <v>44144</v>
      </c>
      <c r="C1259" s="41">
        <v>44146</v>
      </c>
      <c r="D1259" s="40" t="s">
        <v>148</v>
      </c>
      <c r="E1259" s="325" t="s">
        <v>125</v>
      </c>
      <c r="F1259" s="40" t="s">
        <v>390</v>
      </c>
      <c r="G1259" s="40" t="s">
        <v>1025</v>
      </c>
      <c r="H1259" s="325">
        <v>1000</v>
      </c>
      <c r="I1259" s="42">
        <v>36</v>
      </c>
      <c r="J1259" s="42"/>
      <c r="K1259" s="42"/>
      <c r="L1259" s="42"/>
      <c r="M1259" s="42"/>
      <c r="N1259" s="42"/>
      <c r="O1259" s="42"/>
      <c r="P1259" s="42"/>
      <c r="Q1259" s="42"/>
      <c r="R1259" s="43"/>
      <c r="S1259" s="42"/>
      <c r="T1259" s="42"/>
      <c r="U1259" s="42">
        <v>40</v>
      </c>
      <c r="V1259" s="42"/>
      <c r="W1259" s="42"/>
      <c r="X1259" s="42"/>
      <c r="Y1259" s="42"/>
      <c r="Z1259" s="42">
        <v>3</v>
      </c>
      <c r="AA1259" s="153">
        <v>21</v>
      </c>
      <c r="AB1259" s="44">
        <f>100/(SUM(I1259:Z1259))</f>
        <v>1.2658227848101267</v>
      </c>
      <c r="AC1259" s="259">
        <f>SUM(I1259:AA1259)</f>
        <v>100</v>
      </c>
      <c r="AD1259" s="42"/>
      <c r="AE1259" s="42"/>
      <c r="AF1259" s="42"/>
      <c r="AG1259" s="45" t="s">
        <v>391</v>
      </c>
      <c r="AH1259" s="46" t="s">
        <v>1093</v>
      </c>
      <c r="AI1259" s="132"/>
      <c r="AJ1259" s="132"/>
      <c r="AK1259" s="40" t="s">
        <v>1094</v>
      </c>
      <c r="AL1259" s="45">
        <f>(B1259-DATE(1970,1,1))*86400</f>
        <v>1604880000</v>
      </c>
      <c r="AM1259" s="45">
        <f>(C1259-DATE(1970,1,1))*86400</f>
        <v>1605052800</v>
      </c>
      <c r="AN1259" s="45">
        <f>AVERAGE(AL1259:AM1259)</f>
        <v>1604966400</v>
      </c>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c r="BL1259" s="6"/>
      <c r="BM1259" s="6"/>
    </row>
    <row r="1260" spans="1:65" ht="15.75" customHeight="1" x14ac:dyDescent="0.2">
      <c r="A1260" s="286" t="s">
        <v>133</v>
      </c>
      <c r="B1260" s="41">
        <v>44138</v>
      </c>
      <c r="C1260" s="106">
        <v>44151</v>
      </c>
      <c r="D1260" s="40" t="s">
        <v>148</v>
      </c>
      <c r="E1260" s="325" t="s">
        <v>125</v>
      </c>
      <c r="F1260" s="40"/>
      <c r="G1260" s="40" t="s">
        <v>149</v>
      </c>
      <c r="H1260" s="325">
        <v>1000</v>
      </c>
      <c r="I1260" s="42">
        <v>31</v>
      </c>
      <c r="J1260" s="42">
        <v>5</v>
      </c>
      <c r="K1260" s="42">
        <v>7</v>
      </c>
      <c r="L1260" s="42">
        <v>2</v>
      </c>
      <c r="M1260" s="42">
        <v>11</v>
      </c>
      <c r="N1260" s="42"/>
      <c r="O1260" s="42">
        <v>2</v>
      </c>
      <c r="P1260" s="42">
        <v>7</v>
      </c>
      <c r="Q1260" s="42"/>
      <c r="R1260" s="43"/>
      <c r="S1260" s="42"/>
      <c r="T1260" s="42"/>
      <c r="U1260" s="42"/>
      <c r="V1260" s="42">
        <v>1</v>
      </c>
      <c r="W1260" s="42"/>
      <c r="X1260" s="42">
        <v>1</v>
      </c>
      <c r="Y1260" s="42"/>
      <c r="Z1260" s="42">
        <v>1</v>
      </c>
      <c r="AA1260" s="42">
        <v>32</v>
      </c>
      <c r="AB1260" s="44">
        <f>100/(SUM(I1260:Z1260))</f>
        <v>1.4705882352941178</v>
      </c>
      <c r="AC1260" s="259">
        <f>SUM(I1260:AA1260)</f>
        <v>100</v>
      </c>
      <c r="AD1260" s="42">
        <v>47</v>
      </c>
      <c r="AE1260" s="42"/>
      <c r="AF1260" s="42"/>
      <c r="AG1260" s="45" t="s">
        <v>127</v>
      </c>
      <c r="AH1260" s="46" t="s">
        <v>1095</v>
      </c>
      <c r="AI1260" s="132" t="s">
        <v>1096</v>
      </c>
      <c r="AJ1260" s="132" t="s">
        <v>1098</v>
      </c>
      <c r="AK1260" s="40" t="s">
        <v>1865</v>
      </c>
      <c r="AL1260" s="45">
        <f>(B1260-DATE(1970,1,1))*86400</f>
        <v>1604361600</v>
      </c>
      <c r="AM1260" s="45">
        <f>(C1260-DATE(1970,1,1))*86400</f>
        <v>1605484800</v>
      </c>
      <c r="AN1260" s="45">
        <f>AVERAGE(AL1260:AM1260)</f>
        <v>1604923200</v>
      </c>
    </row>
    <row r="1261" spans="1:65" ht="15.75" customHeight="1" x14ac:dyDescent="0.2">
      <c r="A1261" s="286" t="s">
        <v>133</v>
      </c>
      <c r="B1261" s="41">
        <v>44138</v>
      </c>
      <c r="C1261" s="106">
        <v>44151</v>
      </c>
      <c r="D1261" s="40" t="s">
        <v>148</v>
      </c>
      <c r="E1261" s="325" t="s">
        <v>125</v>
      </c>
      <c r="F1261" s="40" t="s">
        <v>390</v>
      </c>
      <c r="G1261" s="40" t="s">
        <v>149</v>
      </c>
      <c r="H1261" s="325">
        <v>1000</v>
      </c>
      <c r="I1261" s="42">
        <v>34</v>
      </c>
      <c r="J1261" s="42"/>
      <c r="K1261" s="42"/>
      <c r="L1261" s="42"/>
      <c r="M1261" s="42"/>
      <c r="N1261" s="42"/>
      <c r="O1261" s="42"/>
      <c r="P1261" s="42"/>
      <c r="Q1261" s="42"/>
      <c r="R1261" s="43"/>
      <c r="S1261" s="42"/>
      <c r="T1261" s="42"/>
      <c r="U1261" s="42">
        <v>37</v>
      </c>
      <c r="V1261" s="42"/>
      <c r="W1261" s="42"/>
      <c r="X1261" s="42"/>
      <c r="Y1261" s="42"/>
      <c r="Z1261" s="224">
        <v>2</v>
      </c>
      <c r="AA1261" s="42">
        <v>27</v>
      </c>
      <c r="AB1261" s="44">
        <f>100/(SUM(I1261:Z1261))</f>
        <v>1.3698630136986301</v>
      </c>
      <c r="AC1261" s="259">
        <f>SUM(I1261:AA1261)</f>
        <v>100</v>
      </c>
      <c r="AD1261" s="42">
        <v>47</v>
      </c>
      <c r="AE1261" s="42"/>
      <c r="AF1261" s="42"/>
      <c r="AG1261" s="45" t="s">
        <v>127</v>
      </c>
      <c r="AH1261" s="46" t="s">
        <v>1095</v>
      </c>
      <c r="AI1261" s="132" t="s">
        <v>1096</v>
      </c>
      <c r="AJ1261" s="42" t="s">
        <v>1097</v>
      </c>
      <c r="AK1261" s="40" t="s">
        <v>1866</v>
      </c>
      <c r="AL1261" s="45">
        <f>(B1261-DATE(1970,1,1))*86400</f>
        <v>1604361600</v>
      </c>
      <c r="AM1261" s="45">
        <f>(C1261-DATE(1970,1,1))*86400</f>
        <v>1605484800</v>
      </c>
      <c r="AN1261" s="45">
        <f>AVERAGE(AL1261:AM1261)</f>
        <v>1604923200</v>
      </c>
    </row>
    <row r="1262" spans="1:65" ht="15.75" customHeight="1" x14ac:dyDescent="0.2">
      <c r="A1262" s="286" t="s">
        <v>123</v>
      </c>
      <c r="B1262" s="41">
        <v>44138</v>
      </c>
      <c r="C1262" s="106">
        <v>44151</v>
      </c>
      <c r="D1262" s="40" t="s">
        <v>148</v>
      </c>
      <c r="E1262" s="325" t="s">
        <v>125</v>
      </c>
      <c r="F1262" s="40" t="s">
        <v>390</v>
      </c>
      <c r="G1262" s="40" t="s">
        <v>149</v>
      </c>
      <c r="H1262" s="325">
        <v>1000</v>
      </c>
      <c r="I1262" s="42">
        <v>49</v>
      </c>
      <c r="J1262" s="42"/>
      <c r="K1262" s="42"/>
      <c r="L1262" s="42"/>
      <c r="M1262" s="42"/>
      <c r="N1262" s="42"/>
      <c r="O1262" s="42"/>
      <c r="P1262" s="42"/>
      <c r="Q1262" s="42"/>
      <c r="R1262" s="43"/>
      <c r="S1262" s="42"/>
      <c r="T1262" s="42"/>
      <c r="U1262" s="42">
        <v>50</v>
      </c>
      <c r="V1262" s="42"/>
      <c r="W1262" s="42"/>
      <c r="X1262" s="42"/>
      <c r="Y1262" s="42"/>
      <c r="Z1262" s="43">
        <v>1</v>
      </c>
      <c r="AA1262" s="42">
        <v>0</v>
      </c>
      <c r="AB1262" s="44">
        <f>100/(SUM(I1262:Z1262))</f>
        <v>1</v>
      </c>
      <c r="AC1262" s="259">
        <f>SUM(I1262:AA1262)</f>
        <v>100</v>
      </c>
      <c r="AD1262" s="42"/>
      <c r="AE1262" s="42"/>
      <c r="AF1262" s="42"/>
      <c r="AG1262" s="45" t="s">
        <v>127</v>
      </c>
      <c r="AH1262" s="46" t="s">
        <v>1095</v>
      </c>
      <c r="AI1262" s="132" t="s">
        <v>1096</v>
      </c>
      <c r="AJ1262" s="42" t="s">
        <v>1097</v>
      </c>
      <c r="AK1262" s="40" t="s">
        <v>1866</v>
      </c>
      <c r="AL1262" s="45">
        <f>(B1262-DATE(1970,1,1))*86400</f>
        <v>1604361600</v>
      </c>
      <c r="AM1262" s="45">
        <f>(C1262-DATE(1970,1,1))*86400</f>
        <v>1605484800</v>
      </c>
      <c r="AN1262" s="45">
        <f>AVERAGE(AL1262:AM1262)</f>
        <v>1604923200</v>
      </c>
    </row>
    <row r="1263" spans="1:65" ht="15.75" customHeight="1" x14ac:dyDescent="0.2">
      <c r="A1263" s="286" t="s">
        <v>123</v>
      </c>
      <c r="B1263" s="41">
        <v>44138</v>
      </c>
      <c r="C1263" s="106">
        <v>44151</v>
      </c>
      <c r="D1263" s="40" t="s">
        <v>148</v>
      </c>
      <c r="E1263" s="325" t="s">
        <v>125</v>
      </c>
      <c r="F1263" s="40"/>
      <c r="G1263" s="40" t="s">
        <v>149</v>
      </c>
      <c r="H1263" s="325">
        <v>1000</v>
      </c>
      <c r="I1263" s="42">
        <v>47</v>
      </c>
      <c r="J1263" s="42">
        <v>7</v>
      </c>
      <c r="K1263" s="42">
        <v>10</v>
      </c>
      <c r="L1263" s="42">
        <v>2</v>
      </c>
      <c r="M1263" s="42">
        <v>17</v>
      </c>
      <c r="N1263" s="42"/>
      <c r="O1263" s="42">
        <v>2</v>
      </c>
      <c r="P1263" s="42">
        <v>11</v>
      </c>
      <c r="Q1263" s="42"/>
      <c r="R1263" s="43"/>
      <c r="S1263" s="42"/>
      <c r="T1263" s="42"/>
      <c r="U1263" s="42"/>
      <c r="V1263" s="42">
        <v>2</v>
      </c>
      <c r="W1263" s="42"/>
      <c r="X1263" s="42">
        <v>2</v>
      </c>
      <c r="Y1263" s="42"/>
      <c r="Z1263" s="42">
        <v>0</v>
      </c>
      <c r="AA1263" s="42">
        <v>0</v>
      </c>
      <c r="AB1263" s="44">
        <f>100/(SUM(I1263:Z1263))</f>
        <v>1</v>
      </c>
      <c r="AC1263" s="259">
        <f>SUM(I1263:AA1263)</f>
        <v>100</v>
      </c>
      <c r="AD1263" s="42"/>
      <c r="AE1263" s="42"/>
      <c r="AF1263" s="42"/>
      <c r="AG1263" s="45" t="s">
        <v>127</v>
      </c>
      <c r="AH1263" s="46" t="s">
        <v>1095</v>
      </c>
      <c r="AI1263" s="132" t="s">
        <v>1096</v>
      </c>
      <c r="AJ1263" s="132" t="s">
        <v>1098</v>
      </c>
      <c r="AK1263" s="40" t="s">
        <v>1867</v>
      </c>
      <c r="AL1263" s="45">
        <f>(B1263-DATE(1970,1,1))*86400</f>
        <v>1604361600</v>
      </c>
      <c r="AM1263" s="45">
        <f>(C1263-DATE(1970,1,1))*86400</f>
        <v>1605484800</v>
      </c>
      <c r="AN1263" s="45">
        <f>AVERAGE(AL1263:AM1263)</f>
        <v>1604923200</v>
      </c>
    </row>
    <row r="1264" spans="1:65" ht="15.75" customHeight="1" x14ac:dyDescent="0.2">
      <c r="A1264" s="284" t="s">
        <v>133</v>
      </c>
      <c r="B1264" s="20">
        <v>44135</v>
      </c>
      <c r="C1264" s="20">
        <v>44140</v>
      </c>
      <c r="D1264" s="19" t="s">
        <v>134</v>
      </c>
      <c r="E1264" s="332" t="s">
        <v>125</v>
      </c>
      <c r="F1264" s="19"/>
      <c r="G1264" s="19" t="s">
        <v>135</v>
      </c>
      <c r="H1264" s="332">
        <v>2000</v>
      </c>
      <c r="I1264" s="21">
        <v>32</v>
      </c>
      <c r="J1264" s="21"/>
      <c r="K1264" s="21">
        <v>7</v>
      </c>
      <c r="L1264" s="21">
        <v>2</v>
      </c>
      <c r="M1264" s="21">
        <v>11</v>
      </c>
      <c r="N1264" s="21"/>
      <c r="O1264" s="21"/>
      <c r="P1264" s="21">
        <v>7</v>
      </c>
      <c r="Q1264" s="21"/>
      <c r="R1264" s="22">
        <v>7</v>
      </c>
      <c r="S1264" s="21"/>
      <c r="T1264" s="21"/>
      <c r="U1264" s="21"/>
      <c r="V1264" s="21">
        <v>2</v>
      </c>
      <c r="W1264" s="21"/>
      <c r="X1264" s="21">
        <v>2</v>
      </c>
      <c r="Y1264" s="21"/>
      <c r="Z1264" s="21">
        <v>2</v>
      </c>
      <c r="AA1264" s="21">
        <v>28</v>
      </c>
      <c r="AB1264" s="23">
        <f>100/(SUM(I1264:Z1264))</f>
        <v>1.3888888888888888</v>
      </c>
      <c r="AC1264" s="259">
        <f>SUM(I1264:AA1264)</f>
        <v>100</v>
      </c>
      <c r="AD1264" s="24"/>
      <c r="AE1264" s="24"/>
      <c r="AF1264" s="24"/>
      <c r="AG1264" s="25" t="s">
        <v>127</v>
      </c>
      <c r="AH1264" s="26" t="s">
        <v>1099</v>
      </c>
      <c r="AI1264" s="83" t="s">
        <v>1100</v>
      </c>
      <c r="AJ1264" s="83" t="s">
        <v>1101</v>
      </c>
      <c r="AK1264" s="19" t="s">
        <v>882</v>
      </c>
      <c r="AL1264" s="25">
        <f>(B1264-DATE(1970,1,1))*86400</f>
        <v>1604102400</v>
      </c>
      <c r="AM1264" s="25">
        <f>(C1264-DATE(1970,1,1))*86400</f>
        <v>1604534400</v>
      </c>
      <c r="AN1264" s="25">
        <f>AVERAGE(AL1264:AM1264)</f>
        <v>1604318400</v>
      </c>
    </row>
    <row r="1265" spans="1:40" ht="15.75" customHeight="1" x14ac:dyDescent="0.2">
      <c r="A1265" s="284" t="s">
        <v>123</v>
      </c>
      <c r="B1265" s="20">
        <v>44135</v>
      </c>
      <c r="C1265" s="20">
        <v>44140</v>
      </c>
      <c r="D1265" s="19" t="s">
        <v>134</v>
      </c>
      <c r="E1265" s="332" t="s">
        <v>125</v>
      </c>
      <c r="F1265" s="19"/>
      <c r="G1265" s="19" t="s">
        <v>135</v>
      </c>
      <c r="H1265" s="332">
        <v>2000</v>
      </c>
      <c r="I1265" s="21">
        <v>48</v>
      </c>
      <c r="J1265" s="21"/>
      <c r="K1265" s="21">
        <v>8</v>
      </c>
      <c r="L1265" s="21">
        <v>3</v>
      </c>
      <c r="M1265" s="21">
        <v>17</v>
      </c>
      <c r="N1265" s="21"/>
      <c r="O1265" s="21"/>
      <c r="P1265" s="21">
        <v>10</v>
      </c>
      <c r="Q1265" s="21"/>
      <c r="R1265" s="22">
        <v>8</v>
      </c>
      <c r="S1265" s="21"/>
      <c r="T1265" s="21"/>
      <c r="U1265" s="21"/>
      <c r="V1265" s="21">
        <v>2</v>
      </c>
      <c r="W1265" s="21"/>
      <c r="X1265" s="21">
        <v>2</v>
      </c>
      <c r="Y1265" s="21"/>
      <c r="Z1265" s="21">
        <v>2</v>
      </c>
      <c r="AA1265" s="21">
        <v>0</v>
      </c>
      <c r="AB1265" s="23">
        <f>100/(SUM(I1265:Z1265))</f>
        <v>1</v>
      </c>
      <c r="AC1265" s="259">
        <f>SUM(I1265:AA1265)</f>
        <v>100</v>
      </c>
      <c r="AD1265" s="24"/>
      <c r="AE1265" s="24"/>
      <c r="AF1265" s="24"/>
      <c r="AG1265" s="25" t="s">
        <v>127</v>
      </c>
      <c r="AH1265" s="26" t="s">
        <v>1099</v>
      </c>
      <c r="AI1265" s="83" t="s">
        <v>1100</v>
      </c>
      <c r="AJ1265" s="83" t="s">
        <v>1101</v>
      </c>
      <c r="AK1265" s="19" t="s">
        <v>1018</v>
      </c>
      <c r="AL1265" s="25">
        <f>(B1265-DATE(1970,1,1))*86400</f>
        <v>1604102400</v>
      </c>
      <c r="AM1265" s="25">
        <f>(C1265-DATE(1970,1,1))*86400</f>
        <v>1604534400</v>
      </c>
      <c r="AN1265" s="25">
        <f>AVERAGE(AL1265:AM1265)</f>
        <v>1604318400</v>
      </c>
    </row>
    <row r="1266" spans="1:40" ht="15.75" customHeight="1" x14ac:dyDescent="0.2">
      <c r="A1266" s="281" t="s">
        <v>133</v>
      </c>
      <c r="B1266" s="54">
        <v>44124</v>
      </c>
      <c r="C1266" s="54">
        <v>44129</v>
      </c>
      <c r="D1266" s="53" t="s">
        <v>154</v>
      </c>
      <c r="E1266" s="323" t="s">
        <v>125</v>
      </c>
      <c r="F1266" s="53"/>
      <c r="G1266" s="53" t="s">
        <v>126</v>
      </c>
      <c r="H1266" s="357">
        <v>1005</v>
      </c>
      <c r="I1266" s="55">
        <v>30</v>
      </c>
      <c r="J1266" s="55"/>
      <c r="K1266" s="55">
        <v>6</v>
      </c>
      <c r="L1266" s="55">
        <v>1</v>
      </c>
      <c r="M1266" s="55">
        <v>8</v>
      </c>
      <c r="N1266" s="55"/>
      <c r="O1266" s="55"/>
      <c r="P1266" s="55">
        <v>8</v>
      </c>
      <c r="Q1266" s="55"/>
      <c r="R1266" s="55">
        <v>7</v>
      </c>
      <c r="S1266" s="55"/>
      <c r="T1266" s="55"/>
      <c r="U1266" s="55">
        <v>4</v>
      </c>
      <c r="V1266" s="56">
        <v>1</v>
      </c>
      <c r="W1266" s="56"/>
      <c r="X1266" s="56">
        <v>1</v>
      </c>
      <c r="Y1266" s="56"/>
      <c r="Z1266" s="55"/>
      <c r="AA1266" s="55">
        <v>35</v>
      </c>
      <c r="AB1266" s="57">
        <f>100/(SUM(I1266:Z1266))</f>
        <v>1.5151515151515151</v>
      </c>
      <c r="AC1266" s="259">
        <f>SUM(I1266:AA1266)</f>
        <v>101</v>
      </c>
      <c r="AD1266" s="55"/>
      <c r="AE1266" s="55"/>
      <c r="AF1266" s="55"/>
      <c r="AG1266" s="58" t="s">
        <v>155</v>
      </c>
      <c r="AH1266" s="59"/>
      <c r="AI1266" s="59" t="s">
        <v>993</v>
      </c>
      <c r="AJ1266" s="59" t="s">
        <v>1102</v>
      </c>
      <c r="AK1266" s="53" t="s">
        <v>1103</v>
      </c>
      <c r="AL1266" s="58">
        <f>(B1266-DATE(1970,1,1))*86400</f>
        <v>1603152000</v>
      </c>
      <c r="AM1266" s="58">
        <f>(C1266-DATE(1970,1,1))*86400</f>
        <v>1603584000</v>
      </c>
      <c r="AN1266" s="58">
        <f>AVERAGE(AL1266:AM1266)</f>
        <v>1603368000</v>
      </c>
    </row>
    <row r="1267" spans="1:40" ht="15.75" customHeight="1" x14ac:dyDescent="0.2">
      <c r="A1267" s="281" t="s">
        <v>123</v>
      </c>
      <c r="B1267" s="54">
        <v>44124</v>
      </c>
      <c r="C1267" s="54">
        <v>44129</v>
      </c>
      <c r="D1267" s="53" t="s">
        <v>154</v>
      </c>
      <c r="E1267" s="323" t="s">
        <v>125</v>
      </c>
      <c r="F1267" s="53" t="s">
        <v>140</v>
      </c>
      <c r="G1267" s="53" t="s">
        <v>126</v>
      </c>
      <c r="H1267" s="357">
        <v>1005</v>
      </c>
      <c r="I1267" s="55"/>
      <c r="J1267" s="55"/>
      <c r="K1267" s="55"/>
      <c r="L1267" s="55"/>
      <c r="M1267" s="55"/>
      <c r="N1267" s="55"/>
      <c r="O1267" s="55"/>
      <c r="P1267" s="55"/>
      <c r="Q1267" s="55"/>
      <c r="R1267" s="56"/>
      <c r="S1267" s="55"/>
      <c r="T1267" s="55"/>
      <c r="U1267" s="55"/>
      <c r="V1267" s="55"/>
      <c r="W1267" s="55"/>
      <c r="X1267" s="55"/>
      <c r="Y1267" s="55"/>
      <c r="Z1267" s="55"/>
      <c r="AA1267" s="55"/>
      <c r="AB1267" s="57" t="e">
        <f>100/(SUM(I1267:Z1267))</f>
        <v>#DIV/0!</v>
      </c>
      <c r="AC1267" s="259">
        <f>SUM(I1267:AA1267)</f>
        <v>0</v>
      </c>
      <c r="AD1267" s="55"/>
      <c r="AE1267" s="55"/>
      <c r="AF1267" s="55"/>
      <c r="AG1267" s="58" t="s">
        <v>155</v>
      </c>
      <c r="AH1267" s="59"/>
      <c r="AI1267" s="59"/>
      <c r="AJ1267" s="59" t="s">
        <v>1102</v>
      </c>
      <c r="AK1267" s="53"/>
      <c r="AL1267" s="58">
        <f>(B1267-DATE(1970,1,1))*86400</f>
        <v>1603152000</v>
      </c>
      <c r="AM1267" s="58">
        <f>(C1267-DATE(1970,1,1))*86400</f>
        <v>1603584000</v>
      </c>
      <c r="AN1267" s="58">
        <f>AVERAGE(AL1267:AM1267)</f>
        <v>1603368000</v>
      </c>
    </row>
    <row r="1268" spans="1:40" ht="15.75" customHeight="1" x14ac:dyDescent="0.2">
      <c r="A1268" s="281" t="s">
        <v>123</v>
      </c>
      <c r="B1268" s="54">
        <v>44124</v>
      </c>
      <c r="C1268" s="54">
        <v>44129</v>
      </c>
      <c r="D1268" s="53" t="s">
        <v>154</v>
      </c>
      <c r="E1268" s="323" t="s">
        <v>125</v>
      </c>
      <c r="F1268" s="53" t="s">
        <v>140</v>
      </c>
      <c r="G1268" s="53" t="s">
        <v>126</v>
      </c>
      <c r="H1268" s="357">
        <v>1005</v>
      </c>
      <c r="I1268" s="55"/>
      <c r="J1268" s="55"/>
      <c r="K1268" s="55"/>
      <c r="L1268" s="55"/>
      <c r="M1268" s="55"/>
      <c r="N1268" s="55"/>
      <c r="O1268" s="55"/>
      <c r="P1268" s="55"/>
      <c r="Q1268" s="55"/>
      <c r="R1268" s="56"/>
      <c r="S1268" s="55"/>
      <c r="T1268" s="55"/>
      <c r="U1268" s="55"/>
      <c r="V1268" s="55"/>
      <c r="W1268" s="55"/>
      <c r="X1268" s="55"/>
      <c r="Y1268" s="55"/>
      <c r="Z1268" s="55"/>
      <c r="AA1268" s="55"/>
      <c r="AB1268" s="57" t="e">
        <f>100/(SUM(I1268:Z1268))</f>
        <v>#DIV/0!</v>
      </c>
      <c r="AC1268" s="259">
        <f>SUM(I1268:AA1268)</f>
        <v>0</v>
      </c>
      <c r="AD1268" s="55"/>
      <c r="AE1268" s="55"/>
      <c r="AF1268" s="55"/>
      <c r="AG1268" s="58" t="s">
        <v>155</v>
      </c>
      <c r="AH1268" s="59"/>
      <c r="AI1268" s="59"/>
      <c r="AJ1268" s="59" t="s">
        <v>1102</v>
      </c>
      <c r="AK1268" s="53"/>
      <c r="AL1268" s="58">
        <f>(B1268-DATE(1970,1,1))*86400</f>
        <v>1603152000</v>
      </c>
      <c r="AM1268" s="58">
        <f>(C1268-DATE(1970,1,1))*86400</f>
        <v>1603584000</v>
      </c>
      <c r="AN1268" s="58">
        <f>AVERAGE(AL1268:AM1268)</f>
        <v>1603368000</v>
      </c>
    </row>
    <row r="1269" spans="1:40" ht="15.75" customHeight="1" x14ac:dyDescent="0.2">
      <c r="A1269" s="288" t="s">
        <v>133</v>
      </c>
      <c r="B1269" s="60">
        <v>44123</v>
      </c>
      <c r="C1269" s="60">
        <v>44130</v>
      </c>
      <c r="D1269" s="61" t="s">
        <v>168</v>
      </c>
      <c r="E1269" s="334" t="s">
        <v>125</v>
      </c>
      <c r="F1269" s="61"/>
      <c r="G1269" s="61" t="s">
        <v>126</v>
      </c>
      <c r="H1269" s="334">
        <v>1000</v>
      </c>
      <c r="I1269" s="63">
        <v>34</v>
      </c>
      <c r="J1269" s="63"/>
      <c r="K1269" s="63">
        <v>5</v>
      </c>
      <c r="L1269" s="63">
        <v>1</v>
      </c>
      <c r="M1269" s="63">
        <v>10</v>
      </c>
      <c r="N1269" s="63"/>
      <c r="O1269" s="63"/>
      <c r="P1269" s="63">
        <v>8</v>
      </c>
      <c r="Q1269" s="63"/>
      <c r="R1269" s="64">
        <v>6</v>
      </c>
      <c r="S1269" s="63"/>
      <c r="T1269" s="63"/>
      <c r="U1269" s="63"/>
      <c r="V1269" s="63">
        <v>2</v>
      </c>
      <c r="W1269" s="63"/>
      <c r="X1269" s="63">
        <v>1</v>
      </c>
      <c r="Y1269" s="63"/>
      <c r="Z1269" s="63">
        <v>0</v>
      </c>
      <c r="AA1269" s="63">
        <v>33</v>
      </c>
      <c r="AB1269" s="65">
        <f>100/(SUM(I1269:Z1269))</f>
        <v>1.4925373134328359</v>
      </c>
      <c r="AC1269" s="259">
        <f>SUM(I1269:AA1269)</f>
        <v>100</v>
      </c>
      <c r="AD1269" s="63">
        <v>71</v>
      </c>
      <c r="AE1269" s="63"/>
      <c r="AF1269" s="63"/>
      <c r="AG1269" s="66" t="s">
        <v>127</v>
      </c>
      <c r="AH1269" s="67" t="s">
        <v>1104</v>
      </c>
      <c r="AI1269" s="67" t="s">
        <v>1105</v>
      </c>
      <c r="AJ1269" s="67"/>
      <c r="AK1269" s="61" t="s">
        <v>1107</v>
      </c>
      <c r="AL1269" s="66">
        <f>(B1269-DATE(1970,1,1))*86400</f>
        <v>1603065600</v>
      </c>
      <c r="AM1269" s="66">
        <f>(C1269-DATE(1970,1,1))*86400</f>
        <v>1603670400</v>
      </c>
      <c r="AN1269" s="66">
        <f>AVERAGE(AL1269:AM1269)</f>
        <v>1603368000</v>
      </c>
    </row>
    <row r="1270" spans="1:40" ht="15.75" customHeight="1" x14ac:dyDescent="0.2">
      <c r="A1270" s="288" t="s">
        <v>133</v>
      </c>
      <c r="B1270" s="60">
        <v>44123</v>
      </c>
      <c r="C1270" s="60">
        <v>44130</v>
      </c>
      <c r="D1270" s="61" t="s">
        <v>168</v>
      </c>
      <c r="E1270" s="334" t="s">
        <v>125</v>
      </c>
      <c r="F1270" s="61"/>
      <c r="G1270" s="61" t="s">
        <v>126</v>
      </c>
      <c r="H1270" s="334">
        <v>1000</v>
      </c>
      <c r="I1270" s="63">
        <v>50</v>
      </c>
      <c r="J1270" s="63"/>
      <c r="K1270" s="63">
        <v>7</v>
      </c>
      <c r="L1270" s="63">
        <v>2</v>
      </c>
      <c r="M1270" s="63">
        <v>15</v>
      </c>
      <c r="N1270" s="63"/>
      <c r="O1270" s="63"/>
      <c r="P1270" s="63">
        <v>12</v>
      </c>
      <c r="Q1270" s="63"/>
      <c r="R1270" s="64">
        <v>9</v>
      </c>
      <c r="S1270" s="63"/>
      <c r="T1270" s="63"/>
      <c r="U1270" s="63"/>
      <c r="V1270" s="63">
        <v>3</v>
      </c>
      <c r="W1270" s="63"/>
      <c r="X1270" s="63">
        <v>2</v>
      </c>
      <c r="Y1270" s="63"/>
      <c r="Z1270" s="63">
        <v>0</v>
      </c>
      <c r="AA1270" s="63">
        <v>0</v>
      </c>
      <c r="AB1270" s="65">
        <f>100/(SUM(I1270:Z1270))</f>
        <v>1</v>
      </c>
      <c r="AC1270" s="259">
        <f>SUM(I1270:AA1270)</f>
        <v>100</v>
      </c>
      <c r="AD1270" s="63"/>
      <c r="AE1270" s="63"/>
      <c r="AF1270" s="63"/>
      <c r="AG1270" s="66" t="s">
        <v>127</v>
      </c>
      <c r="AH1270" s="67" t="s">
        <v>1104</v>
      </c>
      <c r="AI1270" s="67" t="s">
        <v>1105</v>
      </c>
      <c r="AJ1270" s="67"/>
      <c r="AK1270" s="61" t="s">
        <v>1106</v>
      </c>
      <c r="AL1270" s="66">
        <f>(B1270-DATE(1970,1,1))*86400</f>
        <v>1603065600</v>
      </c>
      <c r="AM1270" s="66">
        <f>(C1270-DATE(1970,1,1))*86400</f>
        <v>1603670400</v>
      </c>
      <c r="AN1270" s="66">
        <f>AVERAGE(AL1270:AM1270)</f>
        <v>1603368000</v>
      </c>
    </row>
    <row r="1271" spans="1:40" ht="15.75" customHeight="1" x14ac:dyDescent="0.2">
      <c r="A1271" s="279" t="s">
        <v>133</v>
      </c>
      <c r="B1271" s="14">
        <v>44124</v>
      </c>
      <c r="C1271" s="14">
        <v>44125</v>
      </c>
      <c r="D1271" s="13" t="s">
        <v>124</v>
      </c>
      <c r="E1271" s="324" t="s">
        <v>125</v>
      </c>
      <c r="F1271" s="13" t="s">
        <v>140</v>
      </c>
      <c r="G1271" s="13" t="s">
        <v>126</v>
      </c>
      <c r="H1271" s="372">
        <v>1000</v>
      </c>
      <c r="I1271" s="15"/>
      <c r="J1271" s="15"/>
      <c r="K1271" s="15"/>
      <c r="L1271" s="15"/>
      <c r="M1271" s="15"/>
      <c r="N1271" s="15"/>
      <c r="O1271" s="15"/>
      <c r="P1271" s="15"/>
      <c r="Q1271" s="15"/>
      <c r="R1271" s="15"/>
      <c r="S1271" s="15"/>
      <c r="T1271" s="15"/>
      <c r="U1271" s="15"/>
      <c r="V1271" s="15"/>
      <c r="W1271" s="15"/>
      <c r="X1271" s="15"/>
      <c r="Y1271" s="15"/>
      <c r="Z1271" s="15"/>
      <c r="AA1271" s="15"/>
      <c r="AB1271" s="16" t="e">
        <f>100/(SUM(I1271:Z1271))</f>
        <v>#DIV/0!</v>
      </c>
      <c r="AC1271" s="259">
        <f>SUM(I1271:AA1271)</f>
        <v>0</v>
      </c>
      <c r="AD1271" s="15"/>
      <c r="AE1271" s="15"/>
      <c r="AF1271" s="15"/>
      <c r="AG1271" s="17" t="s">
        <v>127</v>
      </c>
      <c r="AH1271" s="18"/>
      <c r="AI1271" s="18" t="s">
        <v>1108</v>
      </c>
      <c r="AJ1271" s="18" t="s">
        <v>1109</v>
      </c>
      <c r="AK1271" s="13" t="s">
        <v>1110</v>
      </c>
      <c r="AL1271" s="17">
        <f>(B1271-DATE(1970,1,1))*86400</f>
        <v>1603152000</v>
      </c>
      <c r="AM1271" s="17">
        <f>(C1271-DATE(1970,1,1))*86400</f>
        <v>1603238400</v>
      </c>
      <c r="AN1271" s="17">
        <f>AVERAGE(AL1271:AM1271)</f>
        <v>1603195200</v>
      </c>
    </row>
    <row r="1272" spans="1:40" ht="15.75" customHeight="1" x14ac:dyDescent="0.2">
      <c r="A1272" s="279" t="s">
        <v>123</v>
      </c>
      <c r="B1272" s="14">
        <v>44124</v>
      </c>
      <c r="C1272" s="14">
        <v>44125</v>
      </c>
      <c r="D1272" s="13" t="s">
        <v>124</v>
      </c>
      <c r="E1272" s="324" t="s">
        <v>125</v>
      </c>
      <c r="F1272" s="13" t="s">
        <v>140</v>
      </c>
      <c r="G1272" s="13" t="s">
        <v>126</v>
      </c>
      <c r="H1272" s="372">
        <v>1000</v>
      </c>
      <c r="I1272" s="15"/>
      <c r="J1272" s="15"/>
      <c r="K1272" s="15"/>
      <c r="L1272" s="15"/>
      <c r="M1272" s="15"/>
      <c r="N1272" s="15"/>
      <c r="O1272" s="15"/>
      <c r="P1272" s="15"/>
      <c r="Q1272" s="15"/>
      <c r="R1272" s="15"/>
      <c r="S1272" s="15"/>
      <c r="T1272" s="15"/>
      <c r="U1272" s="15"/>
      <c r="V1272" s="15"/>
      <c r="W1272" s="15"/>
      <c r="X1272" s="15"/>
      <c r="Y1272" s="15"/>
      <c r="Z1272" s="15"/>
      <c r="AA1272" s="15"/>
      <c r="AB1272" s="16" t="e">
        <f>100/(SUM(I1272:Z1272))</f>
        <v>#DIV/0!</v>
      </c>
      <c r="AC1272" s="259">
        <f>SUM(I1272:AA1272)</f>
        <v>0</v>
      </c>
      <c r="AD1272" s="15"/>
      <c r="AE1272" s="15"/>
      <c r="AF1272" s="15"/>
      <c r="AG1272" s="17" t="s">
        <v>127</v>
      </c>
      <c r="AH1272" s="18"/>
      <c r="AI1272" s="18" t="s">
        <v>1108</v>
      </c>
      <c r="AJ1272" s="18" t="s">
        <v>1109</v>
      </c>
      <c r="AK1272" s="13" t="s">
        <v>1110</v>
      </c>
      <c r="AL1272" s="17">
        <f>(B1272-DATE(1970,1,1))*86400</f>
        <v>1603152000</v>
      </c>
      <c r="AM1272" s="17">
        <f>(C1272-DATE(1970,1,1))*86400</f>
        <v>1603238400</v>
      </c>
      <c r="AN1272" s="17">
        <f>AVERAGE(AL1272:AM1272)</f>
        <v>1603195200</v>
      </c>
    </row>
    <row r="1273" spans="1:40" ht="15.75" customHeight="1" x14ac:dyDescent="0.2">
      <c r="A1273" s="296" t="s">
        <v>133</v>
      </c>
      <c r="B1273" s="100">
        <v>44119</v>
      </c>
      <c r="C1273" s="100">
        <v>44124</v>
      </c>
      <c r="D1273" s="99" t="s">
        <v>276</v>
      </c>
      <c r="E1273" s="326" t="s">
        <v>125</v>
      </c>
      <c r="F1273" s="99"/>
      <c r="G1273" s="99" t="s">
        <v>126</v>
      </c>
      <c r="H1273" s="326">
        <v>1000</v>
      </c>
      <c r="I1273" s="101">
        <v>32</v>
      </c>
      <c r="J1273" s="101"/>
      <c r="K1273" s="101">
        <v>8</v>
      </c>
      <c r="L1273" s="101">
        <v>2</v>
      </c>
      <c r="M1273" s="101">
        <v>8</v>
      </c>
      <c r="N1273" s="101"/>
      <c r="O1273" s="101"/>
      <c r="P1273" s="101">
        <v>6</v>
      </c>
      <c r="Q1273" s="101"/>
      <c r="R1273" s="101">
        <v>4</v>
      </c>
      <c r="S1273" s="101"/>
      <c r="T1273" s="101"/>
      <c r="U1273" s="101">
        <v>1</v>
      </c>
      <c r="V1273" s="101">
        <v>2</v>
      </c>
      <c r="W1273" s="101"/>
      <c r="X1273" s="101">
        <v>1</v>
      </c>
      <c r="Y1273" s="101"/>
      <c r="Z1273" s="101">
        <v>1</v>
      </c>
      <c r="AA1273" s="101">
        <v>35</v>
      </c>
      <c r="AB1273" s="102">
        <f>100/(SUM(I1273:Z1273))</f>
        <v>1.5384615384615385</v>
      </c>
      <c r="AC1273" s="259">
        <f>SUM(I1273:AA1273)</f>
        <v>100</v>
      </c>
      <c r="AD1273" s="101"/>
      <c r="AE1273" s="101"/>
      <c r="AF1273" s="101"/>
      <c r="AG1273" s="103" t="s">
        <v>707</v>
      </c>
      <c r="AH1273" s="104" t="s">
        <v>1111</v>
      </c>
      <c r="AI1273" s="104" t="s">
        <v>1112</v>
      </c>
      <c r="AJ1273" s="222" t="s">
        <v>1853</v>
      </c>
      <c r="AK1273" s="99" t="s">
        <v>1113</v>
      </c>
      <c r="AL1273" s="103">
        <f>(B1273-DATE(1970,1,1))*86400</f>
        <v>1602720000</v>
      </c>
      <c r="AM1273" s="103">
        <f>(C1273-DATE(1970,1,1))*86400</f>
        <v>1603152000</v>
      </c>
      <c r="AN1273" s="103">
        <f>AVERAGE(AL1273:AM1273)</f>
        <v>1602936000</v>
      </c>
    </row>
    <row r="1274" spans="1:40" ht="15.75" customHeight="1" x14ac:dyDescent="0.2">
      <c r="A1274" s="296" t="s">
        <v>123</v>
      </c>
      <c r="B1274" s="100">
        <v>44119</v>
      </c>
      <c r="C1274" s="100">
        <v>44124</v>
      </c>
      <c r="D1274" s="99" t="s">
        <v>276</v>
      </c>
      <c r="E1274" s="326" t="s">
        <v>125</v>
      </c>
      <c r="F1274" s="99"/>
      <c r="G1274" s="99" t="s">
        <v>126</v>
      </c>
      <c r="H1274" s="326">
        <v>1000</v>
      </c>
      <c r="I1274" s="101">
        <v>51</v>
      </c>
      <c r="J1274" s="101"/>
      <c r="K1274" s="101">
        <v>12</v>
      </c>
      <c r="L1274" s="101">
        <v>2</v>
      </c>
      <c r="M1274" s="101">
        <v>12</v>
      </c>
      <c r="N1274" s="101"/>
      <c r="O1274" s="101"/>
      <c r="P1274" s="101">
        <v>10</v>
      </c>
      <c r="Q1274" s="101"/>
      <c r="R1274" s="101">
        <v>6</v>
      </c>
      <c r="S1274" s="101"/>
      <c r="T1274" s="101"/>
      <c r="U1274" s="101">
        <v>1</v>
      </c>
      <c r="V1274" s="101">
        <v>3</v>
      </c>
      <c r="W1274" s="101"/>
      <c r="X1274" s="101">
        <v>2</v>
      </c>
      <c r="Y1274" s="101"/>
      <c r="Z1274" s="101">
        <v>1</v>
      </c>
      <c r="AA1274" s="101">
        <v>0</v>
      </c>
      <c r="AB1274" s="102">
        <f>100/(SUM(I1274:Z1274))</f>
        <v>1</v>
      </c>
      <c r="AC1274" s="259">
        <f>SUM(I1274:AA1274)</f>
        <v>100</v>
      </c>
      <c r="AD1274" s="101"/>
      <c r="AE1274" s="101"/>
      <c r="AF1274" s="101"/>
      <c r="AG1274" s="103" t="s">
        <v>707</v>
      </c>
      <c r="AH1274" s="104" t="s">
        <v>1111</v>
      </c>
      <c r="AI1274" s="104" t="s">
        <v>1112</v>
      </c>
      <c r="AJ1274" s="222" t="s">
        <v>1853</v>
      </c>
      <c r="AK1274" s="99" t="s">
        <v>1114</v>
      </c>
      <c r="AL1274" s="103">
        <f>(B1274-DATE(1970,1,1))*86400</f>
        <v>1602720000</v>
      </c>
      <c r="AM1274" s="103">
        <f>(C1274-DATE(1970,1,1))*86400</f>
        <v>1603152000</v>
      </c>
      <c r="AN1274" s="103">
        <f>AVERAGE(AL1274:AM1274)</f>
        <v>1602936000</v>
      </c>
    </row>
    <row r="1275" spans="1:40" ht="15.75" customHeight="1" x14ac:dyDescent="0.2">
      <c r="A1275" s="286" t="s">
        <v>133</v>
      </c>
      <c r="B1275" s="41">
        <v>44109</v>
      </c>
      <c r="C1275" s="41">
        <v>44119</v>
      </c>
      <c r="D1275" s="40" t="s">
        <v>148</v>
      </c>
      <c r="E1275" s="325" t="s">
        <v>125</v>
      </c>
      <c r="F1275" s="40"/>
      <c r="G1275" s="40" t="s">
        <v>149</v>
      </c>
      <c r="H1275" s="325">
        <v>1000</v>
      </c>
      <c r="I1275" s="42">
        <v>32</v>
      </c>
      <c r="J1275" s="42"/>
      <c r="K1275" s="42">
        <v>7</v>
      </c>
      <c r="L1275" s="42">
        <v>2</v>
      </c>
      <c r="M1275" s="42">
        <v>10</v>
      </c>
      <c r="N1275" s="42"/>
      <c r="O1275" s="42"/>
      <c r="P1275" s="42">
        <v>6</v>
      </c>
      <c r="Q1275" s="42"/>
      <c r="R1275" s="43">
        <v>7</v>
      </c>
      <c r="S1275" s="42"/>
      <c r="T1275" s="42"/>
      <c r="U1275" s="42"/>
      <c r="V1275" s="42">
        <v>2</v>
      </c>
      <c r="W1275" s="42"/>
      <c r="X1275" s="42">
        <v>2</v>
      </c>
      <c r="Y1275" s="42"/>
      <c r="Z1275" s="42">
        <v>1</v>
      </c>
      <c r="AA1275" s="42">
        <v>31</v>
      </c>
      <c r="AB1275" s="44">
        <f>100/(SUM(I1275:Z1275))</f>
        <v>1.4492753623188406</v>
      </c>
      <c r="AC1275" s="259">
        <f>SUM(I1275:AA1275)</f>
        <v>100</v>
      </c>
      <c r="AD1275" s="42"/>
      <c r="AE1275" s="42"/>
      <c r="AF1275" s="42"/>
      <c r="AG1275" s="45" t="s">
        <v>127</v>
      </c>
      <c r="AH1275" s="46" t="s">
        <v>816</v>
      </c>
      <c r="AI1275" s="132" t="s">
        <v>1115</v>
      </c>
      <c r="AJ1275" s="132"/>
      <c r="AK1275" s="40" t="s">
        <v>1116</v>
      </c>
      <c r="AL1275" s="45">
        <f>(B1275-DATE(1970,1,1))*86400</f>
        <v>1601856000</v>
      </c>
      <c r="AM1275" s="45">
        <f>(C1275-DATE(1970,1,1))*86400</f>
        <v>1602720000</v>
      </c>
      <c r="AN1275" s="45">
        <f>AVERAGE(AL1275:AM1275)</f>
        <v>1602288000</v>
      </c>
    </row>
    <row r="1276" spans="1:40" ht="15.75" customHeight="1" x14ac:dyDescent="0.2">
      <c r="A1276" s="286" t="s">
        <v>123</v>
      </c>
      <c r="B1276" s="41">
        <v>44109</v>
      </c>
      <c r="C1276" s="41">
        <v>44119</v>
      </c>
      <c r="D1276" s="40" t="s">
        <v>148</v>
      </c>
      <c r="E1276" s="325" t="s">
        <v>125</v>
      </c>
      <c r="F1276" s="40"/>
      <c r="G1276" s="40" t="s">
        <v>149</v>
      </c>
      <c r="H1276" s="325">
        <v>1000</v>
      </c>
      <c r="I1276" s="42">
        <v>49</v>
      </c>
      <c r="J1276" s="42"/>
      <c r="K1276" s="42">
        <v>10</v>
      </c>
      <c r="L1276" s="42">
        <v>2</v>
      </c>
      <c r="M1276" s="42">
        <v>17</v>
      </c>
      <c r="N1276" s="42"/>
      <c r="O1276" s="42"/>
      <c r="P1276" s="42">
        <v>10</v>
      </c>
      <c r="Q1276" s="42"/>
      <c r="R1276" s="43">
        <v>8</v>
      </c>
      <c r="S1276" s="42"/>
      <c r="T1276" s="42"/>
      <c r="U1276" s="42"/>
      <c r="V1276" s="42">
        <v>2</v>
      </c>
      <c r="W1276" s="42"/>
      <c r="X1276" s="42">
        <v>2</v>
      </c>
      <c r="Y1276" s="42"/>
      <c r="Z1276" s="42">
        <v>0</v>
      </c>
      <c r="AA1276" s="42">
        <v>0</v>
      </c>
      <c r="AB1276" s="44">
        <f>100/(SUM(I1276:Z1276))</f>
        <v>1</v>
      </c>
      <c r="AC1276" s="259">
        <f>SUM(I1276:AA1276)</f>
        <v>100</v>
      </c>
      <c r="AD1276" s="42"/>
      <c r="AE1276" s="42"/>
      <c r="AF1276" s="42"/>
      <c r="AG1276" s="45" t="s">
        <v>127</v>
      </c>
      <c r="AH1276" s="46" t="s">
        <v>816</v>
      </c>
      <c r="AI1276" s="132" t="s">
        <v>1115</v>
      </c>
      <c r="AJ1276" s="132"/>
      <c r="AK1276" s="40" t="s">
        <v>1117</v>
      </c>
      <c r="AL1276" s="45">
        <f>(B1276-DATE(1970,1,1))*86400</f>
        <v>1601856000</v>
      </c>
      <c r="AM1276" s="45">
        <f>(C1276-DATE(1970,1,1))*86400</f>
        <v>1602720000</v>
      </c>
      <c r="AN1276" s="45">
        <f>AVERAGE(AL1276:AM1276)</f>
        <v>1602288000</v>
      </c>
    </row>
    <row r="1277" spans="1:40" ht="15.75" customHeight="1" x14ac:dyDescent="0.2">
      <c r="A1277" s="285" t="s">
        <v>133</v>
      </c>
      <c r="B1277" s="34">
        <v>44105</v>
      </c>
      <c r="C1277" s="34">
        <v>44111</v>
      </c>
      <c r="D1277" s="33" t="s">
        <v>143</v>
      </c>
      <c r="E1277" s="319" t="s">
        <v>125</v>
      </c>
      <c r="F1277" s="33" t="s">
        <v>140</v>
      </c>
      <c r="G1277" s="33" t="s">
        <v>135</v>
      </c>
      <c r="H1277" s="353">
        <v>1000</v>
      </c>
      <c r="I1277" s="35"/>
      <c r="J1277" s="35"/>
      <c r="K1277" s="35"/>
      <c r="L1277" s="35"/>
      <c r="M1277" s="35"/>
      <c r="N1277" s="35"/>
      <c r="O1277" s="35"/>
      <c r="P1277" s="35"/>
      <c r="Q1277" s="35"/>
      <c r="R1277" s="36"/>
      <c r="S1277" s="35"/>
      <c r="T1277" s="35"/>
      <c r="U1277" s="35"/>
      <c r="V1277" s="35"/>
      <c r="W1277" s="35"/>
      <c r="X1277" s="35"/>
      <c r="Y1277" s="35"/>
      <c r="Z1277" s="35"/>
      <c r="AA1277" s="35"/>
      <c r="AB1277" s="37" t="e">
        <f>100/(SUM(I1277:Z1277))</f>
        <v>#DIV/0!</v>
      </c>
      <c r="AC1277" s="259">
        <f>SUM(I1277:AA1277)</f>
        <v>0</v>
      </c>
      <c r="AD1277" s="35"/>
      <c r="AE1277" s="35"/>
      <c r="AF1277" s="35"/>
      <c r="AG1277" s="39"/>
      <c r="AH1277" s="33" t="s">
        <v>1118</v>
      </c>
      <c r="AI1277" s="33"/>
      <c r="AJ1277" s="38" t="s">
        <v>1119</v>
      </c>
      <c r="AK1277" s="33" t="s">
        <v>1120</v>
      </c>
      <c r="AL1277" s="39">
        <f>(B1277-DATE(1970,1,1))*86400</f>
        <v>1601510400</v>
      </c>
      <c r="AM1277" s="39">
        <f>(C1277-DATE(1970,1,1))*86400</f>
        <v>1602028800</v>
      </c>
      <c r="AN1277" s="39">
        <f>AVERAGE(AL1277:AM1277)</f>
        <v>1601769600</v>
      </c>
    </row>
    <row r="1278" spans="1:40" ht="15.75" customHeight="1" x14ac:dyDescent="0.2">
      <c r="A1278" s="285" t="s">
        <v>133</v>
      </c>
      <c r="B1278" s="34">
        <v>44105</v>
      </c>
      <c r="C1278" s="34">
        <v>44111</v>
      </c>
      <c r="D1278" s="33" t="s">
        <v>143</v>
      </c>
      <c r="E1278" s="319" t="s">
        <v>125</v>
      </c>
      <c r="F1278" s="33" t="s">
        <v>140</v>
      </c>
      <c r="G1278" s="33" t="s">
        <v>135</v>
      </c>
      <c r="H1278" s="353">
        <v>1000</v>
      </c>
      <c r="I1278" s="35"/>
      <c r="J1278" s="35"/>
      <c r="K1278" s="35"/>
      <c r="L1278" s="35"/>
      <c r="M1278" s="35"/>
      <c r="N1278" s="35"/>
      <c r="O1278" s="35"/>
      <c r="P1278" s="35"/>
      <c r="Q1278" s="35"/>
      <c r="R1278" s="36"/>
      <c r="S1278" s="35"/>
      <c r="T1278" s="35"/>
      <c r="U1278" s="35"/>
      <c r="V1278" s="35"/>
      <c r="W1278" s="35"/>
      <c r="X1278" s="35"/>
      <c r="Y1278" s="35"/>
      <c r="Z1278" s="35"/>
      <c r="AA1278" s="35"/>
      <c r="AB1278" s="37" t="e">
        <f>100/(SUM(I1278:Z1278))</f>
        <v>#DIV/0!</v>
      </c>
      <c r="AC1278" s="259">
        <f>SUM(I1278:AA1278)</f>
        <v>0</v>
      </c>
      <c r="AD1278" s="35"/>
      <c r="AE1278" s="35"/>
      <c r="AF1278" s="35"/>
      <c r="AG1278" s="39"/>
      <c r="AH1278" s="33" t="s">
        <v>1118</v>
      </c>
      <c r="AI1278" s="33"/>
      <c r="AJ1278" s="38" t="s">
        <v>1119</v>
      </c>
      <c r="AK1278" s="33" t="s">
        <v>1120</v>
      </c>
      <c r="AL1278" s="39">
        <f>(B1278-DATE(1970,1,1))*86400</f>
        <v>1601510400</v>
      </c>
      <c r="AM1278" s="39">
        <f>(C1278-DATE(1970,1,1))*86400</f>
        <v>1602028800</v>
      </c>
      <c r="AN1278" s="39">
        <f>AVERAGE(AL1278:AM1278)</f>
        <v>1601769600</v>
      </c>
    </row>
    <row r="1279" spans="1:40" ht="15.75" customHeight="1" x14ac:dyDescent="0.2">
      <c r="A1279" s="284" t="s">
        <v>133</v>
      </c>
      <c r="B1279" s="20">
        <v>44104</v>
      </c>
      <c r="C1279" s="20">
        <v>44108</v>
      </c>
      <c r="D1279" s="19" t="s">
        <v>134</v>
      </c>
      <c r="E1279" s="332" t="s">
        <v>125</v>
      </c>
      <c r="F1279" s="19"/>
      <c r="G1279" s="19" t="s">
        <v>135</v>
      </c>
      <c r="H1279" s="332">
        <v>2000</v>
      </c>
      <c r="I1279" s="21">
        <v>34</v>
      </c>
      <c r="J1279" s="21"/>
      <c r="K1279" s="21">
        <v>6</v>
      </c>
      <c r="L1279" s="21">
        <v>2</v>
      </c>
      <c r="M1279" s="21">
        <v>12</v>
      </c>
      <c r="N1279" s="21"/>
      <c r="O1279" s="21"/>
      <c r="P1279" s="21">
        <v>7</v>
      </c>
      <c r="Q1279" s="21"/>
      <c r="R1279" s="22">
        <v>7</v>
      </c>
      <c r="S1279" s="21"/>
      <c r="T1279" s="21"/>
      <c r="U1279" s="21"/>
      <c r="V1279" s="21">
        <v>2</v>
      </c>
      <c r="W1279" s="21"/>
      <c r="X1279" s="21">
        <v>2</v>
      </c>
      <c r="Y1279" s="21"/>
      <c r="Z1279" s="21">
        <v>1</v>
      </c>
      <c r="AA1279" s="21">
        <v>27</v>
      </c>
      <c r="AB1279" s="23">
        <f>100/(SUM(I1279:Z1279))</f>
        <v>1.3698630136986301</v>
      </c>
      <c r="AC1279" s="259">
        <f>SUM(I1279:AA1279)</f>
        <v>100</v>
      </c>
      <c r="AD1279" s="21"/>
      <c r="AE1279" s="21"/>
      <c r="AF1279" s="21"/>
      <c r="AG1279" s="25" t="s">
        <v>127</v>
      </c>
      <c r="AH1279" s="83" t="s">
        <v>1121</v>
      </c>
      <c r="AI1279" s="83" t="s">
        <v>1122</v>
      </c>
      <c r="AJ1279" s="83"/>
      <c r="AK1279" s="19" t="s">
        <v>882</v>
      </c>
      <c r="AL1279" s="25">
        <f>(B1279-DATE(1970,1,1))*86400</f>
        <v>1601424000</v>
      </c>
      <c r="AM1279" s="25">
        <f>(C1279-DATE(1970,1,1))*86400</f>
        <v>1601769600</v>
      </c>
      <c r="AN1279" s="25">
        <f>AVERAGE(AL1279:AM1279)</f>
        <v>1601596800</v>
      </c>
    </row>
    <row r="1280" spans="1:40" ht="15.75" customHeight="1" x14ac:dyDescent="0.2">
      <c r="A1280" s="284" t="s">
        <v>123</v>
      </c>
      <c r="B1280" s="20">
        <v>44104</v>
      </c>
      <c r="C1280" s="20">
        <v>44108</v>
      </c>
      <c r="D1280" s="19" t="s">
        <v>134</v>
      </c>
      <c r="E1280" s="332" t="s">
        <v>125</v>
      </c>
      <c r="F1280" s="19"/>
      <c r="G1280" s="19" t="s">
        <v>135</v>
      </c>
      <c r="H1280" s="332">
        <v>2000</v>
      </c>
      <c r="I1280" s="21">
        <v>50</v>
      </c>
      <c r="J1280" s="21"/>
      <c r="K1280" s="21">
        <v>8</v>
      </c>
      <c r="L1280" s="21">
        <v>2</v>
      </c>
      <c r="M1280" s="21">
        <v>17</v>
      </c>
      <c r="N1280" s="21"/>
      <c r="O1280" s="21"/>
      <c r="P1280" s="21">
        <v>10</v>
      </c>
      <c r="Q1280" s="21"/>
      <c r="R1280" s="22">
        <v>8</v>
      </c>
      <c r="S1280" s="21"/>
      <c r="T1280" s="21"/>
      <c r="U1280" s="21"/>
      <c r="V1280" s="21">
        <v>2</v>
      </c>
      <c r="W1280" s="21"/>
      <c r="X1280" s="21">
        <v>2</v>
      </c>
      <c r="Y1280" s="21"/>
      <c r="Z1280" s="21">
        <v>1</v>
      </c>
      <c r="AA1280" s="21">
        <v>0</v>
      </c>
      <c r="AB1280" s="23">
        <f>100/(SUM(I1280:Z1280))</f>
        <v>1</v>
      </c>
      <c r="AC1280" s="259">
        <f>SUM(I1280:AA1280)</f>
        <v>100</v>
      </c>
      <c r="AD1280" s="21"/>
      <c r="AE1280" s="21"/>
      <c r="AF1280" s="21"/>
      <c r="AG1280" s="25" t="s">
        <v>127</v>
      </c>
      <c r="AH1280" s="83" t="s">
        <v>1121</v>
      </c>
      <c r="AI1280" s="83" t="s">
        <v>1122</v>
      </c>
      <c r="AJ1280" s="83"/>
      <c r="AK1280" s="19" t="s">
        <v>1018</v>
      </c>
      <c r="AL1280" s="25">
        <f>(B1280-DATE(1970,1,1))*86400</f>
        <v>1601424000</v>
      </c>
      <c r="AM1280" s="25">
        <f>(C1280-DATE(1970,1,1))*86400</f>
        <v>1601769600</v>
      </c>
      <c r="AN1280" s="25">
        <f>AVERAGE(AL1280:AM1280)</f>
        <v>1601596800</v>
      </c>
    </row>
    <row r="1281" spans="1:40" ht="15.75" customHeight="1" x14ac:dyDescent="0.2">
      <c r="A1281" s="281" t="s">
        <v>133</v>
      </c>
      <c r="B1281" s="54">
        <v>44096</v>
      </c>
      <c r="C1281" s="54">
        <v>44099</v>
      </c>
      <c r="D1281" s="53" t="s">
        <v>154</v>
      </c>
      <c r="E1281" s="323" t="s">
        <v>125</v>
      </c>
      <c r="F1281" s="53"/>
      <c r="G1281" s="53" t="s">
        <v>126</v>
      </c>
      <c r="H1281" s="357">
        <v>1005</v>
      </c>
      <c r="I1281" s="55">
        <v>30</v>
      </c>
      <c r="J1281" s="55"/>
      <c r="K1281" s="55">
        <v>6</v>
      </c>
      <c r="L1281" s="55">
        <v>1</v>
      </c>
      <c r="M1281" s="55">
        <v>8</v>
      </c>
      <c r="N1281" s="55"/>
      <c r="O1281" s="55"/>
      <c r="P1281" s="55">
        <v>7</v>
      </c>
      <c r="Q1281" s="55"/>
      <c r="R1281" s="56">
        <v>7</v>
      </c>
      <c r="S1281" s="55"/>
      <c r="T1281" s="55"/>
      <c r="U1281" s="55">
        <v>2</v>
      </c>
      <c r="V1281" s="55">
        <v>1</v>
      </c>
      <c r="W1281" s="55"/>
      <c r="X1281" s="55">
        <v>1</v>
      </c>
      <c r="Y1281" s="55"/>
      <c r="Z1281" s="55">
        <v>0</v>
      </c>
      <c r="AA1281" s="55">
        <v>37</v>
      </c>
      <c r="AB1281" s="57">
        <f>100/(SUM(I1281:Z1281))</f>
        <v>1.5873015873015872</v>
      </c>
      <c r="AC1281" s="259">
        <f>SUM(I1281:AA1281)</f>
        <v>100</v>
      </c>
      <c r="AD1281" s="55"/>
      <c r="AE1281" s="55"/>
      <c r="AF1281" s="55"/>
      <c r="AG1281" s="58" t="s">
        <v>155</v>
      </c>
      <c r="AH1281" s="59" t="s">
        <v>1123</v>
      </c>
      <c r="AI1281" s="59" t="s">
        <v>1124</v>
      </c>
      <c r="AJ1281" s="59" t="s">
        <v>1125</v>
      </c>
      <c r="AK1281" s="53" t="s">
        <v>1126</v>
      </c>
      <c r="AL1281" s="58">
        <f>(B1281-DATE(1970,1,1))*86400</f>
        <v>1600732800</v>
      </c>
      <c r="AM1281" s="58">
        <f>(C1281-DATE(1970,1,1))*86400</f>
        <v>1600992000</v>
      </c>
      <c r="AN1281" s="58">
        <f>AVERAGE(AL1281:AM1281)</f>
        <v>1600862400</v>
      </c>
    </row>
    <row r="1282" spans="1:40" ht="15.75" customHeight="1" x14ac:dyDescent="0.2">
      <c r="A1282" s="281" t="s">
        <v>123</v>
      </c>
      <c r="B1282" s="54">
        <v>44096</v>
      </c>
      <c r="C1282" s="54">
        <v>44099</v>
      </c>
      <c r="D1282" s="53" t="s">
        <v>154</v>
      </c>
      <c r="E1282" s="323" t="s">
        <v>125</v>
      </c>
      <c r="F1282" s="53"/>
      <c r="G1282" s="53" t="s">
        <v>126</v>
      </c>
      <c r="H1282" s="357">
        <v>1005</v>
      </c>
      <c r="I1282" s="55">
        <v>37</v>
      </c>
      <c r="J1282" s="55"/>
      <c r="K1282" s="55">
        <v>7</v>
      </c>
      <c r="L1282" s="55">
        <v>1</v>
      </c>
      <c r="M1282" s="55">
        <v>10</v>
      </c>
      <c r="N1282" s="55"/>
      <c r="O1282" s="55"/>
      <c r="P1282" s="55">
        <v>9</v>
      </c>
      <c r="Q1282" s="55"/>
      <c r="R1282" s="56">
        <v>9</v>
      </c>
      <c r="S1282" s="55"/>
      <c r="T1282" s="55"/>
      <c r="U1282" s="55">
        <v>3</v>
      </c>
      <c r="V1282" s="55">
        <v>1</v>
      </c>
      <c r="W1282" s="55"/>
      <c r="X1282" s="55">
        <v>0</v>
      </c>
      <c r="Y1282" s="55"/>
      <c r="Z1282" s="55">
        <v>0</v>
      </c>
      <c r="AA1282" s="55">
        <v>23</v>
      </c>
      <c r="AB1282" s="57">
        <f>100/(SUM(I1282:Z1282))</f>
        <v>1.2987012987012987</v>
      </c>
      <c r="AC1282" s="259">
        <f>SUM(I1282:AA1282)</f>
        <v>100</v>
      </c>
      <c r="AD1282" s="55"/>
      <c r="AE1282" s="55"/>
      <c r="AF1282" s="55"/>
      <c r="AG1282" s="58" t="s">
        <v>155</v>
      </c>
      <c r="AH1282" s="59" t="s">
        <v>1123</v>
      </c>
      <c r="AI1282" s="59" t="s">
        <v>1124</v>
      </c>
      <c r="AJ1282" s="59" t="s">
        <v>1125</v>
      </c>
      <c r="AK1282" s="53" t="s">
        <v>1126</v>
      </c>
      <c r="AL1282" s="58">
        <f>(B1282-DATE(1970,1,1))*86400</f>
        <v>1600732800</v>
      </c>
      <c r="AM1282" s="58">
        <f>(C1282-DATE(1970,1,1))*86400</f>
        <v>1600992000</v>
      </c>
      <c r="AN1282" s="58">
        <f>AVERAGE(AL1282:AM1282)</f>
        <v>1600862400</v>
      </c>
    </row>
    <row r="1283" spans="1:40" ht="15.75" customHeight="1" x14ac:dyDescent="0.2">
      <c r="A1283" s="281" t="s">
        <v>123</v>
      </c>
      <c r="B1283" s="54">
        <v>44096</v>
      </c>
      <c r="C1283" s="54">
        <v>44099</v>
      </c>
      <c r="D1283" s="53" t="s">
        <v>154</v>
      </c>
      <c r="E1283" s="323" t="s">
        <v>125</v>
      </c>
      <c r="F1283" s="53"/>
      <c r="G1283" s="53" t="s">
        <v>126</v>
      </c>
      <c r="H1283" s="357">
        <v>1005</v>
      </c>
      <c r="I1283" s="55">
        <v>49</v>
      </c>
      <c r="J1283" s="55"/>
      <c r="K1283" s="55">
        <v>9</v>
      </c>
      <c r="L1283" s="55">
        <v>1</v>
      </c>
      <c r="M1283" s="55">
        <v>13</v>
      </c>
      <c r="N1283" s="55"/>
      <c r="O1283" s="55"/>
      <c r="P1283" s="55">
        <v>11</v>
      </c>
      <c r="Q1283" s="55"/>
      <c r="R1283" s="56">
        <v>10</v>
      </c>
      <c r="S1283" s="55"/>
      <c r="T1283" s="55"/>
      <c r="U1283" s="55">
        <v>4</v>
      </c>
      <c r="V1283" s="55">
        <v>2</v>
      </c>
      <c r="W1283" s="55"/>
      <c r="X1283" s="55">
        <v>1</v>
      </c>
      <c r="Y1283" s="55"/>
      <c r="Z1283" s="55">
        <v>0</v>
      </c>
      <c r="AA1283" s="55">
        <v>0</v>
      </c>
      <c r="AB1283" s="57">
        <f>100/(SUM(I1283:Z1283))</f>
        <v>1</v>
      </c>
      <c r="AC1283" s="259">
        <f>SUM(I1283:AA1283)</f>
        <v>100</v>
      </c>
      <c r="AD1283" s="55"/>
      <c r="AE1283" s="55"/>
      <c r="AF1283" s="55"/>
      <c r="AG1283" s="58" t="s">
        <v>155</v>
      </c>
      <c r="AH1283" s="59" t="s">
        <v>1123</v>
      </c>
      <c r="AI1283" s="59" t="s">
        <v>1124</v>
      </c>
      <c r="AJ1283" s="59" t="s">
        <v>1125</v>
      </c>
      <c r="AK1283" s="53" t="s">
        <v>1126</v>
      </c>
      <c r="AL1283" s="58">
        <f>(B1283-DATE(1970,1,1))*86400</f>
        <v>1600732800</v>
      </c>
      <c r="AM1283" s="58">
        <f>(C1283-DATE(1970,1,1))*86400</f>
        <v>1600992000</v>
      </c>
      <c r="AN1283" s="58">
        <f>AVERAGE(AL1283:AM1283)</f>
        <v>1600862400</v>
      </c>
    </row>
    <row r="1284" spans="1:40" ht="15.75" customHeight="1" x14ac:dyDescent="0.2">
      <c r="A1284" s="286" t="s">
        <v>133</v>
      </c>
      <c r="B1284" s="41">
        <v>44081</v>
      </c>
      <c r="C1284" s="41">
        <v>44092</v>
      </c>
      <c r="D1284" s="40" t="s">
        <v>148</v>
      </c>
      <c r="E1284" s="325" t="s">
        <v>125</v>
      </c>
      <c r="F1284" s="40"/>
      <c r="G1284" s="40" t="s">
        <v>149</v>
      </c>
      <c r="H1284" s="325">
        <v>1000</v>
      </c>
      <c r="I1284" s="42">
        <v>34</v>
      </c>
      <c r="J1284" s="42"/>
      <c r="K1284" s="42">
        <v>6</v>
      </c>
      <c r="L1284" s="42">
        <v>2</v>
      </c>
      <c r="M1284" s="42">
        <v>10</v>
      </c>
      <c r="N1284" s="42"/>
      <c r="O1284" s="42"/>
      <c r="P1284" s="42">
        <v>7</v>
      </c>
      <c r="Q1284" s="42"/>
      <c r="R1284" s="43">
        <v>7</v>
      </c>
      <c r="S1284" s="42"/>
      <c r="T1284" s="42"/>
      <c r="U1284" s="42"/>
      <c r="V1284" s="42">
        <v>1</v>
      </c>
      <c r="W1284" s="42"/>
      <c r="X1284" s="42">
        <v>2</v>
      </c>
      <c r="Y1284" s="42"/>
      <c r="Z1284" s="42">
        <v>1</v>
      </c>
      <c r="AA1284" s="42">
        <v>30</v>
      </c>
      <c r="AB1284" s="44">
        <f>100/(SUM(I1284:Z1284))</f>
        <v>1.4285714285714286</v>
      </c>
      <c r="AC1284" s="259">
        <f>SUM(I1284:AA1284)</f>
        <v>100</v>
      </c>
      <c r="AD1284" s="42"/>
      <c r="AE1284" s="42"/>
      <c r="AF1284" s="42"/>
      <c r="AG1284" s="45" t="s">
        <v>127</v>
      </c>
      <c r="AH1284" s="46" t="s">
        <v>1127</v>
      </c>
      <c r="AI1284" s="132" t="s">
        <v>1128</v>
      </c>
      <c r="AJ1284" s="132" t="s">
        <v>1129</v>
      </c>
      <c r="AK1284" s="40" t="s">
        <v>1130</v>
      </c>
      <c r="AL1284" s="45">
        <f>(B1284-DATE(1970,1,1))*86400</f>
        <v>1599436800</v>
      </c>
      <c r="AM1284" s="45">
        <f>(C1284-DATE(1970,1,1))*86400</f>
        <v>1600387200</v>
      </c>
      <c r="AN1284" s="45">
        <f>AVERAGE(AL1284:AM1284)</f>
        <v>1599912000</v>
      </c>
    </row>
    <row r="1285" spans="1:40" ht="15.75" customHeight="1" x14ac:dyDescent="0.2">
      <c r="A1285" s="286" t="s">
        <v>123</v>
      </c>
      <c r="B1285" s="41">
        <v>44081</v>
      </c>
      <c r="C1285" s="41">
        <v>44092</v>
      </c>
      <c r="D1285" s="40" t="s">
        <v>148</v>
      </c>
      <c r="E1285" s="325" t="s">
        <v>125</v>
      </c>
      <c r="F1285" s="40"/>
      <c r="G1285" s="40" t="s">
        <v>149</v>
      </c>
      <c r="H1285" s="325">
        <v>1000</v>
      </c>
      <c r="I1285" s="42">
        <v>50</v>
      </c>
      <c r="J1285" s="42"/>
      <c r="K1285" s="42">
        <v>9</v>
      </c>
      <c r="L1285" s="42">
        <v>2</v>
      </c>
      <c r="M1285" s="42">
        <v>18</v>
      </c>
      <c r="N1285" s="42"/>
      <c r="O1285" s="42"/>
      <c r="P1285" s="42">
        <v>10</v>
      </c>
      <c r="Q1285" s="42"/>
      <c r="R1285" s="43">
        <v>8</v>
      </c>
      <c r="S1285" s="42"/>
      <c r="T1285" s="42"/>
      <c r="U1285" s="42"/>
      <c r="V1285" s="42">
        <v>1</v>
      </c>
      <c r="W1285" s="42"/>
      <c r="X1285" s="42">
        <v>2</v>
      </c>
      <c r="Y1285" s="42"/>
      <c r="Z1285" s="42">
        <v>0</v>
      </c>
      <c r="AA1285" s="42">
        <v>0</v>
      </c>
      <c r="AB1285" s="44">
        <f>100/(SUM(I1285:Z1285))</f>
        <v>1</v>
      </c>
      <c r="AC1285" s="259">
        <f>SUM(I1285:AA1285)</f>
        <v>100</v>
      </c>
      <c r="AD1285" s="42"/>
      <c r="AE1285" s="42"/>
      <c r="AF1285" s="42"/>
      <c r="AG1285" s="45" t="s">
        <v>127</v>
      </c>
      <c r="AH1285" s="46" t="s">
        <v>1127</v>
      </c>
      <c r="AI1285" s="132" t="s">
        <v>1128</v>
      </c>
      <c r="AJ1285" s="132" t="s">
        <v>1129</v>
      </c>
      <c r="AK1285" s="40" t="s">
        <v>899</v>
      </c>
      <c r="AL1285" s="45">
        <f>(B1285-DATE(1970,1,1))*86400</f>
        <v>1599436800</v>
      </c>
      <c r="AM1285" s="45">
        <f>(C1285-DATE(1970,1,1))*86400</f>
        <v>1600387200</v>
      </c>
      <c r="AN1285" s="45">
        <f>AVERAGE(AL1285:AM1285)</f>
        <v>1599912000</v>
      </c>
    </row>
    <row r="1286" spans="1:40" ht="15.75" customHeight="1" x14ac:dyDescent="0.2">
      <c r="A1286" s="285" t="s">
        <v>133</v>
      </c>
      <c r="B1286" s="34">
        <v>44069</v>
      </c>
      <c r="C1286" s="34">
        <v>44077</v>
      </c>
      <c r="D1286" s="33" t="s">
        <v>143</v>
      </c>
      <c r="E1286" s="319" t="s">
        <v>125</v>
      </c>
      <c r="F1286" s="33"/>
      <c r="G1286" s="33" t="s">
        <v>126</v>
      </c>
      <c r="H1286" s="353">
        <v>1000</v>
      </c>
      <c r="I1286" s="35">
        <v>42</v>
      </c>
      <c r="J1286" s="35"/>
      <c r="K1286" s="35">
        <v>7</v>
      </c>
      <c r="L1286" s="35">
        <v>1</v>
      </c>
      <c r="M1286" s="35">
        <v>6</v>
      </c>
      <c r="N1286" s="35"/>
      <c r="O1286" s="35"/>
      <c r="P1286" s="35">
        <v>8</v>
      </c>
      <c r="Q1286" s="35"/>
      <c r="R1286" s="36">
        <v>1</v>
      </c>
      <c r="S1286" s="35"/>
      <c r="T1286" s="35"/>
      <c r="U1286" s="35"/>
      <c r="V1286" s="35">
        <v>3</v>
      </c>
      <c r="W1286" s="35"/>
      <c r="X1286" s="35">
        <v>1</v>
      </c>
      <c r="Y1286" s="35"/>
      <c r="Z1286" s="35">
        <v>1</v>
      </c>
      <c r="AA1286" s="35">
        <v>30</v>
      </c>
      <c r="AB1286" s="37">
        <f>100/(SUM(I1286:Z1286))</f>
        <v>1.4285714285714286</v>
      </c>
      <c r="AC1286" s="259">
        <f>SUM(I1286:AA1286)</f>
        <v>100</v>
      </c>
      <c r="AD1286" s="35"/>
      <c r="AE1286" s="35"/>
      <c r="AF1286" s="35"/>
      <c r="AG1286" s="39" t="s">
        <v>1131</v>
      </c>
      <c r="AH1286" s="33" t="s">
        <v>1118</v>
      </c>
      <c r="AI1286" s="33"/>
      <c r="AJ1286" s="33"/>
      <c r="AK1286" s="33" t="s">
        <v>1132</v>
      </c>
      <c r="AL1286" s="39">
        <f>(B1286-DATE(1970,1,1))*86400</f>
        <v>1598400000</v>
      </c>
      <c r="AM1286" s="39">
        <f>(C1286-DATE(1970,1,1))*86400</f>
        <v>1599091200</v>
      </c>
      <c r="AN1286" s="39">
        <f>AVERAGE(AL1286:AM1286)</f>
        <v>1598745600</v>
      </c>
    </row>
    <row r="1287" spans="1:40" ht="15.75" customHeight="1" x14ac:dyDescent="0.2">
      <c r="A1287" s="285" t="s">
        <v>133</v>
      </c>
      <c r="B1287" s="34">
        <v>44069</v>
      </c>
      <c r="C1287" s="34">
        <v>44077</v>
      </c>
      <c r="D1287" s="33" t="s">
        <v>143</v>
      </c>
      <c r="E1287" s="319" t="s">
        <v>125</v>
      </c>
      <c r="F1287" s="33"/>
      <c r="G1287" s="33" t="s">
        <v>126</v>
      </c>
      <c r="H1287" s="353">
        <v>1000</v>
      </c>
      <c r="I1287" s="35">
        <v>58</v>
      </c>
      <c r="J1287" s="35"/>
      <c r="K1287" s="35">
        <v>10</v>
      </c>
      <c r="L1287" s="35">
        <v>2</v>
      </c>
      <c r="M1287" s="35">
        <v>8</v>
      </c>
      <c r="N1287" s="35"/>
      <c r="O1287" s="35"/>
      <c r="P1287" s="35">
        <v>12</v>
      </c>
      <c r="Q1287" s="35"/>
      <c r="R1287" s="36">
        <v>2</v>
      </c>
      <c r="S1287" s="35"/>
      <c r="T1287" s="35"/>
      <c r="U1287" s="35"/>
      <c r="V1287" s="35">
        <v>5</v>
      </c>
      <c r="W1287" s="35"/>
      <c r="X1287" s="35">
        <v>2</v>
      </c>
      <c r="Y1287" s="35"/>
      <c r="Z1287" s="35">
        <v>1</v>
      </c>
      <c r="AA1287" s="35">
        <v>0</v>
      </c>
      <c r="AB1287" s="37">
        <f>100/(SUM(I1287:Z1287))</f>
        <v>1</v>
      </c>
      <c r="AC1287" s="259">
        <f>SUM(I1287:AA1287)</f>
        <v>100</v>
      </c>
      <c r="AD1287" s="35"/>
      <c r="AE1287" s="35"/>
      <c r="AF1287" s="35"/>
      <c r="AG1287" s="39" t="s">
        <v>1131</v>
      </c>
      <c r="AH1287" s="33" t="s">
        <v>1118</v>
      </c>
      <c r="AI1287" s="33"/>
      <c r="AJ1287" s="33"/>
      <c r="AK1287" s="33" t="s">
        <v>1126</v>
      </c>
      <c r="AL1287" s="39">
        <f>(B1287-DATE(1970,1,1))*86400</f>
        <v>1598400000</v>
      </c>
      <c r="AM1287" s="39">
        <f>(C1287-DATE(1970,1,1))*86400</f>
        <v>1599091200</v>
      </c>
      <c r="AN1287" s="39">
        <f>AVERAGE(AL1287:AM1287)</f>
        <v>1598745600</v>
      </c>
    </row>
    <row r="1288" spans="1:40" ht="15.75" customHeight="1" x14ac:dyDescent="0.2">
      <c r="A1288" s="284" t="s">
        <v>133</v>
      </c>
      <c r="B1288" s="20">
        <v>44070</v>
      </c>
      <c r="C1288" s="20">
        <v>44074</v>
      </c>
      <c r="D1288" s="19" t="s">
        <v>134</v>
      </c>
      <c r="E1288" s="332" t="s">
        <v>125</v>
      </c>
      <c r="F1288" s="19"/>
      <c r="G1288" s="19" t="s">
        <v>135</v>
      </c>
      <c r="H1288" s="332">
        <v>2000</v>
      </c>
      <c r="I1288" s="21">
        <v>35</v>
      </c>
      <c r="J1288" s="21"/>
      <c r="K1288" s="21">
        <v>6</v>
      </c>
      <c r="L1288" s="21">
        <v>2</v>
      </c>
      <c r="M1288" s="21">
        <v>11</v>
      </c>
      <c r="N1288" s="21"/>
      <c r="O1288" s="21"/>
      <c r="P1288" s="21">
        <v>7</v>
      </c>
      <c r="Q1288" s="21"/>
      <c r="R1288" s="22">
        <v>6</v>
      </c>
      <c r="S1288" s="21"/>
      <c r="T1288" s="21"/>
      <c r="U1288" s="21"/>
      <c r="V1288" s="21">
        <v>2</v>
      </c>
      <c r="W1288" s="21"/>
      <c r="X1288" s="21">
        <v>2</v>
      </c>
      <c r="Y1288" s="21"/>
      <c r="Z1288" s="21">
        <v>1</v>
      </c>
      <c r="AA1288" s="21">
        <v>31</v>
      </c>
      <c r="AB1288" s="23">
        <f>100/(SUM(I1288:Z1288))</f>
        <v>1.3888888888888888</v>
      </c>
      <c r="AC1288" s="259">
        <f>SUM(I1288:AA1288)</f>
        <v>103</v>
      </c>
      <c r="AD1288" s="21"/>
      <c r="AE1288" s="21"/>
      <c r="AF1288" s="21"/>
      <c r="AG1288" s="25" t="s">
        <v>127</v>
      </c>
      <c r="AH1288" s="83" t="s">
        <v>1133</v>
      </c>
      <c r="AI1288" s="83"/>
      <c r="AJ1288" s="83"/>
      <c r="AK1288" s="19" t="s">
        <v>1134</v>
      </c>
      <c r="AL1288" s="25">
        <f>(B1288-DATE(1970,1,1))*86400</f>
        <v>1598486400</v>
      </c>
      <c r="AM1288" s="25">
        <f>(C1288-DATE(1970,1,1))*86400</f>
        <v>1598832000</v>
      </c>
      <c r="AN1288" s="25">
        <f>AVERAGE(AL1288:AM1288)</f>
        <v>1598659200</v>
      </c>
    </row>
    <row r="1289" spans="1:40" ht="15.75" customHeight="1" x14ac:dyDescent="0.2">
      <c r="A1289" s="284" t="s">
        <v>123</v>
      </c>
      <c r="B1289" s="20">
        <v>44070</v>
      </c>
      <c r="C1289" s="20">
        <v>44074</v>
      </c>
      <c r="D1289" s="19" t="s">
        <v>134</v>
      </c>
      <c r="E1289" s="332" t="s">
        <v>125</v>
      </c>
      <c r="F1289" s="19"/>
      <c r="G1289" s="19" t="s">
        <v>135</v>
      </c>
      <c r="H1289" s="332">
        <v>2000</v>
      </c>
      <c r="I1289" s="21">
        <v>52</v>
      </c>
      <c r="J1289" s="21"/>
      <c r="K1289" s="21">
        <v>7</v>
      </c>
      <c r="L1289" s="21">
        <v>2</v>
      </c>
      <c r="M1289" s="21">
        <v>16</v>
      </c>
      <c r="N1289" s="21"/>
      <c r="O1289" s="21"/>
      <c r="P1289" s="21">
        <v>10</v>
      </c>
      <c r="Q1289" s="21"/>
      <c r="R1289" s="22">
        <v>8</v>
      </c>
      <c r="S1289" s="21"/>
      <c r="T1289" s="21"/>
      <c r="U1289" s="21"/>
      <c r="V1289" s="21">
        <v>2</v>
      </c>
      <c r="W1289" s="21"/>
      <c r="X1289" s="21">
        <v>2</v>
      </c>
      <c r="Y1289" s="21"/>
      <c r="Z1289" s="21">
        <v>1</v>
      </c>
      <c r="AA1289" s="21">
        <v>0</v>
      </c>
      <c r="AB1289" s="23">
        <f>100/(SUM(I1289:Z1289))</f>
        <v>1</v>
      </c>
      <c r="AC1289" s="259">
        <f>SUM(I1289:AA1289)</f>
        <v>100</v>
      </c>
      <c r="AD1289" s="21"/>
      <c r="AE1289" s="21"/>
      <c r="AF1289" s="21"/>
      <c r="AG1289" s="25" t="s">
        <v>127</v>
      </c>
      <c r="AH1289" s="83" t="s">
        <v>1133</v>
      </c>
      <c r="AI1289" s="83"/>
      <c r="AJ1289" s="83"/>
      <c r="AK1289" s="19" t="s">
        <v>1018</v>
      </c>
      <c r="AL1289" s="25">
        <f>(B1289-DATE(1970,1,1))*86400</f>
        <v>1598486400</v>
      </c>
      <c r="AM1289" s="25">
        <f>(C1289-DATE(1970,1,1))*86400</f>
        <v>1598832000</v>
      </c>
      <c r="AN1289" s="25">
        <f>AVERAGE(AL1289:AM1289)</f>
        <v>1598659200</v>
      </c>
    </row>
    <row r="1290" spans="1:40" ht="15.75" customHeight="1" x14ac:dyDescent="0.2">
      <c r="A1290" s="281" t="s">
        <v>133</v>
      </c>
      <c r="B1290" s="54">
        <v>44070</v>
      </c>
      <c r="C1290" s="54">
        <v>44074</v>
      </c>
      <c r="D1290" s="53" t="s">
        <v>154</v>
      </c>
      <c r="E1290" s="323" t="s">
        <v>125</v>
      </c>
      <c r="F1290" s="53"/>
      <c r="G1290" s="53" t="s">
        <v>126</v>
      </c>
      <c r="H1290" s="357">
        <v>1009</v>
      </c>
      <c r="I1290" s="55">
        <v>30</v>
      </c>
      <c r="J1290" s="55"/>
      <c r="K1290" s="55">
        <v>6</v>
      </c>
      <c r="L1290" s="55">
        <v>1</v>
      </c>
      <c r="M1290" s="55">
        <v>9</v>
      </c>
      <c r="N1290" s="55"/>
      <c r="O1290" s="55"/>
      <c r="P1290" s="55">
        <v>7</v>
      </c>
      <c r="Q1290" s="55"/>
      <c r="R1290" s="56">
        <v>8</v>
      </c>
      <c r="S1290" s="55"/>
      <c r="T1290" s="55"/>
      <c r="U1290" s="56">
        <v>1</v>
      </c>
      <c r="V1290" s="55">
        <v>1</v>
      </c>
      <c r="W1290" s="55"/>
      <c r="X1290" s="55">
        <v>1</v>
      </c>
      <c r="Y1290" s="55"/>
      <c r="Z1290" s="56">
        <v>0</v>
      </c>
      <c r="AA1290" s="55">
        <v>36</v>
      </c>
      <c r="AB1290" s="57">
        <f>100/(SUM(I1290:Z1290))</f>
        <v>1.5625</v>
      </c>
      <c r="AC1290" s="259">
        <f>SUM(I1290:AA1290)</f>
        <v>100</v>
      </c>
      <c r="AD1290" s="55"/>
      <c r="AE1290" s="55"/>
      <c r="AF1290" s="55"/>
      <c r="AG1290" s="58" t="s">
        <v>155</v>
      </c>
      <c r="AH1290" s="59" t="s">
        <v>1135</v>
      </c>
      <c r="AI1290" s="53" t="s">
        <v>1136</v>
      </c>
      <c r="AJ1290" s="59" t="s">
        <v>1137</v>
      </c>
      <c r="AK1290" s="53" t="s">
        <v>1138</v>
      </c>
      <c r="AL1290" s="58">
        <f>(B1290-DATE(1970,1,1))*86400</f>
        <v>1598486400</v>
      </c>
      <c r="AM1290" s="58">
        <f>(C1290-DATE(1970,1,1))*86400</f>
        <v>1598832000</v>
      </c>
      <c r="AN1290" s="58">
        <f>AVERAGE(AL1290:AM1290)</f>
        <v>1598659200</v>
      </c>
    </row>
    <row r="1291" spans="1:40" ht="15.75" customHeight="1" x14ac:dyDescent="0.2">
      <c r="A1291" s="281" t="s">
        <v>123</v>
      </c>
      <c r="B1291" s="54">
        <v>44070</v>
      </c>
      <c r="C1291" s="54">
        <v>44074</v>
      </c>
      <c r="D1291" s="53" t="s">
        <v>154</v>
      </c>
      <c r="E1291" s="323" t="s">
        <v>125</v>
      </c>
      <c r="F1291" s="53"/>
      <c r="G1291" s="53" t="s">
        <v>126</v>
      </c>
      <c r="H1291" s="357">
        <v>1009</v>
      </c>
      <c r="I1291" s="55">
        <v>39</v>
      </c>
      <c r="J1291" s="55"/>
      <c r="K1291" s="55">
        <v>7</v>
      </c>
      <c r="L1291" s="55">
        <v>1</v>
      </c>
      <c r="M1291" s="55">
        <v>11</v>
      </c>
      <c r="N1291" s="55"/>
      <c r="O1291" s="55"/>
      <c r="P1291" s="55">
        <v>8</v>
      </c>
      <c r="Q1291" s="55"/>
      <c r="R1291" s="56">
        <v>9</v>
      </c>
      <c r="S1291" s="55"/>
      <c r="T1291" s="55"/>
      <c r="U1291" s="56">
        <v>1</v>
      </c>
      <c r="V1291" s="55">
        <v>1</v>
      </c>
      <c r="W1291" s="55"/>
      <c r="X1291" s="55">
        <v>1</v>
      </c>
      <c r="Y1291" s="55"/>
      <c r="Z1291" s="56">
        <v>0</v>
      </c>
      <c r="AA1291" s="55">
        <v>22</v>
      </c>
      <c r="AB1291" s="57">
        <f>100/(SUM(I1291:Z1291))</f>
        <v>1.2820512820512822</v>
      </c>
      <c r="AC1291" s="259">
        <f>SUM(I1291:AA1291)</f>
        <v>100</v>
      </c>
      <c r="AD1291" s="55"/>
      <c r="AE1291" s="55"/>
      <c r="AF1291" s="55"/>
      <c r="AG1291" s="58" t="s">
        <v>155</v>
      </c>
      <c r="AH1291" s="59" t="s">
        <v>1135</v>
      </c>
      <c r="AI1291" s="53" t="s">
        <v>1136</v>
      </c>
      <c r="AJ1291" s="59" t="s">
        <v>1137</v>
      </c>
      <c r="AK1291" s="53" t="s">
        <v>1138</v>
      </c>
      <c r="AL1291" s="58">
        <f>(B1291-DATE(1970,1,1))*86400</f>
        <v>1598486400</v>
      </c>
      <c r="AM1291" s="58">
        <f>(C1291-DATE(1970,1,1))*86400</f>
        <v>1598832000</v>
      </c>
      <c r="AN1291" s="58">
        <f>AVERAGE(AL1291:AM1291)</f>
        <v>1598659200</v>
      </c>
    </row>
    <row r="1292" spans="1:40" ht="15.75" customHeight="1" x14ac:dyDescent="0.2">
      <c r="A1292" s="281" t="s">
        <v>123</v>
      </c>
      <c r="B1292" s="54">
        <v>44070</v>
      </c>
      <c r="C1292" s="54">
        <v>44074</v>
      </c>
      <c r="D1292" s="53" t="s">
        <v>154</v>
      </c>
      <c r="E1292" s="323" t="s">
        <v>125</v>
      </c>
      <c r="F1292" s="53"/>
      <c r="G1292" s="53" t="s">
        <v>126</v>
      </c>
      <c r="H1292" s="357">
        <v>1009</v>
      </c>
      <c r="I1292" s="55">
        <v>48</v>
      </c>
      <c r="J1292" s="55"/>
      <c r="K1292" s="55">
        <v>8</v>
      </c>
      <c r="L1292" s="55">
        <v>2</v>
      </c>
      <c r="M1292" s="55">
        <v>14</v>
      </c>
      <c r="N1292" s="55"/>
      <c r="O1292" s="55"/>
      <c r="P1292" s="55">
        <v>10</v>
      </c>
      <c r="Q1292" s="55"/>
      <c r="R1292" s="56">
        <v>12</v>
      </c>
      <c r="S1292" s="55"/>
      <c r="T1292" s="55"/>
      <c r="U1292" s="56">
        <v>2</v>
      </c>
      <c r="V1292" s="55">
        <v>2</v>
      </c>
      <c r="W1292" s="55"/>
      <c r="X1292" s="55">
        <v>2</v>
      </c>
      <c r="Y1292" s="55"/>
      <c r="Z1292" s="56">
        <v>1</v>
      </c>
      <c r="AA1292" s="55">
        <v>0</v>
      </c>
      <c r="AB1292" s="57">
        <f>100/(SUM(I1292:Z1292))</f>
        <v>0.99009900990099009</v>
      </c>
      <c r="AC1292" s="259">
        <f>SUM(I1292:AA1292)</f>
        <v>101</v>
      </c>
      <c r="AD1292" s="55"/>
      <c r="AE1292" s="55"/>
      <c r="AF1292" s="55"/>
      <c r="AG1292" s="58" t="s">
        <v>155</v>
      </c>
      <c r="AH1292" s="59" t="s">
        <v>1135</v>
      </c>
      <c r="AI1292" s="53" t="s">
        <v>1136</v>
      </c>
      <c r="AJ1292" s="59" t="s">
        <v>1137</v>
      </c>
      <c r="AK1292" s="53" t="s">
        <v>1139</v>
      </c>
      <c r="AL1292" s="58">
        <f>(B1292-DATE(1970,1,1))*86400</f>
        <v>1598486400</v>
      </c>
      <c r="AM1292" s="58">
        <f>(C1292-DATE(1970,1,1))*86400</f>
        <v>1598832000</v>
      </c>
      <c r="AN1292" s="58">
        <f>AVERAGE(AL1292:AM1292)</f>
        <v>1598659200</v>
      </c>
    </row>
    <row r="1293" spans="1:40" ht="15.75" customHeight="1" x14ac:dyDescent="0.2">
      <c r="A1293" s="288" t="s">
        <v>133</v>
      </c>
      <c r="B1293" s="60">
        <v>44057</v>
      </c>
      <c r="C1293" s="60">
        <v>44067</v>
      </c>
      <c r="D1293" s="61" t="s">
        <v>168</v>
      </c>
      <c r="E1293" s="334" t="s">
        <v>125</v>
      </c>
      <c r="F1293" s="61"/>
      <c r="G1293" s="61" t="s">
        <v>126</v>
      </c>
      <c r="H1293" s="334">
        <v>1000</v>
      </c>
      <c r="I1293" s="63">
        <v>35</v>
      </c>
      <c r="J1293" s="63"/>
      <c r="K1293" s="63">
        <v>5</v>
      </c>
      <c r="L1293" s="63">
        <v>2</v>
      </c>
      <c r="M1293" s="63">
        <v>9</v>
      </c>
      <c r="N1293" s="63"/>
      <c r="O1293" s="63"/>
      <c r="P1293" s="63">
        <v>6</v>
      </c>
      <c r="Q1293" s="63"/>
      <c r="R1293" s="64">
        <v>5</v>
      </c>
      <c r="S1293" s="63"/>
      <c r="T1293" s="63"/>
      <c r="U1293" s="63"/>
      <c r="V1293" s="63">
        <v>3</v>
      </c>
      <c r="W1293" s="63"/>
      <c r="X1293" s="63">
        <v>1</v>
      </c>
      <c r="Y1293" s="63"/>
      <c r="Z1293" s="63">
        <v>0</v>
      </c>
      <c r="AA1293" s="63">
        <v>34</v>
      </c>
      <c r="AB1293" s="65">
        <f>100/(SUM(I1293:Z1293))</f>
        <v>1.5151515151515151</v>
      </c>
      <c r="AC1293" s="259">
        <f>SUM(I1293:AA1293)</f>
        <v>100</v>
      </c>
      <c r="AD1293" s="63"/>
      <c r="AE1293" s="63"/>
      <c r="AF1293" s="63"/>
      <c r="AG1293" s="66" t="s">
        <v>127</v>
      </c>
      <c r="AH1293" s="67" t="s">
        <v>1140</v>
      </c>
      <c r="AI1293" s="67" t="s">
        <v>1141</v>
      </c>
      <c r="AJ1293" s="67"/>
      <c r="AK1293" s="61" t="s">
        <v>1143</v>
      </c>
      <c r="AL1293" s="66">
        <f>(B1293-DATE(1970,1,1))*86400</f>
        <v>1597363200</v>
      </c>
      <c r="AM1293" s="66">
        <f>(C1293-DATE(1970,1,1))*86400</f>
        <v>1598227200</v>
      </c>
      <c r="AN1293" s="66">
        <f>AVERAGE(AL1293:AM1293)</f>
        <v>1597795200</v>
      </c>
    </row>
    <row r="1294" spans="1:40" ht="15.75" customHeight="1" x14ac:dyDescent="0.2">
      <c r="A1294" s="288" t="s">
        <v>133</v>
      </c>
      <c r="B1294" s="60">
        <v>44057</v>
      </c>
      <c r="C1294" s="60">
        <v>44067</v>
      </c>
      <c r="D1294" s="61" t="s">
        <v>168</v>
      </c>
      <c r="E1294" s="334" t="s">
        <v>125</v>
      </c>
      <c r="F1294" s="61"/>
      <c r="G1294" s="61" t="s">
        <v>126</v>
      </c>
      <c r="H1294" s="334">
        <v>1000</v>
      </c>
      <c r="I1294" s="63">
        <v>54</v>
      </c>
      <c r="J1294" s="63"/>
      <c r="K1294" s="63">
        <v>8</v>
      </c>
      <c r="L1294" s="63">
        <v>3</v>
      </c>
      <c r="M1294" s="63">
        <v>14</v>
      </c>
      <c r="N1294" s="63"/>
      <c r="O1294" s="63"/>
      <c r="P1294" s="63">
        <v>9</v>
      </c>
      <c r="Q1294" s="63"/>
      <c r="R1294" s="64">
        <v>7</v>
      </c>
      <c r="S1294" s="63"/>
      <c r="T1294" s="63"/>
      <c r="U1294" s="63"/>
      <c r="V1294" s="63">
        <v>4</v>
      </c>
      <c r="W1294" s="63"/>
      <c r="X1294" s="63">
        <v>1</v>
      </c>
      <c r="Y1294" s="63"/>
      <c r="Z1294" s="63">
        <v>0</v>
      </c>
      <c r="AA1294" s="63">
        <v>0</v>
      </c>
      <c r="AB1294" s="65">
        <f>100/(SUM(I1294:Z1294))</f>
        <v>1</v>
      </c>
      <c r="AC1294" s="259">
        <f>SUM(I1294:AA1294)</f>
        <v>100</v>
      </c>
      <c r="AD1294" s="63"/>
      <c r="AE1294" s="63"/>
      <c r="AF1294" s="63"/>
      <c r="AG1294" s="66" t="s">
        <v>127</v>
      </c>
      <c r="AH1294" s="67" t="s">
        <v>1140</v>
      </c>
      <c r="AI1294" s="67" t="s">
        <v>1141</v>
      </c>
      <c r="AJ1294" s="67"/>
      <c r="AK1294" s="61" t="s">
        <v>1142</v>
      </c>
      <c r="AL1294" s="66">
        <f>(B1294-DATE(1970,1,1))*86400</f>
        <v>1597363200</v>
      </c>
      <c r="AM1294" s="66">
        <f>(C1294-DATE(1970,1,1))*86400</f>
        <v>1598227200</v>
      </c>
      <c r="AN1294" s="66">
        <f>AVERAGE(AL1294:AM1294)</f>
        <v>1597795200</v>
      </c>
    </row>
    <row r="1295" spans="1:40" ht="15.75" customHeight="1" x14ac:dyDescent="0.2">
      <c r="A1295" s="281" t="s">
        <v>133</v>
      </c>
      <c r="B1295" s="54">
        <v>44054</v>
      </c>
      <c r="C1295" s="54">
        <v>44057</v>
      </c>
      <c r="D1295" s="53" t="s">
        <v>154</v>
      </c>
      <c r="E1295" s="323" t="s">
        <v>125</v>
      </c>
      <c r="F1295" s="53"/>
      <c r="G1295" s="53" t="s">
        <v>126</v>
      </c>
      <c r="H1295" s="357">
        <v>1017</v>
      </c>
      <c r="I1295" s="55">
        <v>30</v>
      </c>
      <c r="J1295" s="55"/>
      <c r="K1295" s="55">
        <v>5</v>
      </c>
      <c r="L1295" s="55">
        <v>1</v>
      </c>
      <c r="M1295" s="55">
        <v>9</v>
      </c>
      <c r="N1295" s="55"/>
      <c r="O1295" s="55"/>
      <c r="P1295" s="55">
        <v>7</v>
      </c>
      <c r="Q1295" s="55"/>
      <c r="R1295" s="56">
        <v>7</v>
      </c>
      <c r="S1295" s="55"/>
      <c r="T1295" s="55"/>
      <c r="U1295" s="55">
        <v>2</v>
      </c>
      <c r="V1295" s="55">
        <v>1</v>
      </c>
      <c r="W1295" s="55"/>
      <c r="X1295" s="55">
        <v>0</v>
      </c>
      <c r="Y1295" s="55"/>
      <c r="Z1295" s="55">
        <v>0</v>
      </c>
      <c r="AA1295" s="55">
        <v>38</v>
      </c>
      <c r="AB1295" s="57">
        <f>100/(SUM(I1295:Z1295))</f>
        <v>1.6129032258064515</v>
      </c>
      <c r="AC1295" s="259">
        <f>SUM(I1295:AA1295)</f>
        <v>100</v>
      </c>
      <c r="AD1295" s="55"/>
      <c r="AE1295" s="55"/>
      <c r="AF1295" s="55"/>
      <c r="AG1295" s="58"/>
      <c r="AH1295" s="53" t="s">
        <v>1144</v>
      </c>
      <c r="AI1295" s="59"/>
      <c r="AJ1295" s="59"/>
      <c r="AK1295" s="53"/>
      <c r="AL1295" s="58">
        <f>(B1295-DATE(1970,1,1))*86400</f>
        <v>1597104000</v>
      </c>
      <c r="AM1295" s="58">
        <f>(C1295-DATE(1970,1,1))*86400</f>
        <v>1597363200</v>
      </c>
      <c r="AN1295" s="58">
        <f>AVERAGE(AL1295:AM1295)</f>
        <v>1597233600</v>
      </c>
    </row>
    <row r="1296" spans="1:40" ht="15.75" customHeight="1" x14ac:dyDescent="0.2">
      <c r="A1296" s="281" t="s">
        <v>123</v>
      </c>
      <c r="B1296" s="54">
        <v>44054</v>
      </c>
      <c r="C1296" s="54">
        <v>44057</v>
      </c>
      <c r="D1296" s="53" t="s">
        <v>154</v>
      </c>
      <c r="E1296" s="323" t="s">
        <v>125</v>
      </c>
      <c r="F1296" s="53"/>
      <c r="G1296" s="53" t="s">
        <v>126</v>
      </c>
      <c r="H1296" s="357">
        <v>1017</v>
      </c>
      <c r="I1296" s="55">
        <v>40</v>
      </c>
      <c r="J1296" s="55"/>
      <c r="K1296" s="55">
        <v>7</v>
      </c>
      <c r="L1296" s="55">
        <v>1</v>
      </c>
      <c r="M1296" s="55">
        <v>11</v>
      </c>
      <c r="N1296" s="55"/>
      <c r="O1296" s="55"/>
      <c r="P1296" s="55">
        <v>9</v>
      </c>
      <c r="Q1296" s="55"/>
      <c r="R1296" s="56">
        <v>9</v>
      </c>
      <c r="S1296" s="55"/>
      <c r="T1296" s="55"/>
      <c r="U1296" s="55">
        <v>2</v>
      </c>
      <c r="V1296" s="55">
        <v>1</v>
      </c>
      <c r="W1296" s="55"/>
      <c r="X1296" s="55">
        <v>0</v>
      </c>
      <c r="Y1296" s="55"/>
      <c r="Z1296" s="55">
        <v>0</v>
      </c>
      <c r="AA1296" s="55">
        <v>20</v>
      </c>
      <c r="AB1296" s="57">
        <f>100/(SUM(I1296:Z1296))</f>
        <v>1.25</v>
      </c>
      <c r="AC1296" s="259">
        <f>SUM(I1296:AA1296)</f>
        <v>100</v>
      </c>
      <c r="AD1296" s="55"/>
      <c r="AE1296" s="55"/>
      <c r="AF1296" s="55"/>
      <c r="AG1296" s="58"/>
      <c r="AH1296" s="53" t="s">
        <v>1144</v>
      </c>
      <c r="AI1296" s="59"/>
      <c r="AJ1296" s="59"/>
      <c r="AK1296" s="53"/>
      <c r="AL1296" s="58">
        <f>(B1296-DATE(1970,1,1))*86400</f>
        <v>1597104000</v>
      </c>
      <c r="AM1296" s="58">
        <f>(C1296-DATE(1970,1,1))*86400</f>
        <v>1597363200</v>
      </c>
      <c r="AN1296" s="58">
        <f>AVERAGE(AL1296:AM1296)</f>
        <v>1597233600</v>
      </c>
    </row>
    <row r="1297" spans="1:65" ht="15.75" customHeight="1" x14ac:dyDescent="0.2">
      <c r="A1297" s="281" t="s">
        <v>123</v>
      </c>
      <c r="B1297" s="54">
        <v>44054</v>
      </c>
      <c r="C1297" s="54">
        <v>44057</v>
      </c>
      <c r="D1297" s="53" t="s">
        <v>154</v>
      </c>
      <c r="E1297" s="323" t="s">
        <v>125</v>
      </c>
      <c r="F1297" s="53"/>
      <c r="G1297" s="53" t="s">
        <v>126</v>
      </c>
      <c r="H1297" s="357">
        <v>1017</v>
      </c>
      <c r="I1297" s="55">
        <v>50</v>
      </c>
      <c r="J1297" s="55"/>
      <c r="K1297" s="55">
        <v>8</v>
      </c>
      <c r="L1297" s="55">
        <v>2</v>
      </c>
      <c r="M1297" s="55">
        <v>13</v>
      </c>
      <c r="N1297" s="55"/>
      <c r="O1297" s="55"/>
      <c r="P1297" s="55">
        <v>10</v>
      </c>
      <c r="Q1297" s="55"/>
      <c r="R1297" s="56">
        <v>11</v>
      </c>
      <c r="S1297" s="55"/>
      <c r="T1297" s="55"/>
      <c r="U1297" s="55">
        <v>2</v>
      </c>
      <c r="V1297" s="55">
        <v>2</v>
      </c>
      <c r="W1297" s="55"/>
      <c r="X1297" s="55">
        <v>1</v>
      </c>
      <c r="Y1297" s="55"/>
      <c r="Z1297" s="55">
        <v>1</v>
      </c>
      <c r="AA1297" s="55">
        <v>0</v>
      </c>
      <c r="AB1297" s="57">
        <f>100/(SUM(I1297:Z1297))</f>
        <v>1</v>
      </c>
      <c r="AC1297" s="259">
        <f>SUM(I1297:AA1297)</f>
        <v>100</v>
      </c>
      <c r="AD1297" s="55"/>
      <c r="AE1297" s="55"/>
      <c r="AF1297" s="55"/>
      <c r="AG1297" s="58"/>
      <c r="AH1297" s="53" t="s">
        <v>1144</v>
      </c>
      <c r="AI1297" s="59"/>
      <c r="AJ1297" s="59"/>
      <c r="AK1297" s="53"/>
      <c r="AL1297" s="58">
        <f>(B1297-DATE(1970,1,1))*86400</f>
        <v>1597104000</v>
      </c>
      <c r="AM1297" s="58">
        <f>(C1297-DATE(1970,1,1))*86400</f>
        <v>1597363200</v>
      </c>
      <c r="AN1297" s="58">
        <f>AVERAGE(AL1297:AM1297)</f>
        <v>1597233600</v>
      </c>
    </row>
    <row r="1298" spans="1:65" ht="15.75" customHeight="1" x14ac:dyDescent="0.2">
      <c r="A1298" s="286" t="s">
        <v>133</v>
      </c>
      <c r="B1298" s="41">
        <v>44048</v>
      </c>
      <c r="C1298" s="41">
        <v>44062</v>
      </c>
      <c r="D1298" s="40" t="s">
        <v>148</v>
      </c>
      <c r="E1298" s="325" t="s">
        <v>125</v>
      </c>
      <c r="F1298" s="40"/>
      <c r="G1298" s="40" t="s">
        <v>149</v>
      </c>
      <c r="H1298" s="325">
        <v>1000</v>
      </c>
      <c r="I1298" s="42">
        <v>36</v>
      </c>
      <c r="J1298" s="42"/>
      <c r="K1298" s="42">
        <v>6</v>
      </c>
      <c r="L1298" s="42">
        <v>2</v>
      </c>
      <c r="M1298" s="42">
        <v>10</v>
      </c>
      <c r="N1298" s="42"/>
      <c r="O1298" s="42"/>
      <c r="P1298" s="42">
        <v>7</v>
      </c>
      <c r="Q1298" s="42"/>
      <c r="R1298" s="43">
        <v>6</v>
      </c>
      <c r="S1298" s="42"/>
      <c r="T1298" s="42"/>
      <c r="U1298" s="42"/>
      <c r="V1298" s="42">
        <v>1</v>
      </c>
      <c r="W1298" s="42"/>
      <c r="X1298" s="42">
        <v>2</v>
      </c>
      <c r="Y1298" s="42"/>
      <c r="Z1298" s="42">
        <v>1</v>
      </c>
      <c r="AA1298" s="42">
        <v>28</v>
      </c>
      <c r="AB1298" s="44">
        <f>100/(SUM(I1298:Z1298))</f>
        <v>1.408450704225352</v>
      </c>
      <c r="AC1298" s="259">
        <f>SUM(I1298:AA1298)</f>
        <v>99</v>
      </c>
      <c r="AD1298" s="42"/>
      <c r="AE1298" s="42"/>
      <c r="AF1298" s="42"/>
      <c r="AG1298" s="45" t="s">
        <v>391</v>
      </c>
      <c r="AH1298" s="132" t="s">
        <v>1145</v>
      </c>
      <c r="AI1298" s="132" t="s">
        <v>1146</v>
      </c>
      <c r="AJ1298" s="132" t="s">
        <v>1147</v>
      </c>
      <c r="AK1298" s="40" t="s">
        <v>1149</v>
      </c>
      <c r="AL1298" s="45">
        <f>(B1298-DATE(1970,1,1))*86400</f>
        <v>1596585600</v>
      </c>
      <c r="AM1298" s="45">
        <f>(C1298-DATE(1970,1,1))*86400</f>
        <v>1597795200</v>
      </c>
      <c r="AN1298" s="45">
        <f>AVERAGE(AL1298:AM1298)</f>
        <v>1597190400</v>
      </c>
    </row>
    <row r="1299" spans="1:65" ht="15.75" customHeight="1" x14ac:dyDescent="0.2">
      <c r="A1299" s="286" t="s">
        <v>133</v>
      </c>
      <c r="B1299" s="41">
        <v>44048</v>
      </c>
      <c r="C1299" s="41">
        <v>44062</v>
      </c>
      <c r="D1299" s="40" t="s">
        <v>148</v>
      </c>
      <c r="E1299" s="325" t="s">
        <v>125</v>
      </c>
      <c r="F1299" s="40" t="s">
        <v>390</v>
      </c>
      <c r="G1299" s="40" t="s">
        <v>149</v>
      </c>
      <c r="H1299" s="325">
        <v>1000</v>
      </c>
      <c r="I1299" s="42">
        <v>39</v>
      </c>
      <c r="J1299" s="42"/>
      <c r="K1299" s="42"/>
      <c r="L1299" s="42"/>
      <c r="M1299" s="42"/>
      <c r="N1299" s="42"/>
      <c r="O1299" s="42"/>
      <c r="P1299" s="42"/>
      <c r="Q1299" s="42"/>
      <c r="R1299" s="43"/>
      <c r="S1299" s="42"/>
      <c r="T1299" s="42"/>
      <c r="U1299" s="42">
        <v>37</v>
      </c>
      <c r="V1299" s="42"/>
      <c r="W1299" s="42"/>
      <c r="X1299" s="42"/>
      <c r="Y1299" s="42"/>
      <c r="Z1299" s="42">
        <v>0</v>
      </c>
      <c r="AA1299" s="153">
        <v>24</v>
      </c>
      <c r="AB1299" s="44">
        <f>100/(SUM(I1299:Z1299))</f>
        <v>1.3157894736842106</v>
      </c>
      <c r="AC1299" s="259">
        <f>SUM(I1299:AA1299)</f>
        <v>100</v>
      </c>
      <c r="AD1299" s="42"/>
      <c r="AE1299" s="42"/>
      <c r="AF1299" s="42"/>
      <c r="AG1299" s="45" t="s">
        <v>391</v>
      </c>
      <c r="AH1299" s="132" t="s">
        <v>1145</v>
      </c>
      <c r="AI1299" s="132" t="s">
        <v>1146</v>
      </c>
      <c r="AJ1299" s="132" t="s">
        <v>1147</v>
      </c>
      <c r="AK1299" s="40" t="s">
        <v>1148</v>
      </c>
      <c r="AL1299" s="45">
        <f>(B1299-DATE(1970,1,1))*86400</f>
        <v>1596585600</v>
      </c>
      <c r="AM1299" s="45">
        <f>(C1299-DATE(1970,1,1))*86400</f>
        <v>1597795200</v>
      </c>
      <c r="AN1299" s="45">
        <f>AVERAGE(AL1299:AM1299)</f>
        <v>1597190400</v>
      </c>
    </row>
    <row r="1300" spans="1:65" ht="15.75" customHeight="1" x14ac:dyDescent="0.2">
      <c r="A1300" s="286" t="s">
        <v>123</v>
      </c>
      <c r="B1300" s="41">
        <v>44048</v>
      </c>
      <c r="C1300" s="41">
        <v>44062</v>
      </c>
      <c r="D1300" s="40" t="s">
        <v>148</v>
      </c>
      <c r="E1300" s="325" t="s">
        <v>125</v>
      </c>
      <c r="F1300" s="40"/>
      <c r="G1300" s="40" t="s">
        <v>149</v>
      </c>
      <c r="H1300" s="325">
        <v>1000</v>
      </c>
      <c r="I1300" s="42">
        <v>51</v>
      </c>
      <c r="J1300" s="42"/>
      <c r="K1300" s="42">
        <v>8</v>
      </c>
      <c r="L1300" s="42">
        <v>2</v>
      </c>
      <c r="M1300" s="42">
        <v>15</v>
      </c>
      <c r="N1300" s="42"/>
      <c r="O1300" s="42"/>
      <c r="P1300" s="42">
        <v>10</v>
      </c>
      <c r="Q1300" s="42"/>
      <c r="R1300" s="43">
        <v>8</v>
      </c>
      <c r="S1300" s="42"/>
      <c r="T1300" s="42"/>
      <c r="U1300" s="42"/>
      <c r="V1300" s="42">
        <v>2</v>
      </c>
      <c r="W1300" s="42"/>
      <c r="X1300" s="42">
        <v>3</v>
      </c>
      <c r="Y1300" s="42"/>
      <c r="Z1300" s="42">
        <v>1</v>
      </c>
      <c r="AA1300" s="42">
        <v>0</v>
      </c>
      <c r="AB1300" s="44">
        <f>100/(SUM(I1300:Z1300))</f>
        <v>1</v>
      </c>
      <c r="AC1300" s="259">
        <f>SUM(I1300:AA1300)</f>
        <v>100</v>
      </c>
      <c r="AD1300" s="42"/>
      <c r="AE1300" s="42"/>
      <c r="AF1300" s="42"/>
      <c r="AG1300" s="45" t="s">
        <v>391</v>
      </c>
      <c r="AH1300" s="132" t="s">
        <v>1145</v>
      </c>
      <c r="AI1300" s="132" t="s">
        <v>1146</v>
      </c>
      <c r="AJ1300" s="132" t="s">
        <v>1147</v>
      </c>
      <c r="AK1300" s="40" t="s">
        <v>1150</v>
      </c>
      <c r="AL1300" s="45">
        <f>(B1300-DATE(1970,1,1))*86400</f>
        <v>1596585600</v>
      </c>
      <c r="AM1300" s="45">
        <f>(C1300-DATE(1970,1,1))*86400</f>
        <v>1597795200</v>
      </c>
      <c r="AN1300" s="45">
        <f>AVERAGE(AL1300:AM1300)</f>
        <v>1597190400</v>
      </c>
    </row>
    <row r="1301" spans="1:65" ht="15.75" customHeight="1" x14ac:dyDescent="0.2">
      <c r="A1301" s="284" t="s">
        <v>133</v>
      </c>
      <c r="B1301" s="20">
        <v>44042</v>
      </c>
      <c r="C1301" s="20">
        <v>44046</v>
      </c>
      <c r="D1301" s="19" t="s">
        <v>134</v>
      </c>
      <c r="E1301" s="332" t="s">
        <v>125</v>
      </c>
      <c r="F1301" s="19"/>
      <c r="G1301" s="19" t="s">
        <v>135</v>
      </c>
      <c r="H1301" s="332">
        <v>2000</v>
      </c>
      <c r="I1301" s="21">
        <v>34</v>
      </c>
      <c r="J1301" s="21"/>
      <c r="K1301" s="21">
        <v>5</v>
      </c>
      <c r="L1301" s="21">
        <v>2</v>
      </c>
      <c r="M1301" s="21">
        <v>11</v>
      </c>
      <c r="N1301" s="21"/>
      <c r="O1301" s="21"/>
      <c r="P1301" s="21">
        <v>7</v>
      </c>
      <c r="Q1301" s="21"/>
      <c r="R1301" s="22">
        <v>6</v>
      </c>
      <c r="S1301" s="21"/>
      <c r="T1301" s="21"/>
      <c r="U1301" s="21"/>
      <c r="V1301" s="21">
        <v>2</v>
      </c>
      <c r="W1301" s="21"/>
      <c r="X1301" s="21">
        <v>1</v>
      </c>
      <c r="Y1301" s="21"/>
      <c r="Z1301" s="21">
        <v>1</v>
      </c>
      <c r="AA1301" s="21">
        <v>31</v>
      </c>
      <c r="AB1301" s="23">
        <f>100/(SUM(I1301:Z1301))</f>
        <v>1.4492753623188406</v>
      </c>
      <c r="AC1301" s="259">
        <f>SUM(I1301:AA1301)</f>
        <v>100</v>
      </c>
      <c r="AD1301" s="21"/>
      <c r="AE1301" s="21"/>
      <c r="AF1301" s="21"/>
      <c r="AG1301" s="25" t="s">
        <v>127</v>
      </c>
      <c r="AH1301" s="83" t="s">
        <v>1151</v>
      </c>
      <c r="AI1301" s="83" t="s">
        <v>1152</v>
      </c>
      <c r="AJ1301" s="83" t="s">
        <v>1153</v>
      </c>
      <c r="AK1301" s="19" t="s">
        <v>1134</v>
      </c>
      <c r="AL1301" s="25">
        <f>(B1301-DATE(1970,1,1))*86400</f>
        <v>1596067200</v>
      </c>
      <c r="AM1301" s="25">
        <f>(C1301-DATE(1970,1,1))*86400</f>
        <v>1596412800</v>
      </c>
      <c r="AN1301" s="25">
        <f>AVERAGE(AL1301:AM1301)</f>
        <v>1596240000</v>
      </c>
    </row>
    <row r="1302" spans="1:65" ht="15.75" customHeight="1" x14ac:dyDescent="0.2">
      <c r="A1302" s="284" t="s">
        <v>123</v>
      </c>
      <c r="B1302" s="20">
        <v>44042</v>
      </c>
      <c r="C1302" s="20">
        <v>44046</v>
      </c>
      <c r="D1302" s="19" t="s">
        <v>134</v>
      </c>
      <c r="E1302" s="332" t="s">
        <v>125</v>
      </c>
      <c r="F1302" s="19"/>
      <c r="G1302" s="19" t="s">
        <v>135</v>
      </c>
      <c r="H1302" s="332">
        <v>2000</v>
      </c>
      <c r="I1302" s="21">
        <v>52</v>
      </c>
      <c r="J1302" s="21"/>
      <c r="K1302" s="21">
        <v>6</v>
      </c>
      <c r="L1302" s="21">
        <v>2</v>
      </c>
      <c r="M1302" s="21">
        <v>16</v>
      </c>
      <c r="N1302" s="21"/>
      <c r="O1302" s="21"/>
      <c r="P1302" s="21">
        <v>10</v>
      </c>
      <c r="Q1302" s="21"/>
      <c r="R1302" s="22">
        <v>8</v>
      </c>
      <c r="S1302" s="21"/>
      <c r="T1302" s="21"/>
      <c r="U1302" s="21"/>
      <c r="V1302" s="21">
        <v>3</v>
      </c>
      <c r="W1302" s="21"/>
      <c r="X1302" s="21">
        <v>1</v>
      </c>
      <c r="Y1302" s="21"/>
      <c r="Z1302" s="21">
        <v>2</v>
      </c>
      <c r="AA1302" s="21">
        <v>0</v>
      </c>
      <c r="AB1302" s="23">
        <f>100/(SUM(I1302:Z1302))</f>
        <v>1</v>
      </c>
      <c r="AC1302" s="259">
        <f>SUM(I1302:AA1302)</f>
        <v>100</v>
      </c>
      <c r="AD1302" s="21"/>
      <c r="AE1302" s="21"/>
      <c r="AF1302" s="21"/>
      <c r="AG1302" s="25" t="s">
        <v>127</v>
      </c>
      <c r="AH1302" s="83" t="s">
        <v>1154</v>
      </c>
      <c r="AI1302" s="83" t="s">
        <v>1152</v>
      </c>
      <c r="AJ1302" s="83" t="s">
        <v>1153</v>
      </c>
      <c r="AK1302" s="19" t="s">
        <v>1018</v>
      </c>
      <c r="AL1302" s="25">
        <f>(B1302-DATE(1970,1,1))*86400</f>
        <v>1596067200</v>
      </c>
      <c r="AM1302" s="25">
        <f>(C1302-DATE(1970,1,1))*86400</f>
        <v>1596412800</v>
      </c>
      <c r="AN1302" s="25">
        <f>AVERAGE(AL1302:AM1302)</f>
        <v>1596240000</v>
      </c>
    </row>
    <row r="1303" spans="1:65" ht="15.75" customHeight="1" x14ac:dyDescent="0.2">
      <c r="A1303" s="281" t="s">
        <v>133</v>
      </c>
      <c r="B1303" s="54">
        <v>44032</v>
      </c>
      <c r="C1303" s="54">
        <v>44036</v>
      </c>
      <c r="D1303" s="53" t="s">
        <v>154</v>
      </c>
      <c r="E1303" s="323" t="s">
        <v>125</v>
      </c>
      <c r="F1303" s="53"/>
      <c r="G1303" s="53" t="s">
        <v>126</v>
      </c>
      <c r="H1303" s="357">
        <v>1105</v>
      </c>
      <c r="I1303" s="55">
        <v>31</v>
      </c>
      <c r="J1303" s="55"/>
      <c r="K1303" s="55">
        <v>4</v>
      </c>
      <c r="L1303" s="55">
        <v>1</v>
      </c>
      <c r="M1303" s="55">
        <v>9</v>
      </c>
      <c r="N1303" s="55"/>
      <c r="O1303" s="55"/>
      <c r="P1303" s="55">
        <v>6</v>
      </c>
      <c r="Q1303" s="55"/>
      <c r="R1303" s="56">
        <v>7</v>
      </c>
      <c r="S1303" s="55"/>
      <c r="T1303" s="55"/>
      <c r="U1303" s="55">
        <v>1</v>
      </c>
      <c r="V1303" s="55">
        <v>1</v>
      </c>
      <c r="W1303" s="55"/>
      <c r="X1303" s="55">
        <v>0</v>
      </c>
      <c r="Y1303" s="55"/>
      <c r="Z1303" s="55">
        <v>0</v>
      </c>
      <c r="AA1303" s="55">
        <v>40</v>
      </c>
      <c r="AB1303" s="57">
        <f>100/(SUM(I1303:Z1303))</f>
        <v>1.6666666666666667</v>
      </c>
      <c r="AC1303" s="259">
        <f>SUM(I1303:AA1303)</f>
        <v>100</v>
      </c>
      <c r="AD1303" s="55"/>
      <c r="AE1303" s="55"/>
      <c r="AF1303" s="55"/>
      <c r="AG1303" s="58" t="s">
        <v>155</v>
      </c>
      <c r="AH1303" s="53" t="s">
        <v>1144</v>
      </c>
      <c r="AI1303" s="59" t="s">
        <v>1123</v>
      </c>
      <c r="AJ1303" s="59" t="s">
        <v>1155</v>
      </c>
      <c r="AK1303" s="53" t="s">
        <v>1156</v>
      </c>
      <c r="AL1303" s="58">
        <f>(B1303-DATE(1970,1,1))*86400</f>
        <v>1595203200</v>
      </c>
      <c r="AM1303" s="58">
        <f>(C1303-DATE(1970,1,1))*86400</f>
        <v>1595548800</v>
      </c>
      <c r="AN1303" s="58">
        <f>AVERAGE(AL1303:AM1303)</f>
        <v>1595376000</v>
      </c>
    </row>
    <row r="1304" spans="1:65" ht="15.75" customHeight="1" x14ac:dyDescent="0.2">
      <c r="A1304" s="281" t="s">
        <v>123</v>
      </c>
      <c r="B1304" s="54">
        <v>44032</v>
      </c>
      <c r="C1304" s="54">
        <v>44036</v>
      </c>
      <c r="D1304" s="53" t="s">
        <v>154</v>
      </c>
      <c r="E1304" s="323" t="s">
        <v>125</v>
      </c>
      <c r="F1304" s="53"/>
      <c r="G1304" s="53" t="s">
        <v>126</v>
      </c>
      <c r="H1304" s="357">
        <v>1105</v>
      </c>
      <c r="I1304" s="55">
        <v>41</v>
      </c>
      <c r="J1304" s="55"/>
      <c r="K1304" s="55">
        <v>6</v>
      </c>
      <c r="L1304" s="55">
        <v>1</v>
      </c>
      <c r="M1304" s="55">
        <v>11</v>
      </c>
      <c r="N1304" s="55"/>
      <c r="O1304" s="55"/>
      <c r="P1304" s="55">
        <v>8</v>
      </c>
      <c r="Q1304" s="55"/>
      <c r="R1304" s="56">
        <v>8</v>
      </c>
      <c r="S1304" s="55"/>
      <c r="T1304" s="55"/>
      <c r="U1304" s="55">
        <v>1</v>
      </c>
      <c r="V1304" s="55">
        <v>2</v>
      </c>
      <c r="W1304" s="55"/>
      <c r="X1304" s="55">
        <v>1</v>
      </c>
      <c r="Y1304" s="55"/>
      <c r="Z1304" s="55">
        <v>1</v>
      </c>
      <c r="AA1304" s="55">
        <v>20</v>
      </c>
      <c r="AB1304" s="57">
        <f>100/(SUM(I1304:Z1304))</f>
        <v>1.25</v>
      </c>
      <c r="AC1304" s="259">
        <f>SUM(I1304:AA1304)</f>
        <v>100</v>
      </c>
      <c r="AD1304" s="55"/>
      <c r="AE1304" s="55"/>
      <c r="AF1304" s="55"/>
      <c r="AG1304" s="58" t="s">
        <v>155</v>
      </c>
      <c r="AH1304" s="53" t="s">
        <v>1144</v>
      </c>
      <c r="AI1304" s="59"/>
      <c r="AJ1304" s="59"/>
      <c r="AK1304" s="53" t="s">
        <v>1157</v>
      </c>
      <c r="AL1304" s="58">
        <f>(B1304-DATE(1970,1,1))*86400</f>
        <v>1595203200</v>
      </c>
      <c r="AM1304" s="58">
        <f>(C1304-DATE(1970,1,1))*86400</f>
        <v>1595548800</v>
      </c>
      <c r="AN1304" s="58">
        <f>AVERAGE(AL1304:AM1304)</f>
        <v>1595376000</v>
      </c>
    </row>
    <row r="1305" spans="1:65" s="489" customFormat="1" ht="15.75" customHeight="1" x14ac:dyDescent="0.2">
      <c r="A1305" s="281" t="s">
        <v>123</v>
      </c>
      <c r="B1305" s="54">
        <v>44032</v>
      </c>
      <c r="C1305" s="54">
        <v>44036</v>
      </c>
      <c r="D1305" s="53" t="s">
        <v>154</v>
      </c>
      <c r="E1305" s="323" t="s">
        <v>125</v>
      </c>
      <c r="F1305" s="53"/>
      <c r="G1305" s="53" t="s">
        <v>126</v>
      </c>
      <c r="H1305" s="357">
        <v>1105</v>
      </c>
      <c r="I1305" s="55">
        <v>51</v>
      </c>
      <c r="J1305" s="55"/>
      <c r="K1305" s="55">
        <v>8</v>
      </c>
      <c r="L1305" s="55">
        <v>2</v>
      </c>
      <c r="M1305" s="55">
        <v>13</v>
      </c>
      <c r="N1305" s="55"/>
      <c r="O1305" s="55"/>
      <c r="P1305" s="55">
        <v>10</v>
      </c>
      <c r="Q1305" s="55"/>
      <c r="R1305" s="56">
        <v>10</v>
      </c>
      <c r="S1305" s="55"/>
      <c r="T1305" s="55"/>
      <c r="U1305" s="55">
        <v>2</v>
      </c>
      <c r="V1305" s="55">
        <v>2</v>
      </c>
      <c r="W1305" s="55"/>
      <c r="X1305" s="55">
        <v>1</v>
      </c>
      <c r="Y1305" s="55"/>
      <c r="Z1305" s="55">
        <v>1</v>
      </c>
      <c r="AA1305" s="55">
        <v>0</v>
      </c>
      <c r="AB1305" s="57">
        <f>100/(SUM(I1305:Z1305))</f>
        <v>1</v>
      </c>
      <c r="AC1305" s="259">
        <f>SUM(I1305:AA1305)</f>
        <v>100</v>
      </c>
      <c r="AD1305" s="55"/>
      <c r="AE1305" s="55"/>
      <c r="AF1305" s="55"/>
      <c r="AG1305" s="58" t="s">
        <v>155</v>
      </c>
      <c r="AH1305" s="53" t="s">
        <v>1144</v>
      </c>
      <c r="AI1305" s="59"/>
      <c r="AJ1305" s="59"/>
      <c r="AK1305" s="53" t="s">
        <v>1156</v>
      </c>
      <c r="AL1305" s="58">
        <f>(B1305-DATE(1970,1,1))*86400</f>
        <v>1595203200</v>
      </c>
      <c r="AM1305" s="58">
        <f>(C1305-DATE(1970,1,1))*86400</f>
        <v>1595548800</v>
      </c>
      <c r="AN1305" s="58">
        <f>AVERAGE(AL1305:AM1305)</f>
        <v>1595376000</v>
      </c>
      <c r="AO1305"/>
      <c r="AP1305"/>
      <c r="AQ1305"/>
      <c r="AR1305"/>
      <c r="AS1305"/>
      <c r="AT1305"/>
      <c r="AU1305"/>
      <c r="AV1305"/>
      <c r="AW1305"/>
      <c r="AX1305"/>
      <c r="AY1305"/>
      <c r="AZ1305"/>
      <c r="BA1305"/>
      <c r="BB1305"/>
      <c r="BC1305"/>
      <c r="BD1305"/>
      <c r="BE1305"/>
      <c r="BF1305"/>
      <c r="BG1305"/>
      <c r="BH1305"/>
      <c r="BI1305"/>
      <c r="BJ1305"/>
      <c r="BK1305"/>
      <c r="BL1305"/>
      <c r="BM1305"/>
    </row>
    <row r="1306" spans="1:65" s="489" customFormat="1" ht="15.75" customHeight="1" x14ac:dyDescent="0.2">
      <c r="A1306" s="281" t="s">
        <v>133</v>
      </c>
      <c r="B1306" s="68">
        <v>44013</v>
      </c>
      <c r="C1306" s="68">
        <v>44043</v>
      </c>
      <c r="D1306" s="53" t="s">
        <v>154</v>
      </c>
      <c r="E1306" s="323" t="s">
        <v>125</v>
      </c>
      <c r="F1306" s="53" t="s">
        <v>140</v>
      </c>
      <c r="G1306" s="53" t="s">
        <v>126</v>
      </c>
      <c r="H1306" s="357">
        <v>1001</v>
      </c>
      <c r="I1306" s="55"/>
      <c r="J1306" s="55"/>
      <c r="K1306" s="55"/>
      <c r="L1306" s="55"/>
      <c r="M1306" s="55"/>
      <c r="N1306" s="56"/>
      <c r="O1306" s="56"/>
      <c r="P1306" s="55"/>
      <c r="Q1306" s="55"/>
      <c r="R1306" s="55"/>
      <c r="S1306" s="55"/>
      <c r="T1306" s="55"/>
      <c r="U1306" s="55"/>
      <c r="V1306" s="55"/>
      <c r="W1306" s="55"/>
      <c r="X1306" s="55"/>
      <c r="Y1306" s="55"/>
      <c r="Z1306" s="55"/>
      <c r="AA1306" s="55"/>
      <c r="AB1306" s="57" t="e">
        <f>100/(SUM(I1306:Z1306))</f>
        <v>#DIV/0!</v>
      </c>
      <c r="AC1306" s="259">
        <f>SUM(I1306:AA1306)</f>
        <v>0</v>
      </c>
      <c r="AD1306" s="55"/>
      <c r="AE1306" s="55"/>
      <c r="AF1306" s="55"/>
      <c r="AG1306" s="58" t="s">
        <v>155</v>
      </c>
      <c r="AH1306" s="59"/>
      <c r="AI1306" s="59" t="s">
        <v>1158</v>
      </c>
      <c r="AJ1306" s="59"/>
      <c r="AK1306" s="53" t="s">
        <v>1159</v>
      </c>
      <c r="AL1306" s="58">
        <f>(B1306-DATE(1970,1,1))*86400</f>
        <v>1593561600</v>
      </c>
      <c r="AM1306" s="58">
        <f>(C1306-DATE(1970,1,1))*86400</f>
        <v>1596153600</v>
      </c>
      <c r="AN1306" s="58">
        <f>AVERAGE(AL1306:AM1306)</f>
        <v>1594857600</v>
      </c>
      <c r="AO1306"/>
      <c r="AP1306"/>
      <c r="AQ1306"/>
      <c r="AR1306"/>
      <c r="AS1306"/>
      <c r="AT1306"/>
      <c r="AU1306"/>
      <c r="AV1306"/>
      <c r="AW1306"/>
      <c r="AX1306"/>
      <c r="AY1306"/>
      <c r="AZ1306"/>
      <c r="BA1306"/>
      <c r="BB1306"/>
      <c r="BC1306"/>
      <c r="BD1306"/>
      <c r="BE1306"/>
      <c r="BF1306"/>
      <c r="BG1306"/>
      <c r="BH1306"/>
      <c r="BI1306"/>
      <c r="BJ1306"/>
      <c r="BK1306"/>
      <c r="BL1306"/>
      <c r="BM1306"/>
    </row>
    <row r="1307" spans="1:65" s="489" customFormat="1" ht="15.75" customHeight="1" x14ac:dyDescent="0.2">
      <c r="A1307" s="281" t="s">
        <v>123</v>
      </c>
      <c r="B1307" s="68">
        <v>44013</v>
      </c>
      <c r="C1307" s="68">
        <v>44043</v>
      </c>
      <c r="D1307" s="53" t="s">
        <v>154</v>
      </c>
      <c r="E1307" s="323" t="s">
        <v>125</v>
      </c>
      <c r="F1307" s="53" t="s">
        <v>140</v>
      </c>
      <c r="G1307" s="53" t="s">
        <v>126</v>
      </c>
      <c r="H1307" s="357">
        <v>1001</v>
      </c>
      <c r="I1307" s="55"/>
      <c r="J1307" s="55"/>
      <c r="K1307" s="55"/>
      <c r="L1307" s="55"/>
      <c r="M1307" s="55"/>
      <c r="N1307" s="56"/>
      <c r="O1307" s="56"/>
      <c r="P1307" s="55"/>
      <c r="Q1307" s="55"/>
      <c r="R1307" s="55"/>
      <c r="S1307" s="55"/>
      <c r="T1307" s="55"/>
      <c r="U1307" s="55"/>
      <c r="V1307" s="55"/>
      <c r="W1307" s="55"/>
      <c r="X1307" s="55"/>
      <c r="Y1307" s="55"/>
      <c r="Z1307" s="55"/>
      <c r="AA1307" s="55"/>
      <c r="AB1307" s="57" t="e">
        <f>100/(SUM(I1307:Z1307))</f>
        <v>#DIV/0!</v>
      </c>
      <c r="AC1307" s="259">
        <f>SUM(I1307:AA1307)</f>
        <v>0</v>
      </c>
      <c r="AD1307" s="55"/>
      <c r="AE1307" s="55"/>
      <c r="AF1307" s="55"/>
      <c r="AG1307" s="58" t="s">
        <v>155</v>
      </c>
      <c r="AH1307" s="59"/>
      <c r="AI1307" s="59" t="s">
        <v>1160</v>
      </c>
      <c r="AJ1307" s="59" t="s">
        <v>1161</v>
      </c>
      <c r="AK1307" s="53" t="s">
        <v>1159</v>
      </c>
      <c r="AL1307" s="58">
        <f>(B1307-DATE(1970,1,1))*86400</f>
        <v>1593561600</v>
      </c>
      <c r="AM1307" s="58">
        <f>(C1307-DATE(1970,1,1))*86400</f>
        <v>1596153600</v>
      </c>
      <c r="AN1307" s="58">
        <f>AVERAGE(AL1307:AM1307)</f>
        <v>1594857600</v>
      </c>
      <c r="AO1307"/>
      <c r="AP1307"/>
      <c r="AQ1307"/>
      <c r="AR1307"/>
      <c r="AS1307"/>
      <c r="AT1307"/>
      <c r="AU1307"/>
      <c r="AV1307"/>
      <c r="AW1307"/>
      <c r="AX1307"/>
      <c r="AY1307"/>
      <c r="AZ1307"/>
      <c r="BA1307"/>
      <c r="BB1307"/>
      <c r="BC1307"/>
      <c r="BD1307"/>
      <c r="BE1307"/>
      <c r="BF1307"/>
      <c r="BG1307"/>
      <c r="BH1307"/>
      <c r="BI1307"/>
      <c r="BJ1307"/>
      <c r="BK1307"/>
      <c r="BL1307"/>
      <c r="BM1307"/>
    </row>
    <row r="1308" spans="1:65" s="489" customFormat="1" ht="15.75" customHeight="1" x14ac:dyDescent="0.2">
      <c r="A1308" s="281" t="s">
        <v>123</v>
      </c>
      <c r="B1308" s="68">
        <v>44013</v>
      </c>
      <c r="C1308" s="68">
        <v>44043</v>
      </c>
      <c r="D1308" s="53" t="s">
        <v>154</v>
      </c>
      <c r="E1308" s="323" t="s">
        <v>125</v>
      </c>
      <c r="F1308" s="53" t="s">
        <v>140</v>
      </c>
      <c r="G1308" s="53" t="s">
        <v>126</v>
      </c>
      <c r="H1308" s="357">
        <v>1001</v>
      </c>
      <c r="I1308" s="55"/>
      <c r="J1308" s="55"/>
      <c r="K1308" s="55"/>
      <c r="L1308" s="55"/>
      <c r="M1308" s="55"/>
      <c r="N1308" s="56"/>
      <c r="O1308" s="56"/>
      <c r="P1308" s="55"/>
      <c r="Q1308" s="55"/>
      <c r="R1308" s="55"/>
      <c r="S1308" s="55"/>
      <c r="T1308" s="55"/>
      <c r="U1308" s="55"/>
      <c r="V1308" s="55"/>
      <c r="W1308" s="55"/>
      <c r="X1308" s="55"/>
      <c r="Y1308" s="55"/>
      <c r="Z1308" s="55"/>
      <c r="AA1308" s="55"/>
      <c r="AB1308" s="57" t="e">
        <f>100/(SUM(I1308:Z1308))</f>
        <v>#DIV/0!</v>
      </c>
      <c r="AC1308" s="259">
        <f>SUM(I1308:AA1308)</f>
        <v>0</v>
      </c>
      <c r="AD1308" s="55"/>
      <c r="AE1308" s="55"/>
      <c r="AF1308" s="55"/>
      <c r="AG1308" s="58" t="s">
        <v>155</v>
      </c>
      <c r="AH1308" s="59"/>
      <c r="AI1308" s="59"/>
      <c r="AJ1308" s="59"/>
      <c r="AK1308" s="53" t="s">
        <v>1159</v>
      </c>
      <c r="AL1308" s="58">
        <f>(B1308-DATE(1970,1,1))*86400</f>
        <v>1593561600</v>
      </c>
      <c r="AM1308" s="58">
        <f>(C1308-DATE(1970,1,1))*86400</f>
        <v>1596153600</v>
      </c>
      <c r="AN1308" s="58">
        <f>AVERAGE(AL1308:AM1308)</f>
        <v>1594857600</v>
      </c>
      <c r="AO1308"/>
      <c r="AP1308"/>
      <c r="AQ1308"/>
      <c r="AR1308"/>
      <c r="AS1308"/>
      <c r="AT1308"/>
      <c r="AU1308"/>
      <c r="AV1308"/>
      <c r="AW1308"/>
      <c r="AX1308"/>
      <c r="AY1308"/>
      <c r="AZ1308"/>
      <c r="BA1308"/>
      <c r="BB1308"/>
      <c r="BC1308"/>
      <c r="BD1308"/>
      <c r="BE1308"/>
      <c r="BF1308"/>
      <c r="BG1308"/>
      <c r="BH1308"/>
      <c r="BI1308"/>
      <c r="BJ1308"/>
      <c r="BK1308"/>
      <c r="BL1308"/>
      <c r="BM1308"/>
    </row>
    <row r="1309" spans="1:65" s="489" customFormat="1" ht="15.75" customHeight="1" x14ac:dyDescent="0.2">
      <c r="A1309" s="279" t="s">
        <v>133</v>
      </c>
      <c r="B1309" s="14">
        <v>44026</v>
      </c>
      <c r="C1309" s="14">
        <v>44028</v>
      </c>
      <c r="D1309" s="13" t="s">
        <v>124</v>
      </c>
      <c r="E1309" s="324" t="s">
        <v>125</v>
      </c>
      <c r="F1309" s="13" t="s">
        <v>140</v>
      </c>
      <c r="G1309" s="13" t="s">
        <v>126</v>
      </c>
      <c r="H1309" s="372">
        <v>1000</v>
      </c>
      <c r="I1309" s="15"/>
      <c r="J1309" s="15"/>
      <c r="K1309" s="15"/>
      <c r="L1309" s="15"/>
      <c r="M1309" s="15"/>
      <c r="N1309" s="15"/>
      <c r="O1309" s="15"/>
      <c r="P1309" s="15"/>
      <c r="Q1309" s="15"/>
      <c r="R1309" s="15"/>
      <c r="S1309" s="15"/>
      <c r="T1309" s="15"/>
      <c r="U1309" s="15"/>
      <c r="V1309" s="15"/>
      <c r="W1309" s="15"/>
      <c r="X1309" s="15"/>
      <c r="Y1309" s="15"/>
      <c r="Z1309" s="15"/>
      <c r="AA1309" s="15"/>
      <c r="AB1309" s="16" t="e">
        <f>100/(SUM(I1309:Z1309))</f>
        <v>#DIV/0!</v>
      </c>
      <c r="AC1309" s="259">
        <f>SUM(I1309:AA1309)</f>
        <v>0</v>
      </c>
      <c r="AD1309" s="15"/>
      <c r="AE1309" s="15"/>
      <c r="AF1309" s="15"/>
      <c r="AG1309" s="17" t="s">
        <v>127</v>
      </c>
      <c r="AH1309" s="18"/>
      <c r="AI1309" s="18" t="s">
        <v>1162</v>
      </c>
      <c r="AJ1309" s="18" t="s">
        <v>1163</v>
      </c>
      <c r="AK1309" s="13"/>
      <c r="AL1309" s="17">
        <f>(B1309-DATE(1970,1,1))*86400</f>
        <v>1594684800</v>
      </c>
      <c r="AM1309" s="17">
        <f>(C1309-DATE(1970,1,1))*86400</f>
        <v>1594857600</v>
      </c>
      <c r="AN1309" s="17">
        <f>AVERAGE(AL1309:AM1309)</f>
        <v>1594771200</v>
      </c>
      <c r="AO1309"/>
      <c r="AP1309"/>
      <c r="AQ1309"/>
      <c r="AR1309"/>
      <c r="AS1309"/>
      <c r="AT1309"/>
      <c r="AU1309"/>
      <c r="AV1309"/>
      <c r="AW1309"/>
      <c r="AX1309"/>
      <c r="AY1309"/>
      <c r="AZ1309"/>
      <c r="BA1309"/>
      <c r="BB1309"/>
      <c r="BC1309"/>
      <c r="BD1309"/>
      <c r="BE1309"/>
      <c r="BF1309"/>
      <c r="BG1309"/>
      <c r="BH1309"/>
      <c r="BI1309"/>
      <c r="BJ1309"/>
      <c r="BK1309"/>
      <c r="BL1309"/>
      <c r="BM1309"/>
    </row>
    <row r="1310" spans="1:65" s="489" customFormat="1" ht="15.75" customHeight="1" x14ac:dyDescent="0.2">
      <c r="A1310" s="279" t="s">
        <v>123</v>
      </c>
      <c r="B1310" s="14">
        <v>44026</v>
      </c>
      <c r="C1310" s="14">
        <v>44028</v>
      </c>
      <c r="D1310" s="13" t="s">
        <v>124</v>
      </c>
      <c r="E1310" s="324" t="s">
        <v>125</v>
      </c>
      <c r="F1310" s="13" t="s">
        <v>140</v>
      </c>
      <c r="G1310" s="13" t="s">
        <v>126</v>
      </c>
      <c r="H1310" s="372">
        <v>1000</v>
      </c>
      <c r="I1310" s="15"/>
      <c r="J1310" s="15"/>
      <c r="K1310" s="15"/>
      <c r="L1310" s="15"/>
      <c r="M1310" s="15"/>
      <c r="N1310" s="15"/>
      <c r="O1310" s="15"/>
      <c r="P1310" s="15"/>
      <c r="Q1310" s="15"/>
      <c r="R1310" s="15"/>
      <c r="S1310" s="15"/>
      <c r="T1310" s="15"/>
      <c r="U1310" s="15"/>
      <c r="V1310" s="15"/>
      <c r="W1310" s="15"/>
      <c r="X1310" s="15"/>
      <c r="Y1310" s="15"/>
      <c r="Z1310" s="15"/>
      <c r="AA1310" s="15"/>
      <c r="AB1310" s="16" t="e">
        <f>100/(SUM(I1310:Z1310))</f>
        <v>#DIV/0!</v>
      </c>
      <c r="AC1310" s="259">
        <f>SUM(I1310:AA1310)</f>
        <v>0</v>
      </c>
      <c r="AD1310" s="15"/>
      <c r="AE1310" s="15"/>
      <c r="AF1310" s="15"/>
      <c r="AG1310" s="17" t="s">
        <v>127</v>
      </c>
      <c r="AH1310" s="18"/>
      <c r="AI1310" s="18" t="s">
        <v>1162</v>
      </c>
      <c r="AJ1310" s="18" t="s">
        <v>1163</v>
      </c>
      <c r="AK1310" s="13" t="s">
        <v>1049</v>
      </c>
      <c r="AL1310" s="17">
        <f>(B1310-DATE(1970,1,1))*86400</f>
        <v>1594684800</v>
      </c>
      <c r="AM1310" s="17">
        <f>(C1310-DATE(1970,1,1))*86400</f>
        <v>1594857600</v>
      </c>
      <c r="AN1310" s="17">
        <f>AVERAGE(AL1310:AM1310)</f>
        <v>1594771200</v>
      </c>
      <c r="AO1310"/>
      <c r="AP1310"/>
      <c r="AQ1310"/>
      <c r="AR1310"/>
      <c r="AS1310"/>
      <c r="AT1310"/>
      <c r="AU1310"/>
      <c r="AV1310"/>
      <c r="AW1310"/>
      <c r="AX1310"/>
      <c r="AY1310"/>
      <c r="AZ1310"/>
      <c r="BA1310"/>
      <c r="BB1310"/>
      <c r="BC1310"/>
      <c r="BD1310"/>
      <c r="BE1310"/>
      <c r="BF1310"/>
      <c r="BG1310"/>
      <c r="BH1310"/>
      <c r="BI1310"/>
      <c r="BJ1310"/>
      <c r="BK1310"/>
      <c r="BL1310"/>
      <c r="BM1310"/>
    </row>
    <row r="1311" spans="1:65" ht="15.75" customHeight="1" x14ac:dyDescent="0.2">
      <c r="A1311" s="286" t="s">
        <v>133</v>
      </c>
      <c r="B1311" s="41">
        <v>44025</v>
      </c>
      <c r="C1311" s="41">
        <v>44027</v>
      </c>
      <c r="D1311" s="40" t="s">
        <v>148</v>
      </c>
      <c r="E1311" s="325" t="s">
        <v>125</v>
      </c>
      <c r="F1311" s="40"/>
      <c r="G1311" s="40" t="s">
        <v>126</v>
      </c>
      <c r="H1311" s="325">
        <v>1000</v>
      </c>
      <c r="I1311" s="42">
        <v>35</v>
      </c>
      <c r="J1311" s="42"/>
      <c r="K1311" s="42">
        <v>5</v>
      </c>
      <c r="L1311" s="42">
        <v>2</v>
      </c>
      <c r="M1311" s="42">
        <v>9</v>
      </c>
      <c r="N1311" s="42"/>
      <c r="O1311" s="42"/>
      <c r="P1311" s="42">
        <v>8</v>
      </c>
      <c r="Q1311" s="42"/>
      <c r="R1311" s="43">
        <v>5</v>
      </c>
      <c r="S1311" s="42"/>
      <c r="T1311" s="42"/>
      <c r="U1311" s="42"/>
      <c r="V1311" s="42">
        <v>3</v>
      </c>
      <c r="W1311" s="42"/>
      <c r="X1311" s="42">
        <v>2</v>
      </c>
      <c r="Y1311" s="42"/>
      <c r="Z1311" s="42">
        <v>1</v>
      </c>
      <c r="AA1311" s="42">
        <v>30</v>
      </c>
      <c r="AB1311" s="44">
        <f>100/(SUM(I1311:Z1311))</f>
        <v>1.4285714285714286</v>
      </c>
      <c r="AC1311" s="259">
        <f>SUM(I1311:AA1311)</f>
        <v>100</v>
      </c>
      <c r="AD1311" s="42"/>
      <c r="AE1311" s="42"/>
      <c r="AF1311" s="42"/>
      <c r="AG1311" s="45" t="s">
        <v>127</v>
      </c>
      <c r="AH1311" s="132" t="s">
        <v>1164</v>
      </c>
      <c r="AI1311" s="132" t="s">
        <v>1165</v>
      </c>
      <c r="AJ1311" s="132" t="s">
        <v>1166</v>
      </c>
      <c r="AK1311" s="40" t="s">
        <v>1167</v>
      </c>
      <c r="AL1311" s="45">
        <f>(B1311-DATE(1970,1,1))*86400</f>
        <v>1594598400</v>
      </c>
      <c r="AM1311" s="45">
        <f>(C1311-DATE(1970,1,1))*86400</f>
        <v>1594771200</v>
      </c>
      <c r="AN1311" s="45">
        <f>AVERAGE(AL1311:AM1311)</f>
        <v>1594684800</v>
      </c>
    </row>
    <row r="1312" spans="1:65" ht="15.75" customHeight="1" x14ac:dyDescent="0.2">
      <c r="A1312" s="286" t="s">
        <v>123</v>
      </c>
      <c r="B1312" s="41">
        <v>44025</v>
      </c>
      <c r="C1312" s="41">
        <v>44027</v>
      </c>
      <c r="D1312" s="40" t="s">
        <v>148</v>
      </c>
      <c r="E1312" s="325" t="s">
        <v>125</v>
      </c>
      <c r="F1312" s="40"/>
      <c r="G1312" s="40" t="s">
        <v>126</v>
      </c>
      <c r="H1312" s="325">
        <v>1000</v>
      </c>
      <c r="I1312" s="42">
        <v>52</v>
      </c>
      <c r="J1312" s="42"/>
      <c r="K1312" s="42">
        <v>7</v>
      </c>
      <c r="L1312" s="42">
        <v>3</v>
      </c>
      <c r="M1312" s="42">
        <v>15</v>
      </c>
      <c r="N1312" s="42"/>
      <c r="O1312" s="42"/>
      <c r="P1312" s="42">
        <v>11</v>
      </c>
      <c r="Q1312" s="42"/>
      <c r="R1312" s="43">
        <v>6</v>
      </c>
      <c r="S1312" s="42"/>
      <c r="T1312" s="42"/>
      <c r="U1312" s="42"/>
      <c r="V1312" s="42">
        <v>3</v>
      </c>
      <c r="W1312" s="42"/>
      <c r="X1312" s="42">
        <v>3</v>
      </c>
      <c r="Y1312" s="42"/>
      <c r="Z1312" s="42">
        <v>0</v>
      </c>
      <c r="AA1312" s="42">
        <v>0</v>
      </c>
      <c r="AB1312" s="44">
        <f>100/(SUM(I1312:Z1312))</f>
        <v>1</v>
      </c>
      <c r="AC1312" s="259">
        <f>SUM(I1312:AA1312)</f>
        <v>100</v>
      </c>
      <c r="AD1312" s="42"/>
      <c r="AE1312" s="42"/>
      <c r="AF1312" s="42"/>
      <c r="AG1312" s="45" t="s">
        <v>127</v>
      </c>
      <c r="AH1312" s="132" t="s">
        <v>1164</v>
      </c>
      <c r="AI1312" s="132" t="s">
        <v>1165</v>
      </c>
      <c r="AJ1312" s="132" t="s">
        <v>1166</v>
      </c>
      <c r="AK1312" s="40" t="s">
        <v>1107</v>
      </c>
      <c r="AL1312" s="45">
        <f>(B1312-DATE(1970,1,1))*86400</f>
        <v>1594598400</v>
      </c>
      <c r="AM1312" s="45">
        <f>(C1312-DATE(1970,1,1))*86400</f>
        <v>1594771200</v>
      </c>
      <c r="AN1312" s="45">
        <f>AVERAGE(AL1312:AM1312)</f>
        <v>1594684800</v>
      </c>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c r="BL1312" s="6"/>
      <c r="BM1312" s="6"/>
    </row>
    <row r="1313" spans="1:40" ht="15.75" customHeight="1" x14ac:dyDescent="0.2">
      <c r="A1313" s="279" t="s">
        <v>133</v>
      </c>
      <c r="B1313" s="14">
        <v>44012</v>
      </c>
      <c r="C1313" s="14">
        <v>44014</v>
      </c>
      <c r="D1313" s="13" t="s">
        <v>124</v>
      </c>
      <c r="E1313" s="324" t="s">
        <v>125</v>
      </c>
      <c r="F1313" s="13"/>
      <c r="G1313" s="13" t="s">
        <v>126</v>
      </c>
      <c r="H1313" s="372">
        <v>1000</v>
      </c>
      <c r="I1313" s="15">
        <v>40</v>
      </c>
      <c r="J1313" s="15"/>
      <c r="K1313" s="15">
        <v>7</v>
      </c>
      <c r="L1313" s="15">
        <v>2</v>
      </c>
      <c r="M1313" s="15">
        <v>7</v>
      </c>
      <c r="N1313" s="15"/>
      <c r="O1313" s="15"/>
      <c r="P1313" s="15">
        <v>11</v>
      </c>
      <c r="Q1313" s="15"/>
      <c r="R1313" s="15">
        <v>4</v>
      </c>
      <c r="S1313" s="15"/>
      <c r="T1313" s="15"/>
      <c r="U1313" s="15"/>
      <c r="V1313" s="15">
        <v>3</v>
      </c>
      <c r="W1313" s="15"/>
      <c r="X1313" s="15">
        <v>1</v>
      </c>
      <c r="Y1313" s="15"/>
      <c r="Z1313" s="15"/>
      <c r="AA1313" s="15">
        <v>25</v>
      </c>
      <c r="AB1313" s="16">
        <f>100/(SUM(I1313:Z1313))</f>
        <v>1.3333333333333333</v>
      </c>
      <c r="AC1313" s="259">
        <f>SUM(I1313:AA1313)</f>
        <v>100</v>
      </c>
      <c r="AD1313" s="15"/>
      <c r="AE1313" s="15"/>
      <c r="AF1313" s="15"/>
      <c r="AG1313" s="17" t="s">
        <v>127</v>
      </c>
      <c r="AH1313" s="18" t="s">
        <v>1171</v>
      </c>
      <c r="AI1313" s="18"/>
      <c r="AJ1313" s="18" t="s">
        <v>1169</v>
      </c>
      <c r="AK1313" s="13" t="s">
        <v>1172</v>
      </c>
      <c r="AL1313" s="17">
        <f>(B1313-DATE(1970,1,1))*86400</f>
        <v>1593475200</v>
      </c>
      <c r="AM1313" s="17">
        <f>(C1313-DATE(1970,1,1))*86400</f>
        <v>1593648000</v>
      </c>
      <c r="AN1313" s="17">
        <f>AVERAGE(AL1313:AM1313)</f>
        <v>1593561600</v>
      </c>
    </row>
    <row r="1314" spans="1:40" ht="15.75" customHeight="1" x14ac:dyDescent="0.2">
      <c r="A1314" s="279" t="s">
        <v>123</v>
      </c>
      <c r="B1314" s="14">
        <v>44012</v>
      </c>
      <c r="C1314" s="14">
        <v>44014</v>
      </c>
      <c r="D1314" s="13" t="s">
        <v>124</v>
      </c>
      <c r="E1314" s="324" t="s">
        <v>125</v>
      </c>
      <c r="F1314" s="13" t="s">
        <v>2376</v>
      </c>
      <c r="G1314" s="13" t="s">
        <v>126</v>
      </c>
      <c r="H1314" s="372">
        <v>1000</v>
      </c>
      <c r="I1314" s="15">
        <v>56</v>
      </c>
      <c r="J1314" s="15"/>
      <c r="K1314" s="15"/>
      <c r="L1314" s="15"/>
      <c r="M1314" s="15"/>
      <c r="N1314" s="15"/>
      <c r="O1314" s="15"/>
      <c r="P1314" s="15"/>
      <c r="Q1314" s="15"/>
      <c r="R1314" s="15"/>
      <c r="S1314" s="15"/>
      <c r="T1314" s="15"/>
      <c r="U1314" s="15">
        <v>41</v>
      </c>
      <c r="V1314" s="15"/>
      <c r="W1314" s="15"/>
      <c r="X1314" s="15"/>
      <c r="Y1314" s="15"/>
      <c r="Z1314" s="15"/>
      <c r="AA1314" s="15">
        <v>3</v>
      </c>
      <c r="AB1314" s="16">
        <f>100/(SUM(I1314:Z1314))</f>
        <v>1.0309278350515463</v>
      </c>
      <c r="AC1314" s="259">
        <f>SUM(I1314:AA1314)</f>
        <v>100</v>
      </c>
      <c r="AD1314" s="15"/>
      <c r="AE1314" s="15"/>
      <c r="AF1314" s="15"/>
      <c r="AG1314" s="17" t="s">
        <v>127</v>
      </c>
      <c r="AH1314" s="18" t="s">
        <v>1168</v>
      </c>
      <c r="AI1314" s="18"/>
      <c r="AJ1314" s="18" t="s">
        <v>1169</v>
      </c>
      <c r="AK1314" s="13" t="s">
        <v>1170</v>
      </c>
      <c r="AL1314" s="17">
        <f>(B1314-DATE(1970,1,1))*86400</f>
        <v>1593475200</v>
      </c>
      <c r="AM1314" s="17">
        <f>(C1314-DATE(1970,1,1))*86400</f>
        <v>1593648000</v>
      </c>
      <c r="AN1314" s="17">
        <f>AVERAGE(AL1314:AM1314)</f>
        <v>1593561600</v>
      </c>
    </row>
    <row r="1315" spans="1:40" ht="15.75" customHeight="1" x14ac:dyDescent="0.2">
      <c r="A1315" s="279" t="s">
        <v>123</v>
      </c>
      <c r="B1315" s="14">
        <v>44012</v>
      </c>
      <c r="C1315" s="14">
        <v>44014</v>
      </c>
      <c r="D1315" s="13" t="s">
        <v>124</v>
      </c>
      <c r="E1315" s="324" t="s">
        <v>125</v>
      </c>
      <c r="F1315" s="13"/>
      <c r="G1315" s="13" t="s">
        <v>126</v>
      </c>
      <c r="H1315" s="372">
        <v>1000</v>
      </c>
      <c r="I1315" s="15">
        <v>51</v>
      </c>
      <c r="J1315" s="15"/>
      <c r="K1315" s="15">
        <v>9</v>
      </c>
      <c r="L1315" s="15">
        <v>3</v>
      </c>
      <c r="M1315" s="15">
        <v>11</v>
      </c>
      <c r="N1315" s="15"/>
      <c r="O1315" s="15"/>
      <c r="P1315" s="15">
        <v>16</v>
      </c>
      <c r="Q1315" s="15"/>
      <c r="R1315" s="15">
        <v>4</v>
      </c>
      <c r="S1315" s="15"/>
      <c r="T1315" s="15"/>
      <c r="U1315" s="15"/>
      <c r="V1315" s="15">
        <v>4</v>
      </c>
      <c r="W1315" s="15"/>
      <c r="X1315" s="15">
        <v>1</v>
      </c>
      <c r="Y1315" s="15"/>
      <c r="Z1315" s="15"/>
      <c r="AA1315" s="15">
        <v>1</v>
      </c>
      <c r="AB1315" s="16">
        <f>100/(SUM(I1315:Z1315))</f>
        <v>1.0101010101010102</v>
      </c>
      <c r="AC1315" s="259">
        <f>SUM(I1315:AA1315)</f>
        <v>100</v>
      </c>
      <c r="AD1315" s="15"/>
      <c r="AE1315" s="15"/>
      <c r="AF1315" s="15"/>
      <c r="AG1315" s="17"/>
      <c r="AH1315" s="18" t="s">
        <v>1171</v>
      </c>
      <c r="AI1315" s="18"/>
      <c r="AJ1315" s="18" t="s">
        <v>1169</v>
      </c>
      <c r="AK1315" s="13" t="s">
        <v>1049</v>
      </c>
      <c r="AL1315" s="17">
        <f>(B1315-DATE(1970,1,1))*86400</f>
        <v>1593475200</v>
      </c>
      <c r="AM1315" s="17">
        <f>(C1315-DATE(1970,1,1))*86400</f>
        <v>1593648000</v>
      </c>
      <c r="AN1315" s="17">
        <f>AVERAGE(AL1315:AM1315)</f>
        <v>1593561600</v>
      </c>
    </row>
    <row r="1316" spans="1:40" ht="15.75" customHeight="1" x14ac:dyDescent="0.2">
      <c r="A1316" s="284" t="s">
        <v>133</v>
      </c>
      <c r="B1316" s="20">
        <v>44009</v>
      </c>
      <c r="C1316" s="20">
        <v>44012</v>
      </c>
      <c r="D1316" s="19" t="s">
        <v>134</v>
      </c>
      <c r="E1316" s="332" t="s">
        <v>125</v>
      </c>
      <c r="F1316" s="19"/>
      <c r="G1316" s="19" t="s">
        <v>135</v>
      </c>
      <c r="H1316" s="332">
        <v>2000</v>
      </c>
      <c r="I1316" s="21">
        <v>34</v>
      </c>
      <c r="J1316" s="21"/>
      <c r="K1316" s="21">
        <v>5</v>
      </c>
      <c r="L1316" s="21">
        <v>2</v>
      </c>
      <c r="M1316" s="21">
        <v>12</v>
      </c>
      <c r="N1316" s="21"/>
      <c r="O1316" s="21"/>
      <c r="P1316" s="21">
        <v>7</v>
      </c>
      <c r="Q1316" s="21"/>
      <c r="R1316" s="22">
        <v>6</v>
      </c>
      <c r="S1316" s="21"/>
      <c r="T1316" s="21"/>
      <c r="U1316" s="21"/>
      <c r="V1316" s="21">
        <v>2</v>
      </c>
      <c r="W1316" s="21"/>
      <c r="X1316" s="21">
        <v>1</v>
      </c>
      <c r="Y1316" s="21"/>
      <c r="Z1316" s="21">
        <v>2</v>
      </c>
      <c r="AA1316" s="21">
        <v>29</v>
      </c>
      <c r="AB1316" s="23">
        <f>100/(SUM(I1316:Z1316))</f>
        <v>1.408450704225352</v>
      </c>
      <c r="AC1316" s="259">
        <f>SUM(I1316:AA1316)</f>
        <v>100</v>
      </c>
      <c r="AD1316" s="21"/>
      <c r="AE1316" s="21"/>
      <c r="AF1316" s="21"/>
      <c r="AG1316" s="25"/>
      <c r="AH1316" s="83" t="s">
        <v>1173</v>
      </c>
      <c r="AI1316" s="83" t="s">
        <v>1174</v>
      </c>
      <c r="AJ1316" s="83"/>
      <c r="AK1316" s="19" t="s">
        <v>1134</v>
      </c>
      <c r="AL1316" s="25">
        <f>(B1316-DATE(1970,1,1))*86400</f>
        <v>1593216000</v>
      </c>
      <c r="AM1316" s="25">
        <f>(C1316-DATE(1970,1,1))*86400</f>
        <v>1593475200</v>
      </c>
      <c r="AN1316" s="25">
        <f>AVERAGE(AL1316:AM1316)</f>
        <v>1593345600</v>
      </c>
    </row>
    <row r="1317" spans="1:40" ht="15.75" customHeight="1" x14ac:dyDescent="0.2">
      <c r="A1317" s="284" t="s">
        <v>123</v>
      </c>
      <c r="B1317" s="20">
        <v>44009</v>
      </c>
      <c r="C1317" s="20">
        <v>44012</v>
      </c>
      <c r="D1317" s="19" t="s">
        <v>134</v>
      </c>
      <c r="E1317" s="332" t="s">
        <v>125</v>
      </c>
      <c r="F1317" s="19"/>
      <c r="G1317" s="19" t="s">
        <v>135</v>
      </c>
      <c r="H1317" s="332">
        <v>2000</v>
      </c>
      <c r="I1317" s="21">
        <v>50</v>
      </c>
      <c r="J1317" s="21"/>
      <c r="K1317" s="21">
        <v>6</v>
      </c>
      <c r="L1317" s="21">
        <v>2</v>
      </c>
      <c r="M1317" s="21">
        <v>18</v>
      </c>
      <c r="N1317" s="21"/>
      <c r="O1317" s="21"/>
      <c r="P1317" s="21">
        <v>10</v>
      </c>
      <c r="Q1317" s="21"/>
      <c r="R1317" s="22">
        <v>8</v>
      </c>
      <c r="S1317" s="21"/>
      <c r="T1317" s="21"/>
      <c r="U1317" s="21"/>
      <c r="V1317" s="21">
        <v>2</v>
      </c>
      <c r="W1317" s="21"/>
      <c r="X1317" s="21">
        <v>2</v>
      </c>
      <c r="Y1317" s="21"/>
      <c r="Z1317" s="21">
        <v>2</v>
      </c>
      <c r="AA1317" s="21">
        <v>0</v>
      </c>
      <c r="AB1317" s="23">
        <f>100/(SUM(I1317:Z1317))</f>
        <v>1</v>
      </c>
      <c r="AC1317" s="259">
        <f>SUM(I1317:AA1317)</f>
        <v>100</v>
      </c>
      <c r="AD1317" s="21"/>
      <c r="AE1317" s="21"/>
      <c r="AF1317" s="21"/>
      <c r="AG1317" s="25"/>
      <c r="AH1317" s="83" t="s">
        <v>1173</v>
      </c>
      <c r="AI1317" s="83" t="s">
        <v>1174</v>
      </c>
      <c r="AJ1317" s="83"/>
      <c r="AK1317" s="19" t="s">
        <v>1018</v>
      </c>
      <c r="AL1317" s="25">
        <f>(B1317-DATE(1970,1,1))*86400</f>
        <v>1593216000</v>
      </c>
      <c r="AM1317" s="25">
        <f>(C1317-DATE(1970,1,1))*86400</f>
        <v>1593475200</v>
      </c>
      <c r="AN1317" s="25">
        <f>AVERAGE(AL1317:AM1317)</f>
        <v>1593345600</v>
      </c>
    </row>
    <row r="1318" spans="1:40" ht="15.75" customHeight="1" x14ac:dyDescent="0.2">
      <c r="A1318" s="279" t="s">
        <v>133</v>
      </c>
      <c r="B1318" s="14">
        <v>44006</v>
      </c>
      <c r="C1318" s="14">
        <v>44008</v>
      </c>
      <c r="D1318" s="13" t="s">
        <v>124</v>
      </c>
      <c r="E1318" s="324" t="s">
        <v>125</v>
      </c>
      <c r="F1318" s="13" t="s">
        <v>140</v>
      </c>
      <c r="G1318" s="13" t="s">
        <v>126</v>
      </c>
      <c r="H1318" s="372">
        <v>1000</v>
      </c>
      <c r="I1318" s="15"/>
      <c r="J1318" s="15"/>
      <c r="K1318" s="15"/>
      <c r="L1318" s="15"/>
      <c r="M1318" s="15"/>
      <c r="N1318" s="15"/>
      <c r="O1318" s="15"/>
      <c r="P1318" s="15"/>
      <c r="Q1318" s="15"/>
      <c r="R1318" s="15"/>
      <c r="S1318" s="15"/>
      <c r="T1318" s="15"/>
      <c r="U1318" s="15"/>
      <c r="V1318" s="15"/>
      <c r="W1318" s="15"/>
      <c r="X1318" s="15"/>
      <c r="Y1318" s="15"/>
      <c r="Z1318" s="15"/>
      <c r="AA1318" s="15"/>
      <c r="AB1318" s="16" t="e">
        <f>100/(SUM(I1318:Z1318))</f>
        <v>#DIV/0!</v>
      </c>
      <c r="AC1318" s="259">
        <f>SUM(I1318:AA1318)</f>
        <v>0</v>
      </c>
      <c r="AD1318" s="15"/>
      <c r="AE1318" s="15"/>
      <c r="AF1318" s="15"/>
      <c r="AG1318" s="17"/>
      <c r="AH1318" s="18"/>
      <c r="AI1318" s="18"/>
      <c r="AJ1318" s="18" t="s">
        <v>1175</v>
      </c>
      <c r="AK1318" s="13"/>
      <c r="AL1318" s="17">
        <f>(B1318-DATE(1970,1,1))*86400</f>
        <v>1592956800</v>
      </c>
      <c r="AM1318" s="17">
        <f>(C1318-DATE(1970,1,1))*86400</f>
        <v>1593129600</v>
      </c>
      <c r="AN1318" s="17">
        <f>AVERAGE(AL1318:AM1318)</f>
        <v>1593043200</v>
      </c>
    </row>
    <row r="1319" spans="1:40" ht="15.75" customHeight="1" x14ac:dyDescent="0.2">
      <c r="A1319" s="279" t="s">
        <v>123</v>
      </c>
      <c r="B1319" s="14">
        <v>44006</v>
      </c>
      <c r="C1319" s="14">
        <v>44008</v>
      </c>
      <c r="D1319" s="13" t="s">
        <v>124</v>
      </c>
      <c r="E1319" s="324" t="s">
        <v>125</v>
      </c>
      <c r="F1319" s="13" t="s">
        <v>140</v>
      </c>
      <c r="G1319" s="13" t="s">
        <v>126</v>
      </c>
      <c r="H1319" s="372">
        <v>1000</v>
      </c>
      <c r="I1319" s="15"/>
      <c r="J1319" s="15"/>
      <c r="K1319" s="15"/>
      <c r="L1319" s="15"/>
      <c r="M1319" s="15"/>
      <c r="N1319" s="15"/>
      <c r="O1319" s="15"/>
      <c r="P1319" s="15"/>
      <c r="Q1319" s="15"/>
      <c r="R1319" s="15"/>
      <c r="S1319" s="15"/>
      <c r="T1319" s="15"/>
      <c r="U1319" s="15"/>
      <c r="V1319" s="15"/>
      <c r="W1319" s="15"/>
      <c r="X1319" s="15"/>
      <c r="Y1319" s="15"/>
      <c r="Z1319" s="15"/>
      <c r="AA1319" s="15"/>
      <c r="AB1319" s="16" t="e">
        <f>100/(SUM(I1319:Z1319))</f>
        <v>#DIV/0!</v>
      </c>
      <c r="AC1319" s="259">
        <f>SUM(I1319:AA1319)</f>
        <v>0</v>
      </c>
      <c r="AD1319" s="15"/>
      <c r="AE1319" s="15"/>
      <c r="AF1319" s="15"/>
      <c r="AG1319" s="17"/>
      <c r="AH1319" s="18"/>
      <c r="AI1319" s="18"/>
      <c r="AJ1319" s="18"/>
      <c r="AK1319" s="13"/>
      <c r="AL1319" s="17">
        <f>(B1319-DATE(1970,1,1))*86400</f>
        <v>1592956800</v>
      </c>
      <c r="AM1319" s="17">
        <f>(C1319-DATE(1970,1,1))*86400</f>
        <v>1593129600</v>
      </c>
      <c r="AN1319" s="17">
        <f>AVERAGE(AL1319:AM1319)</f>
        <v>1593043200</v>
      </c>
    </row>
    <row r="1320" spans="1:40" ht="15.75" customHeight="1" x14ac:dyDescent="0.2">
      <c r="A1320" s="281" t="s">
        <v>133</v>
      </c>
      <c r="B1320" s="54">
        <v>44004</v>
      </c>
      <c r="C1320" s="54">
        <v>44007</v>
      </c>
      <c r="D1320" s="53" t="s">
        <v>154</v>
      </c>
      <c r="E1320" s="323" t="s">
        <v>125</v>
      </c>
      <c r="F1320" s="53"/>
      <c r="G1320" s="53" t="s">
        <v>126</v>
      </c>
      <c r="H1320" s="378">
        <v>1004</v>
      </c>
      <c r="I1320" s="55">
        <v>31</v>
      </c>
      <c r="J1320" s="55"/>
      <c r="K1320" s="55">
        <v>5</v>
      </c>
      <c r="L1320" s="55">
        <v>1</v>
      </c>
      <c r="M1320" s="55">
        <v>8</v>
      </c>
      <c r="N1320" s="55"/>
      <c r="O1320" s="55"/>
      <c r="P1320" s="55">
        <v>6</v>
      </c>
      <c r="Q1320" s="55"/>
      <c r="R1320" s="56">
        <v>7</v>
      </c>
      <c r="S1320" s="55"/>
      <c r="T1320" s="55"/>
      <c r="U1320" s="56"/>
      <c r="V1320" s="55">
        <v>1</v>
      </c>
      <c r="W1320" s="55"/>
      <c r="X1320" s="55">
        <v>1</v>
      </c>
      <c r="Y1320" s="55"/>
      <c r="Z1320" s="55">
        <v>0</v>
      </c>
      <c r="AA1320" s="55">
        <v>40</v>
      </c>
      <c r="AB1320" s="57">
        <f>100/(SUM(I1320:Z1320))</f>
        <v>1.6666666666666667</v>
      </c>
      <c r="AC1320" s="259">
        <f>SUM(I1320:AA1320)</f>
        <v>100</v>
      </c>
      <c r="AD1320" s="55"/>
      <c r="AE1320" s="55"/>
      <c r="AF1320" s="55"/>
      <c r="AG1320" s="58" t="s">
        <v>155</v>
      </c>
      <c r="AH1320" s="59" t="s">
        <v>1123</v>
      </c>
      <c r="AI1320" s="59" t="s">
        <v>1176</v>
      </c>
      <c r="AJ1320" s="59" t="s">
        <v>1177</v>
      </c>
      <c r="AK1320" s="53" t="s">
        <v>1178</v>
      </c>
      <c r="AL1320" s="58">
        <f>(B1320-DATE(1970,1,1))*86400</f>
        <v>1592784000</v>
      </c>
      <c r="AM1320" s="58">
        <f>(C1320-DATE(1970,1,1))*86400</f>
        <v>1593043200</v>
      </c>
      <c r="AN1320" s="58">
        <f>AVERAGE(AL1320:AM1320)</f>
        <v>1592913600</v>
      </c>
    </row>
    <row r="1321" spans="1:40" ht="15.75" customHeight="1" x14ac:dyDescent="0.2">
      <c r="A1321" s="281" t="s">
        <v>123</v>
      </c>
      <c r="B1321" s="54">
        <v>44004</v>
      </c>
      <c r="C1321" s="54">
        <v>44007</v>
      </c>
      <c r="D1321" s="53" t="s">
        <v>154</v>
      </c>
      <c r="E1321" s="323" t="s">
        <v>125</v>
      </c>
      <c r="F1321" s="53"/>
      <c r="G1321" s="53" t="s">
        <v>126</v>
      </c>
      <c r="H1321" s="378">
        <v>1004</v>
      </c>
      <c r="I1321" s="55">
        <v>40</v>
      </c>
      <c r="J1321" s="55"/>
      <c r="K1321" s="55">
        <v>6</v>
      </c>
      <c r="L1321" s="55">
        <v>1</v>
      </c>
      <c r="M1321" s="55">
        <v>10</v>
      </c>
      <c r="N1321" s="55"/>
      <c r="O1321" s="55"/>
      <c r="P1321" s="55">
        <v>8</v>
      </c>
      <c r="Q1321" s="55"/>
      <c r="R1321" s="56">
        <v>9</v>
      </c>
      <c r="S1321" s="55"/>
      <c r="T1321" s="55"/>
      <c r="U1321" s="56"/>
      <c r="V1321" s="55">
        <v>2</v>
      </c>
      <c r="W1321" s="55"/>
      <c r="X1321" s="55">
        <v>1</v>
      </c>
      <c r="Y1321" s="55"/>
      <c r="Z1321" s="55">
        <v>1</v>
      </c>
      <c r="AA1321" s="55">
        <v>22</v>
      </c>
      <c r="AB1321" s="57">
        <f>100/(SUM(I1321:Z1321))</f>
        <v>1.2820512820512822</v>
      </c>
      <c r="AC1321" s="259">
        <f>SUM(I1321:AA1321)</f>
        <v>100</v>
      </c>
      <c r="AD1321" s="55"/>
      <c r="AE1321" s="55"/>
      <c r="AF1321" s="55"/>
      <c r="AG1321" s="58" t="s">
        <v>155</v>
      </c>
      <c r="AH1321" s="53" t="s">
        <v>1144</v>
      </c>
      <c r="AI1321" s="59" t="s">
        <v>1176</v>
      </c>
      <c r="AJ1321" s="59" t="s">
        <v>1177</v>
      </c>
      <c r="AK1321" s="53"/>
      <c r="AL1321" s="58">
        <f>(B1321-DATE(1970,1,1))*86400</f>
        <v>1592784000</v>
      </c>
      <c r="AM1321" s="58">
        <f>(C1321-DATE(1970,1,1))*86400</f>
        <v>1593043200</v>
      </c>
      <c r="AN1321" s="58">
        <f>AVERAGE(AL1321:AM1321)</f>
        <v>1592913600</v>
      </c>
    </row>
    <row r="1322" spans="1:40" ht="15.75" customHeight="1" x14ac:dyDescent="0.2">
      <c r="A1322" s="281" t="s">
        <v>123</v>
      </c>
      <c r="B1322" s="54">
        <v>44004</v>
      </c>
      <c r="C1322" s="54">
        <v>44007</v>
      </c>
      <c r="D1322" s="53" t="s">
        <v>154</v>
      </c>
      <c r="E1322" s="323" t="s">
        <v>125</v>
      </c>
      <c r="F1322" s="53"/>
      <c r="G1322" s="53" t="s">
        <v>126</v>
      </c>
      <c r="H1322" s="378">
        <v>1004</v>
      </c>
      <c r="I1322" s="55">
        <v>52</v>
      </c>
      <c r="J1322" s="55"/>
      <c r="K1322" s="55">
        <v>8</v>
      </c>
      <c r="L1322" s="55">
        <v>2</v>
      </c>
      <c r="M1322" s="55">
        <v>13</v>
      </c>
      <c r="N1322" s="55"/>
      <c r="O1322" s="55"/>
      <c r="P1322" s="55">
        <v>10</v>
      </c>
      <c r="Q1322" s="55"/>
      <c r="R1322" s="56">
        <v>10</v>
      </c>
      <c r="S1322" s="55"/>
      <c r="T1322" s="55"/>
      <c r="U1322" s="56"/>
      <c r="V1322" s="55">
        <v>2</v>
      </c>
      <c r="W1322" s="55"/>
      <c r="X1322" s="55">
        <v>2</v>
      </c>
      <c r="Y1322" s="55"/>
      <c r="Z1322" s="55">
        <v>1</v>
      </c>
      <c r="AA1322" s="55">
        <v>0</v>
      </c>
      <c r="AB1322" s="57">
        <f>100/(SUM(I1322:Z1322))</f>
        <v>1</v>
      </c>
      <c r="AC1322" s="259">
        <f>SUM(I1322:AA1322)</f>
        <v>100</v>
      </c>
      <c r="AD1322" s="55"/>
      <c r="AE1322" s="55"/>
      <c r="AF1322" s="55"/>
      <c r="AG1322" s="58" t="s">
        <v>155</v>
      </c>
      <c r="AH1322" s="53" t="s">
        <v>1144</v>
      </c>
      <c r="AI1322" s="59" t="s">
        <v>1176</v>
      </c>
      <c r="AJ1322" s="59" t="s">
        <v>1177</v>
      </c>
      <c r="AK1322" s="53"/>
      <c r="AL1322" s="58">
        <f>(B1322-DATE(1970,1,1))*86400</f>
        <v>1592784000</v>
      </c>
      <c r="AM1322" s="58">
        <f>(C1322-DATE(1970,1,1))*86400</f>
        <v>1593043200</v>
      </c>
      <c r="AN1322" s="58">
        <f>AVERAGE(AL1322:AM1322)</f>
        <v>1592913600</v>
      </c>
    </row>
    <row r="1323" spans="1:40" ht="15.75" customHeight="1" x14ac:dyDescent="0.2">
      <c r="A1323" s="281" t="s">
        <v>133</v>
      </c>
      <c r="B1323" s="54">
        <v>43987</v>
      </c>
      <c r="C1323" s="54">
        <v>43992</v>
      </c>
      <c r="D1323" s="53" t="s">
        <v>154</v>
      </c>
      <c r="E1323" s="323" t="s">
        <v>125</v>
      </c>
      <c r="F1323" s="53" t="s">
        <v>689</v>
      </c>
      <c r="G1323" s="53" t="s">
        <v>126</v>
      </c>
      <c r="H1323" s="378">
        <v>1007</v>
      </c>
      <c r="I1323" s="55">
        <v>31</v>
      </c>
      <c r="J1323" s="55"/>
      <c r="K1323" s="55">
        <v>4</v>
      </c>
      <c r="L1323" s="55">
        <v>1</v>
      </c>
      <c r="M1323" s="55">
        <v>9</v>
      </c>
      <c r="N1323" s="56"/>
      <c r="O1323" s="56"/>
      <c r="P1323" s="55">
        <v>6</v>
      </c>
      <c r="Q1323" s="55"/>
      <c r="R1323" s="55">
        <v>7</v>
      </c>
      <c r="S1323" s="55"/>
      <c r="T1323" s="55"/>
      <c r="U1323" s="55"/>
      <c r="V1323" s="55">
        <v>1</v>
      </c>
      <c r="W1323" s="55"/>
      <c r="X1323" s="55">
        <v>1</v>
      </c>
      <c r="Y1323" s="55"/>
      <c r="Z1323" s="55">
        <v>0</v>
      </c>
      <c r="AA1323" s="55">
        <v>40</v>
      </c>
      <c r="AB1323" s="57">
        <f>100/(SUM(I1323:Z1323))</f>
        <v>1.6666666666666667</v>
      </c>
      <c r="AC1323" s="259">
        <f>SUM(I1323:AA1323)</f>
        <v>100</v>
      </c>
      <c r="AD1323" s="55"/>
      <c r="AE1323" s="55"/>
      <c r="AF1323" s="55"/>
      <c r="AG1323" s="58" t="s">
        <v>155</v>
      </c>
      <c r="AH1323" s="59" t="s">
        <v>1179</v>
      </c>
      <c r="AI1323" s="59"/>
      <c r="AJ1323" s="59"/>
      <c r="AK1323" s="53" t="s">
        <v>1180</v>
      </c>
      <c r="AL1323" s="58">
        <f>(B1323-DATE(1970,1,1))*86400</f>
        <v>1591315200</v>
      </c>
      <c r="AM1323" s="58">
        <f>(C1323-DATE(1970,1,1))*86400</f>
        <v>1591747200</v>
      </c>
      <c r="AN1323" s="58">
        <f>AVERAGE(AL1323:AM1323)</f>
        <v>1591531200</v>
      </c>
    </row>
    <row r="1324" spans="1:40" ht="15.75" customHeight="1" x14ac:dyDescent="0.2">
      <c r="A1324" s="281" t="s">
        <v>123</v>
      </c>
      <c r="B1324" s="54">
        <v>43987</v>
      </c>
      <c r="C1324" s="54">
        <v>43992</v>
      </c>
      <c r="D1324" s="53" t="s">
        <v>154</v>
      </c>
      <c r="E1324" s="323" t="s">
        <v>125</v>
      </c>
      <c r="F1324" s="53" t="s">
        <v>689</v>
      </c>
      <c r="G1324" s="53" t="s">
        <v>126</v>
      </c>
      <c r="H1324" s="378">
        <v>1007</v>
      </c>
      <c r="I1324" s="55">
        <v>41</v>
      </c>
      <c r="J1324" s="55"/>
      <c r="K1324" s="55">
        <v>5</v>
      </c>
      <c r="L1324" s="55">
        <v>1</v>
      </c>
      <c r="M1324" s="55">
        <v>11</v>
      </c>
      <c r="N1324" s="56"/>
      <c r="O1324" s="56"/>
      <c r="P1324" s="55">
        <v>7</v>
      </c>
      <c r="Q1324" s="55"/>
      <c r="R1324" s="55">
        <v>9</v>
      </c>
      <c r="S1324" s="55"/>
      <c r="T1324" s="55"/>
      <c r="U1324" s="55"/>
      <c r="V1324" s="55">
        <v>1</v>
      </c>
      <c r="W1324" s="55"/>
      <c r="X1324" s="55">
        <v>1</v>
      </c>
      <c r="Y1324" s="55"/>
      <c r="Z1324" s="55">
        <v>0</v>
      </c>
      <c r="AA1324" s="55">
        <v>25</v>
      </c>
      <c r="AB1324" s="57">
        <f>100/(SUM(I1324:Z1324))</f>
        <v>1.3157894736842106</v>
      </c>
      <c r="AC1324" s="259">
        <f>SUM(I1324:AA1324)</f>
        <v>101</v>
      </c>
      <c r="AD1324" s="55"/>
      <c r="AE1324" s="55"/>
      <c r="AF1324" s="55"/>
      <c r="AG1324" s="58" t="s">
        <v>155</v>
      </c>
      <c r="AH1324" s="59" t="s">
        <v>1179</v>
      </c>
      <c r="AI1324" s="59"/>
      <c r="AJ1324" s="59"/>
      <c r="AK1324" s="53" t="s">
        <v>1180</v>
      </c>
      <c r="AL1324" s="58">
        <f>(B1324-DATE(1970,1,1))*86400</f>
        <v>1591315200</v>
      </c>
      <c r="AM1324" s="58">
        <f>(C1324-DATE(1970,1,1))*86400</f>
        <v>1591747200</v>
      </c>
      <c r="AN1324" s="58">
        <f>AVERAGE(AL1324:AM1324)</f>
        <v>1591531200</v>
      </c>
    </row>
    <row r="1325" spans="1:40" ht="15.75" customHeight="1" x14ac:dyDescent="0.2">
      <c r="A1325" s="281" t="s">
        <v>123</v>
      </c>
      <c r="B1325" s="54">
        <v>43987</v>
      </c>
      <c r="C1325" s="54">
        <v>43992</v>
      </c>
      <c r="D1325" s="53" t="s">
        <v>154</v>
      </c>
      <c r="E1325" s="323" t="s">
        <v>125</v>
      </c>
      <c r="F1325" s="53" t="s">
        <v>689</v>
      </c>
      <c r="G1325" s="53" t="s">
        <v>126</v>
      </c>
      <c r="H1325" s="378">
        <v>1007</v>
      </c>
      <c r="I1325" s="55">
        <v>51</v>
      </c>
      <c r="J1325" s="55"/>
      <c r="K1325" s="55">
        <v>7</v>
      </c>
      <c r="L1325" s="55">
        <v>2</v>
      </c>
      <c r="M1325" s="55">
        <v>14</v>
      </c>
      <c r="N1325" s="56"/>
      <c r="O1325" s="56"/>
      <c r="P1325" s="55">
        <v>9</v>
      </c>
      <c r="Q1325" s="55"/>
      <c r="R1325" s="55">
        <v>11</v>
      </c>
      <c r="S1325" s="55"/>
      <c r="T1325" s="55"/>
      <c r="U1325" s="55"/>
      <c r="V1325" s="55">
        <v>2</v>
      </c>
      <c r="W1325" s="55"/>
      <c r="X1325" s="55">
        <v>2</v>
      </c>
      <c r="Y1325" s="55"/>
      <c r="Z1325" s="55">
        <v>1</v>
      </c>
      <c r="AA1325" s="55">
        <v>0</v>
      </c>
      <c r="AB1325" s="57">
        <f>100/(SUM(I1325:Z1325))</f>
        <v>1.0101010101010102</v>
      </c>
      <c r="AC1325" s="259">
        <f>SUM(I1325:AA1325)</f>
        <v>99</v>
      </c>
      <c r="AD1325" s="55"/>
      <c r="AE1325" s="55"/>
      <c r="AF1325" s="55"/>
      <c r="AG1325" s="58" t="s">
        <v>155</v>
      </c>
      <c r="AH1325" s="59" t="s">
        <v>1179</v>
      </c>
      <c r="AI1325" s="59"/>
      <c r="AJ1325" s="59"/>
      <c r="AK1325" s="53" t="s">
        <v>1180</v>
      </c>
      <c r="AL1325" s="58">
        <f>(B1325-DATE(1970,1,1))*86400</f>
        <v>1591315200</v>
      </c>
      <c r="AM1325" s="58">
        <f>(C1325-DATE(1970,1,1))*86400</f>
        <v>1591747200</v>
      </c>
      <c r="AN1325" s="58">
        <f>AVERAGE(AL1325:AM1325)</f>
        <v>1591531200</v>
      </c>
    </row>
    <row r="1326" spans="1:40" ht="15.75" customHeight="1" x14ac:dyDescent="0.2">
      <c r="A1326" s="279" t="s">
        <v>133</v>
      </c>
      <c r="B1326" s="14">
        <v>43985</v>
      </c>
      <c r="C1326" s="14">
        <v>43987</v>
      </c>
      <c r="D1326" s="13" t="s">
        <v>124</v>
      </c>
      <c r="E1326" s="324" t="s">
        <v>125</v>
      </c>
      <c r="F1326" s="13"/>
      <c r="G1326" s="13" t="s">
        <v>126</v>
      </c>
      <c r="H1326" s="372">
        <v>1000</v>
      </c>
      <c r="I1326" s="15">
        <v>42</v>
      </c>
      <c r="J1326" s="15"/>
      <c r="K1326" s="15">
        <v>8</v>
      </c>
      <c r="L1326" s="15">
        <v>2</v>
      </c>
      <c r="M1326" s="15">
        <v>8</v>
      </c>
      <c r="N1326" s="15"/>
      <c r="O1326" s="15"/>
      <c r="P1326" s="15">
        <v>9</v>
      </c>
      <c r="Q1326" s="15"/>
      <c r="R1326" s="15">
        <v>3</v>
      </c>
      <c r="S1326" s="15"/>
      <c r="T1326" s="15"/>
      <c r="U1326" s="15"/>
      <c r="V1326" s="15">
        <v>3</v>
      </c>
      <c r="W1326" s="15"/>
      <c r="X1326" s="15">
        <v>1</v>
      </c>
      <c r="Y1326" s="15"/>
      <c r="Z1326" s="98">
        <v>0</v>
      </c>
      <c r="AA1326" s="15">
        <v>24</v>
      </c>
      <c r="AB1326" s="16">
        <f>100/(SUM(I1326:Z1326))</f>
        <v>1.3157894736842106</v>
      </c>
      <c r="AC1326" s="259">
        <f>SUM(I1326:AA1326)</f>
        <v>100</v>
      </c>
      <c r="AD1326" s="15"/>
      <c r="AE1326" s="15"/>
      <c r="AF1326" s="15"/>
      <c r="AG1326" s="17"/>
      <c r="AH1326" s="18" t="s">
        <v>1181</v>
      </c>
      <c r="AI1326" s="18" t="s">
        <v>1182</v>
      </c>
      <c r="AJ1326" s="18"/>
      <c r="AK1326" s="13" t="s">
        <v>1049</v>
      </c>
      <c r="AL1326" s="17">
        <f>(B1326-DATE(1970,1,1))*86400</f>
        <v>1591142400</v>
      </c>
      <c r="AM1326" s="17">
        <f>(C1326-DATE(1970,1,1))*86400</f>
        <v>1591315200</v>
      </c>
      <c r="AN1326" s="17">
        <f>AVERAGE(AL1326:AM1326)</f>
        <v>1591228800</v>
      </c>
    </row>
    <row r="1327" spans="1:40" ht="15.75" customHeight="1" x14ac:dyDescent="0.2">
      <c r="A1327" s="279" t="s">
        <v>123</v>
      </c>
      <c r="B1327" s="14">
        <v>43985</v>
      </c>
      <c r="C1327" s="14">
        <v>43987</v>
      </c>
      <c r="D1327" s="13" t="s">
        <v>124</v>
      </c>
      <c r="E1327" s="324" t="s">
        <v>125</v>
      </c>
      <c r="F1327" s="13"/>
      <c r="G1327" s="13" t="s">
        <v>126</v>
      </c>
      <c r="H1327" s="372">
        <v>1000</v>
      </c>
      <c r="I1327" s="15">
        <v>52</v>
      </c>
      <c r="J1327" s="15"/>
      <c r="K1327" s="15">
        <v>9</v>
      </c>
      <c r="L1327" s="15">
        <v>2</v>
      </c>
      <c r="M1327" s="15">
        <v>12</v>
      </c>
      <c r="N1327" s="15"/>
      <c r="O1327" s="15"/>
      <c r="P1327" s="15">
        <v>14</v>
      </c>
      <c r="Q1327" s="15"/>
      <c r="R1327" s="15">
        <v>4</v>
      </c>
      <c r="S1327" s="15"/>
      <c r="T1327" s="15"/>
      <c r="U1327" s="15"/>
      <c r="V1327" s="15">
        <v>5</v>
      </c>
      <c r="W1327" s="15"/>
      <c r="X1327" s="15">
        <v>1</v>
      </c>
      <c r="Y1327" s="15"/>
      <c r="Z1327" s="15">
        <v>1</v>
      </c>
      <c r="AA1327" s="15">
        <v>0</v>
      </c>
      <c r="AB1327" s="16">
        <f>100/(SUM(I1327:Z1327))</f>
        <v>1</v>
      </c>
      <c r="AC1327" s="259">
        <f>SUM(I1327:AA1327)</f>
        <v>100</v>
      </c>
      <c r="AD1327" s="15"/>
      <c r="AE1327" s="15"/>
      <c r="AF1327" s="15"/>
      <c r="AG1327" s="17"/>
      <c r="AH1327" s="18" t="s">
        <v>1181</v>
      </c>
      <c r="AI1327" s="18" t="s">
        <v>1182</v>
      </c>
      <c r="AJ1327" s="18"/>
      <c r="AK1327" s="13" t="s">
        <v>1049</v>
      </c>
      <c r="AL1327" s="17">
        <f>(B1327-DATE(1970,1,1))*86400</f>
        <v>1591142400</v>
      </c>
      <c r="AM1327" s="17">
        <f>(C1327-DATE(1970,1,1))*86400</f>
        <v>1591315200</v>
      </c>
      <c r="AN1327" s="17">
        <f>AVERAGE(AL1327:AM1327)</f>
        <v>1591228800</v>
      </c>
    </row>
    <row r="1328" spans="1:40" ht="15.75" customHeight="1" x14ac:dyDescent="0.2">
      <c r="A1328" s="285" t="s">
        <v>133</v>
      </c>
      <c r="B1328" s="34">
        <v>43979</v>
      </c>
      <c r="C1328" s="34">
        <v>43987</v>
      </c>
      <c r="D1328" s="33" t="s">
        <v>143</v>
      </c>
      <c r="E1328" s="319" t="s">
        <v>125</v>
      </c>
      <c r="F1328" s="33"/>
      <c r="G1328" s="33" t="s">
        <v>126</v>
      </c>
      <c r="H1328" s="353">
        <v>1000</v>
      </c>
      <c r="I1328" s="35">
        <v>40</v>
      </c>
      <c r="J1328" s="35"/>
      <c r="K1328" s="35">
        <v>6</v>
      </c>
      <c r="L1328" s="35">
        <v>1</v>
      </c>
      <c r="M1328" s="35">
        <v>6</v>
      </c>
      <c r="N1328" s="35"/>
      <c r="O1328" s="35"/>
      <c r="P1328" s="35">
        <v>6</v>
      </c>
      <c r="Q1328" s="35"/>
      <c r="R1328" s="36">
        <v>4</v>
      </c>
      <c r="S1328" s="35"/>
      <c r="T1328" s="35"/>
      <c r="U1328" s="35"/>
      <c r="V1328" s="35">
        <v>3</v>
      </c>
      <c r="W1328" s="35"/>
      <c r="X1328" s="35">
        <v>2</v>
      </c>
      <c r="Y1328" s="35"/>
      <c r="Z1328" s="35">
        <v>2</v>
      </c>
      <c r="AA1328" s="35">
        <v>30</v>
      </c>
      <c r="AB1328" s="37">
        <f>100/(SUM(I1328:Z1328))</f>
        <v>1.4285714285714286</v>
      </c>
      <c r="AC1328" s="259">
        <f>SUM(I1328:AA1328)</f>
        <v>100</v>
      </c>
      <c r="AD1328" s="35"/>
      <c r="AE1328" s="35"/>
      <c r="AF1328" s="35"/>
      <c r="AG1328" s="39" t="s">
        <v>144</v>
      </c>
      <c r="AH1328" s="33" t="s">
        <v>1183</v>
      </c>
      <c r="AI1328" s="38" t="s">
        <v>1184</v>
      </c>
      <c r="AJ1328" s="38" t="s">
        <v>1185</v>
      </c>
      <c r="AK1328" s="33" t="s">
        <v>1187</v>
      </c>
      <c r="AL1328" s="39">
        <f>(B1328-DATE(1970,1,1))*86400</f>
        <v>1590624000</v>
      </c>
      <c r="AM1328" s="39">
        <f>(C1328-DATE(1970,1,1))*86400</f>
        <v>1591315200</v>
      </c>
      <c r="AN1328" s="39">
        <f>AVERAGE(AL1328:AM1328)</f>
        <v>1590969600</v>
      </c>
    </row>
    <row r="1329" spans="1:40" ht="15.75" customHeight="1" x14ac:dyDescent="0.2">
      <c r="A1329" s="285" t="s">
        <v>133</v>
      </c>
      <c r="B1329" s="34">
        <v>43979</v>
      </c>
      <c r="C1329" s="34">
        <v>43987</v>
      </c>
      <c r="D1329" s="33" t="s">
        <v>143</v>
      </c>
      <c r="E1329" s="319" t="s">
        <v>125</v>
      </c>
      <c r="F1329" s="33"/>
      <c r="G1329" s="33" t="s">
        <v>126</v>
      </c>
      <c r="H1329" s="353">
        <v>1000</v>
      </c>
      <c r="I1329" s="35">
        <v>58</v>
      </c>
      <c r="J1329" s="35"/>
      <c r="K1329" s="35">
        <v>8</v>
      </c>
      <c r="L1329" s="35">
        <v>2</v>
      </c>
      <c r="M1329" s="35">
        <v>9</v>
      </c>
      <c r="N1329" s="35"/>
      <c r="O1329" s="35"/>
      <c r="P1329" s="35">
        <v>9</v>
      </c>
      <c r="Q1329" s="35"/>
      <c r="R1329" s="36">
        <v>5</v>
      </c>
      <c r="S1329" s="35"/>
      <c r="T1329" s="35"/>
      <c r="U1329" s="35"/>
      <c r="V1329" s="35">
        <v>4</v>
      </c>
      <c r="W1329" s="35"/>
      <c r="X1329" s="35">
        <v>2</v>
      </c>
      <c r="Y1329" s="35"/>
      <c r="Z1329" s="35">
        <v>2</v>
      </c>
      <c r="AA1329" s="35">
        <v>0</v>
      </c>
      <c r="AB1329" s="37">
        <f>100/(SUM(I1329:Z1329))</f>
        <v>1.0101010101010102</v>
      </c>
      <c r="AC1329" s="259">
        <f>SUM(I1329:AA1329)</f>
        <v>99</v>
      </c>
      <c r="AD1329" s="35"/>
      <c r="AE1329" s="35"/>
      <c r="AF1329" s="35"/>
      <c r="AG1329" s="39" t="s">
        <v>144</v>
      </c>
      <c r="AH1329" s="33" t="s">
        <v>1183</v>
      </c>
      <c r="AI1329" s="38" t="s">
        <v>1184</v>
      </c>
      <c r="AJ1329" s="33" t="s">
        <v>1185</v>
      </c>
      <c r="AK1329" s="33" t="s">
        <v>1186</v>
      </c>
      <c r="AL1329" s="39">
        <f>(B1329-DATE(1970,1,1))*86400</f>
        <v>1590624000</v>
      </c>
      <c r="AM1329" s="39">
        <f>(C1329-DATE(1970,1,1))*86400</f>
        <v>1591315200</v>
      </c>
      <c r="AN1329" s="39">
        <f>AVERAGE(AL1329:AM1329)</f>
        <v>1590969600</v>
      </c>
    </row>
    <row r="1330" spans="1:40" ht="15.75" customHeight="1" x14ac:dyDescent="0.2">
      <c r="A1330" s="285" t="s">
        <v>123</v>
      </c>
      <c r="B1330" s="34">
        <v>43979</v>
      </c>
      <c r="C1330" s="34">
        <v>43987</v>
      </c>
      <c r="D1330" s="33" t="s">
        <v>143</v>
      </c>
      <c r="E1330" s="319" t="s">
        <v>125</v>
      </c>
      <c r="F1330" s="33"/>
      <c r="G1330" s="33" t="s">
        <v>126</v>
      </c>
      <c r="H1330" s="353">
        <v>1000</v>
      </c>
      <c r="I1330" s="35">
        <v>60</v>
      </c>
      <c r="J1330" s="35"/>
      <c r="K1330" s="35">
        <v>7</v>
      </c>
      <c r="L1330" s="35">
        <v>1</v>
      </c>
      <c r="M1330" s="35">
        <v>10</v>
      </c>
      <c r="N1330" s="35"/>
      <c r="O1330" s="35"/>
      <c r="P1330" s="35">
        <v>11</v>
      </c>
      <c r="Q1330" s="35"/>
      <c r="R1330" s="36">
        <v>4</v>
      </c>
      <c r="S1330" s="35"/>
      <c r="T1330" s="35"/>
      <c r="U1330" s="35"/>
      <c r="V1330" s="35">
        <v>3</v>
      </c>
      <c r="W1330" s="35"/>
      <c r="X1330" s="35">
        <v>2</v>
      </c>
      <c r="Y1330" s="35"/>
      <c r="Z1330" s="35">
        <v>2</v>
      </c>
      <c r="AA1330" s="35">
        <v>0</v>
      </c>
      <c r="AB1330" s="37">
        <f>100/(SUM(I1330:Z1330))</f>
        <v>1</v>
      </c>
      <c r="AC1330" s="259">
        <f>SUM(I1330:AA1330)</f>
        <v>100</v>
      </c>
      <c r="AD1330" s="35"/>
      <c r="AE1330" s="35"/>
      <c r="AF1330" s="35"/>
      <c r="AG1330" s="39" t="s">
        <v>144</v>
      </c>
      <c r="AH1330" s="33" t="s">
        <v>1183</v>
      </c>
      <c r="AI1330" s="38" t="s">
        <v>1184</v>
      </c>
      <c r="AJ1330" s="33" t="s">
        <v>1185</v>
      </c>
      <c r="AK1330" s="33" t="s">
        <v>1187</v>
      </c>
      <c r="AL1330" s="39">
        <f>(B1330-DATE(1970,1,1))*86400</f>
        <v>1590624000</v>
      </c>
      <c r="AM1330" s="39">
        <f>(C1330-DATE(1970,1,1))*86400</f>
        <v>1591315200</v>
      </c>
      <c r="AN1330" s="39">
        <f>AVERAGE(AL1330:AM1330)</f>
        <v>1590969600</v>
      </c>
    </row>
    <row r="1331" spans="1:40" ht="15.75" customHeight="1" x14ac:dyDescent="0.2">
      <c r="A1331" s="284" t="s">
        <v>133</v>
      </c>
      <c r="B1331" s="20">
        <v>43978</v>
      </c>
      <c r="C1331" s="20">
        <v>43982</v>
      </c>
      <c r="D1331" s="19" t="s">
        <v>134</v>
      </c>
      <c r="E1331" s="332" t="s">
        <v>125</v>
      </c>
      <c r="F1331" s="19"/>
      <c r="G1331" s="19" t="s">
        <v>135</v>
      </c>
      <c r="H1331" s="332">
        <v>2000</v>
      </c>
      <c r="I1331" s="21">
        <v>32</v>
      </c>
      <c r="J1331" s="21"/>
      <c r="K1331" s="21">
        <v>6</v>
      </c>
      <c r="L1331" s="21">
        <v>2</v>
      </c>
      <c r="M1331" s="21">
        <v>11</v>
      </c>
      <c r="N1331" s="21"/>
      <c r="O1331" s="21"/>
      <c r="P1331" s="21">
        <v>7</v>
      </c>
      <c r="Q1331" s="21"/>
      <c r="R1331" s="22">
        <v>7</v>
      </c>
      <c r="S1331" s="21"/>
      <c r="T1331" s="21"/>
      <c r="U1331" s="21"/>
      <c r="V1331" s="21">
        <v>2</v>
      </c>
      <c r="W1331" s="21"/>
      <c r="X1331" s="21">
        <v>2</v>
      </c>
      <c r="Y1331" s="21"/>
      <c r="Z1331" s="21">
        <v>1</v>
      </c>
      <c r="AA1331" s="21">
        <v>30</v>
      </c>
      <c r="AB1331" s="23">
        <f>100/(SUM(I1331:Z1331))</f>
        <v>1.4285714285714286</v>
      </c>
      <c r="AC1331" s="259">
        <f>SUM(I1331:AA1331)</f>
        <v>100</v>
      </c>
      <c r="AD1331" s="21"/>
      <c r="AE1331" s="21"/>
      <c r="AF1331" s="21"/>
      <c r="AG1331" s="25"/>
      <c r="AH1331" s="83"/>
      <c r="AI1331" s="83" t="s">
        <v>1188</v>
      </c>
      <c r="AJ1331" s="83"/>
      <c r="AK1331" s="19" t="s">
        <v>882</v>
      </c>
      <c r="AL1331" s="25">
        <f>(B1331-DATE(1970,1,1))*86400</f>
        <v>1590537600</v>
      </c>
      <c r="AM1331" s="25">
        <f>(C1331-DATE(1970,1,1))*86400</f>
        <v>1590883200</v>
      </c>
      <c r="AN1331" s="25">
        <f>AVERAGE(AL1331:AM1331)</f>
        <v>1590710400</v>
      </c>
    </row>
    <row r="1332" spans="1:40" ht="15.75" customHeight="1" x14ac:dyDescent="0.2">
      <c r="A1332" s="284" t="s">
        <v>123</v>
      </c>
      <c r="B1332" s="20">
        <v>43978</v>
      </c>
      <c r="C1332" s="20">
        <v>43982</v>
      </c>
      <c r="D1332" s="19" t="s">
        <v>134</v>
      </c>
      <c r="E1332" s="332" t="s">
        <v>125</v>
      </c>
      <c r="F1332" s="19"/>
      <c r="G1332" s="19" t="s">
        <v>135</v>
      </c>
      <c r="H1332" s="332">
        <v>2000</v>
      </c>
      <c r="I1332" s="21">
        <v>49</v>
      </c>
      <c r="J1332" s="21"/>
      <c r="K1332" s="21">
        <v>7</v>
      </c>
      <c r="L1332" s="21">
        <v>2</v>
      </c>
      <c r="M1332" s="21">
        <v>17</v>
      </c>
      <c r="N1332" s="21"/>
      <c r="O1332" s="21"/>
      <c r="P1332" s="21">
        <v>11</v>
      </c>
      <c r="Q1332" s="21"/>
      <c r="R1332" s="22">
        <v>8</v>
      </c>
      <c r="S1332" s="21"/>
      <c r="T1332" s="21"/>
      <c r="U1332" s="21"/>
      <c r="V1332" s="21">
        <v>2</v>
      </c>
      <c r="W1332" s="21"/>
      <c r="X1332" s="21">
        <v>3</v>
      </c>
      <c r="Y1332" s="21"/>
      <c r="Z1332" s="21">
        <v>1</v>
      </c>
      <c r="AA1332" s="21">
        <v>0</v>
      </c>
      <c r="AB1332" s="23">
        <f>100/(SUM(I1332:Z1332))</f>
        <v>1</v>
      </c>
      <c r="AC1332" s="259">
        <f>SUM(I1332:AA1332)</f>
        <v>100</v>
      </c>
      <c r="AD1332" s="21"/>
      <c r="AE1332" s="21"/>
      <c r="AF1332" s="21"/>
      <c r="AG1332" s="25"/>
      <c r="AH1332" s="83"/>
      <c r="AI1332" s="83" t="s">
        <v>1188</v>
      </c>
      <c r="AJ1332" s="83"/>
      <c r="AK1332" s="19" t="s">
        <v>1078</v>
      </c>
      <c r="AL1332" s="25">
        <f>(B1332-DATE(1970,1,1))*86400</f>
        <v>1590537600</v>
      </c>
      <c r="AM1332" s="25">
        <f>(C1332-DATE(1970,1,1))*86400</f>
        <v>1590883200</v>
      </c>
      <c r="AN1332" s="25">
        <f>AVERAGE(AL1332:AM1332)</f>
        <v>1590710400</v>
      </c>
    </row>
    <row r="1333" spans="1:40" ht="15.75" customHeight="1" x14ac:dyDescent="0.2">
      <c r="A1333" s="281" t="s">
        <v>133</v>
      </c>
      <c r="B1333" s="54">
        <v>43969</v>
      </c>
      <c r="C1333" s="54">
        <v>43973</v>
      </c>
      <c r="D1333" s="53" t="s">
        <v>154</v>
      </c>
      <c r="E1333" s="323" t="s">
        <v>125</v>
      </c>
      <c r="F1333" s="53"/>
      <c r="G1333" s="53" t="s">
        <v>126</v>
      </c>
      <c r="H1333" s="378">
        <v>998</v>
      </c>
      <c r="I1333" s="55">
        <v>30</v>
      </c>
      <c r="J1333" s="55"/>
      <c r="K1333" s="55">
        <v>6</v>
      </c>
      <c r="L1333" s="55">
        <v>1</v>
      </c>
      <c r="M1333" s="55">
        <v>9</v>
      </c>
      <c r="N1333" s="56"/>
      <c r="O1333" s="56"/>
      <c r="P1333" s="55">
        <v>7</v>
      </c>
      <c r="Q1333" s="55"/>
      <c r="R1333" s="55">
        <v>7</v>
      </c>
      <c r="S1333" s="55"/>
      <c r="T1333" s="55"/>
      <c r="U1333" s="55"/>
      <c r="V1333" s="55">
        <v>1</v>
      </c>
      <c r="W1333" s="55"/>
      <c r="X1333" s="55">
        <v>0</v>
      </c>
      <c r="Y1333" s="55"/>
      <c r="Z1333" s="55">
        <v>1</v>
      </c>
      <c r="AA1333" s="55">
        <v>38</v>
      </c>
      <c r="AB1333" s="57">
        <f>100/(SUM(I1333:Z1333))</f>
        <v>1.6129032258064515</v>
      </c>
      <c r="AC1333" s="259">
        <f>SUM(I1333:AA1333)</f>
        <v>100</v>
      </c>
      <c r="AD1333" s="55"/>
      <c r="AE1333" s="55"/>
      <c r="AF1333" s="55"/>
      <c r="AG1333" s="58"/>
      <c r="AH1333" s="59" t="s">
        <v>1189</v>
      </c>
      <c r="AI1333" s="59" t="s">
        <v>1190</v>
      </c>
      <c r="AJ1333" s="59" t="s">
        <v>1191</v>
      </c>
      <c r="AK1333" s="53"/>
      <c r="AL1333" s="58">
        <f>(B1333-DATE(1970,1,1))*86400</f>
        <v>1589760000</v>
      </c>
      <c r="AM1333" s="58">
        <f>(C1333-DATE(1970,1,1))*86400</f>
        <v>1590105600</v>
      </c>
      <c r="AN1333" s="58">
        <f>AVERAGE(AL1333:AM1333)</f>
        <v>1589932800</v>
      </c>
    </row>
    <row r="1334" spans="1:40" ht="15.75" customHeight="1" x14ac:dyDescent="0.2">
      <c r="A1334" s="281" t="s">
        <v>123</v>
      </c>
      <c r="B1334" s="54">
        <v>43969</v>
      </c>
      <c r="C1334" s="54">
        <v>43973</v>
      </c>
      <c r="D1334" s="53" t="s">
        <v>154</v>
      </c>
      <c r="E1334" s="323" t="s">
        <v>125</v>
      </c>
      <c r="F1334" s="53"/>
      <c r="G1334" s="53" t="s">
        <v>126</v>
      </c>
      <c r="H1334" s="378">
        <v>998</v>
      </c>
      <c r="I1334" s="55">
        <v>40</v>
      </c>
      <c r="J1334" s="55"/>
      <c r="K1334" s="55">
        <v>7</v>
      </c>
      <c r="L1334" s="55">
        <v>1</v>
      </c>
      <c r="M1334" s="55">
        <v>12</v>
      </c>
      <c r="N1334" s="56"/>
      <c r="O1334" s="56"/>
      <c r="P1334" s="55">
        <v>9</v>
      </c>
      <c r="Q1334" s="55"/>
      <c r="R1334" s="55">
        <v>9</v>
      </c>
      <c r="S1334" s="55"/>
      <c r="T1334" s="55"/>
      <c r="U1334" s="55"/>
      <c r="V1334" s="55">
        <v>1</v>
      </c>
      <c r="W1334" s="55"/>
      <c r="X1334" s="55">
        <v>0</v>
      </c>
      <c r="Y1334" s="55"/>
      <c r="Z1334" s="55">
        <v>1</v>
      </c>
      <c r="AA1334" s="55">
        <v>20</v>
      </c>
      <c r="AB1334" s="57">
        <f>100/(SUM(I1334:Z1334))</f>
        <v>1.25</v>
      </c>
      <c r="AC1334" s="259">
        <f>SUM(I1334:AA1334)</f>
        <v>100</v>
      </c>
      <c r="AD1334" s="55"/>
      <c r="AE1334" s="55"/>
      <c r="AF1334" s="55"/>
      <c r="AG1334" s="58"/>
      <c r="AH1334" s="59" t="s">
        <v>1189</v>
      </c>
      <c r="AI1334" s="59" t="s">
        <v>1190</v>
      </c>
      <c r="AJ1334" s="59" t="s">
        <v>1191</v>
      </c>
      <c r="AK1334" s="53" t="s">
        <v>1192</v>
      </c>
      <c r="AL1334" s="58">
        <f>(B1334-DATE(1970,1,1))*86400</f>
        <v>1589760000</v>
      </c>
      <c r="AM1334" s="58">
        <f>(C1334-DATE(1970,1,1))*86400</f>
        <v>1590105600</v>
      </c>
      <c r="AN1334" s="58">
        <f>AVERAGE(AL1334:AM1334)</f>
        <v>1589932800</v>
      </c>
    </row>
    <row r="1335" spans="1:40" ht="15.75" customHeight="1" x14ac:dyDescent="0.2">
      <c r="A1335" s="281" t="s">
        <v>123</v>
      </c>
      <c r="B1335" s="54">
        <v>43969</v>
      </c>
      <c r="C1335" s="54">
        <v>43973</v>
      </c>
      <c r="D1335" s="53" t="s">
        <v>154</v>
      </c>
      <c r="E1335" s="323" t="s">
        <v>125</v>
      </c>
      <c r="F1335" s="53"/>
      <c r="G1335" s="53" t="s">
        <v>126</v>
      </c>
      <c r="H1335" s="378">
        <v>998</v>
      </c>
      <c r="I1335" s="55">
        <v>50</v>
      </c>
      <c r="J1335" s="55"/>
      <c r="K1335" s="55">
        <v>8</v>
      </c>
      <c r="L1335" s="55">
        <v>1</v>
      </c>
      <c r="M1335" s="55">
        <v>16</v>
      </c>
      <c r="N1335" s="56"/>
      <c r="O1335" s="56"/>
      <c r="P1335" s="55">
        <v>11</v>
      </c>
      <c r="Q1335" s="55"/>
      <c r="R1335" s="55">
        <v>12</v>
      </c>
      <c r="S1335" s="55"/>
      <c r="T1335" s="55"/>
      <c r="U1335" s="55"/>
      <c r="V1335" s="55">
        <v>2</v>
      </c>
      <c r="W1335" s="55"/>
      <c r="X1335" s="55">
        <v>1</v>
      </c>
      <c r="Y1335" s="55"/>
      <c r="Z1335" s="55">
        <v>0</v>
      </c>
      <c r="AA1335" s="55">
        <v>0</v>
      </c>
      <c r="AB1335" s="57">
        <f>100/(SUM(I1335:Z1335))</f>
        <v>0.99009900990099009</v>
      </c>
      <c r="AC1335" s="259">
        <f>SUM(I1335:AA1335)</f>
        <v>101</v>
      </c>
      <c r="AD1335" s="55"/>
      <c r="AE1335" s="55"/>
      <c r="AF1335" s="55"/>
      <c r="AG1335" s="58"/>
      <c r="AH1335" s="59" t="s">
        <v>1189</v>
      </c>
      <c r="AI1335" s="59" t="s">
        <v>1190</v>
      </c>
      <c r="AJ1335" s="59" t="s">
        <v>1191</v>
      </c>
      <c r="AK1335" s="53" t="s">
        <v>1193</v>
      </c>
      <c r="AL1335" s="58">
        <f>(B1335-DATE(1970,1,1))*86400</f>
        <v>1589760000</v>
      </c>
      <c r="AM1335" s="58">
        <f>(C1335-DATE(1970,1,1))*86400</f>
        <v>1590105600</v>
      </c>
      <c r="AN1335" s="58">
        <f>AVERAGE(AL1335:AM1335)</f>
        <v>1589932800</v>
      </c>
    </row>
    <row r="1336" spans="1:40" ht="15.75" customHeight="1" x14ac:dyDescent="0.2">
      <c r="A1336" s="286" t="s">
        <v>133</v>
      </c>
      <c r="B1336" s="41">
        <v>43969</v>
      </c>
      <c r="C1336" s="41">
        <v>43972</v>
      </c>
      <c r="D1336" s="40" t="s">
        <v>148</v>
      </c>
      <c r="E1336" s="325" t="s">
        <v>125</v>
      </c>
      <c r="F1336" s="129" t="s">
        <v>689</v>
      </c>
      <c r="G1336" s="129" t="s">
        <v>126</v>
      </c>
      <c r="H1336" s="325">
        <v>1000</v>
      </c>
      <c r="I1336" s="42"/>
      <c r="J1336" s="42"/>
      <c r="K1336" s="42"/>
      <c r="L1336" s="42"/>
      <c r="M1336" s="42"/>
      <c r="N1336" s="42"/>
      <c r="O1336" s="42"/>
      <c r="P1336" s="42"/>
      <c r="Q1336" s="42"/>
      <c r="R1336" s="43"/>
      <c r="S1336" s="42"/>
      <c r="T1336" s="42"/>
      <c r="U1336" s="42"/>
      <c r="V1336" s="42"/>
      <c r="W1336" s="42"/>
      <c r="X1336" s="42"/>
      <c r="Y1336" s="42"/>
      <c r="Z1336" s="42"/>
      <c r="AA1336" s="42"/>
      <c r="AB1336" s="44" t="e">
        <f>100/(SUM(I1336:Z1336))</f>
        <v>#DIV/0!</v>
      </c>
      <c r="AC1336" s="259">
        <f>SUM(I1336:AA1336)</f>
        <v>0</v>
      </c>
      <c r="AD1336" s="42"/>
      <c r="AE1336" s="42"/>
      <c r="AF1336" s="42"/>
      <c r="AG1336" s="45" t="s">
        <v>391</v>
      </c>
      <c r="AH1336" s="40" t="s">
        <v>1194</v>
      </c>
      <c r="AI1336" s="132" t="s">
        <v>1195</v>
      </c>
      <c r="AJ1336" s="132"/>
      <c r="AK1336" s="40"/>
      <c r="AL1336" s="45">
        <f>(B1336-DATE(1970,1,1))*86400</f>
        <v>1589760000</v>
      </c>
      <c r="AM1336" s="45">
        <f>(C1336-DATE(1970,1,1))*86400</f>
        <v>1590019200</v>
      </c>
      <c r="AN1336" s="45">
        <f>AVERAGE(AL1336:AM1336)</f>
        <v>1589889600</v>
      </c>
    </row>
    <row r="1337" spans="1:40" ht="15.75" customHeight="1" x14ac:dyDescent="0.2">
      <c r="A1337" s="286" t="s">
        <v>123</v>
      </c>
      <c r="B1337" s="41">
        <v>43969</v>
      </c>
      <c r="C1337" s="41">
        <v>43972</v>
      </c>
      <c r="D1337" s="40" t="s">
        <v>148</v>
      </c>
      <c r="E1337" s="325" t="s">
        <v>125</v>
      </c>
      <c r="F1337" s="129" t="s">
        <v>689</v>
      </c>
      <c r="G1337" s="129" t="s">
        <v>126</v>
      </c>
      <c r="H1337" s="325">
        <v>1000</v>
      </c>
      <c r="I1337" s="42"/>
      <c r="J1337" s="42"/>
      <c r="K1337" s="42"/>
      <c r="L1337" s="42"/>
      <c r="M1337" s="42"/>
      <c r="N1337" s="42"/>
      <c r="O1337" s="42"/>
      <c r="P1337" s="42"/>
      <c r="Q1337" s="42"/>
      <c r="R1337" s="43"/>
      <c r="S1337" s="42"/>
      <c r="T1337" s="42"/>
      <c r="U1337" s="42"/>
      <c r="V1337" s="42"/>
      <c r="W1337" s="42"/>
      <c r="X1337" s="42"/>
      <c r="Y1337" s="42"/>
      <c r="Z1337" s="42"/>
      <c r="AA1337" s="42"/>
      <c r="AB1337" s="44" t="e">
        <f>100/(SUM(I1337:Z1337))</f>
        <v>#DIV/0!</v>
      </c>
      <c r="AC1337" s="259">
        <f>SUM(I1337:AA1337)</f>
        <v>0</v>
      </c>
      <c r="AD1337" s="42"/>
      <c r="AE1337" s="42"/>
      <c r="AF1337" s="42"/>
      <c r="AG1337" s="45" t="s">
        <v>391</v>
      </c>
      <c r="AH1337" s="40" t="s">
        <v>1194</v>
      </c>
      <c r="AI1337" s="132" t="s">
        <v>1195</v>
      </c>
      <c r="AJ1337" s="132"/>
      <c r="AK1337" s="40"/>
      <c r="AL1337" s="45">
        <f>(B1337-DATE(1970,1,1))*86400</f>
        <v>1589760000</v>
      </c>
      <c r="AM1337" s="45">
        <f>(C1337-DATE(1970,1,1))*86400</f>
        <v>1590019200</v>
      </c>
      <c r="AN1337" s="45">
        <f>AVERAGE(AL1337:AM1337)</f>
        <v>1589889600</v>
      </c>
    </row>
    <row r="1338" spans="1:40" ht="15.75" customHeight="1" x14ac:dyDescent="0.2">
      <c r="A1338" s="302" t="s">
        <v>133</v>
      </c>
      <c r="B1338" s="254">
        <v>43952</v>
      </c>
      <c r="C1338" s="254">
        <v>43982</v>
      </c>
      <c r="D1338" s="121" t="s">
        <v>2445</v>
      </c>
      <c r="E1338" s="322" t="s">
        <v>184</v>
      </c>
      <c r="F1338" s="121" t="s">
        <v>390</v>
      </c>
      <c r="G1338" s="262" t="s">
        <v>244</v>
      </c>
      <c r="H1338" s="379">
        <v>500</v>
      </c>
      <c r="I1338" s="123">
        <v>41</v>
      </c>
      <c r="J1338" s="123"/>
      <c r="K1338" s="123"/>
      <c r="L1338" s="123"/>
      <c r="M1338" s="123"/>
      <c r="N1338" s="123"/>
      <c r="O1338" s="123"/>
      <c r="P1338" s="123"/>
      <c r="Q1338" s="123"/>
      <c r="R1338" s="124"/>
      <c r="S1338" s="123"/>
      <c r="T1338" s="123"/>
      <c r="U1338" s="123">
        <v>23</v>
      </c>
      <c r="V1338" s="123"/>
      <c r="W1338" s="123"/>
      <c r="X1338" s="123"/>
      <c r="Y1338" s="123"/>
      <c r="Z1338" s="123">
        <v>5</v>
      </c>
      <c r="AA1338" s="123">
        <v>31</v>
      </c>
      <c r="AB1338" s="125">
        <f>100/(SUM(I1338:Z1338))</f>
        <v>1.4492753623188406</v>
      </c>
      <c r="AC1338" s="259">
        <f>SUM(I1338:AA1338)</f>
        <v>100</v>
      </c>
      <c r="AD1338" s="123"/>
      <c r="AE1338" s="123"/>
      <c r="AF1338" s="123"/>
      <c r="AG1338" s="126" t="s">
        <v>719</v>
      </c>
      <c r="AH1338" s="253" t="s">
        <v>1992</v>
      </c>
      <c r="AI1338" s="127"/>
      <c r="AJ1338" s="127"/>
      <c r="AK1338" s="121" t="s">
        <v>1991</v>
      </c>
      <c r="AL1338" s="126">
        <f>(B1338-DATE(1970,1,1))*86400</f>
        <v>1588291200</v>
      </c>
      <c r="AM1338" s="126">
        <f>(C1338-DATE(1970,1,1))*86400</f>
        <v>1590883200</v>
      </c>
      <c r="AN1338" s="126">
        <f>AVERAGE(AL1338:AM1338)</f>
        <v>1589587200</v>
      </c>
    </row>
    <row r="1339" spans="1:40" ht="15.75" customHeight="1" x14ac:dyDescent="0.2">
      <c r="A1339" s="302" t="s">
        <v>123</v>
      </c>
      <c r="B1339" s="254">
        <v>43952</v>
      </c>
      <c r="C1339" s="254">
        <v>43982</v>
      </c>
      <c r="D1339" s="121" t="s">
        <v>2445</v>
      </c>
      <c r="E1339" s="322" t="s">
        <v>184</v>
      </c>
      <c r="F1339" s="121" t="s">
        <v>390</v>
      </c>
      <c r="G1339" s="262" t="s">
        <v>244</v>
      </c>
      <c r="H1339" s="379">
        <v>500</v>
      </c>
      <c r="I1339" s="123">
        <v>58</v>
      </c>
      <c r="J1339" s="123"/>
      <c r="K1339" s="123"/>
      <c r="L1339" s="123"/>
      <c r="M1339" s="123"/>
      <c r="N1339" s="123"/>
      <c r="O1339" s="123"/>
      <c r="P1339" s="123"/>
      <c r="Q1339" s="123"/>
      <c r="R1339" s="124"/>
      <c r="S1339" s="123"/>
      <c r="T1339" s="123"/>
      <c r="U1339" s="123">
        <v>33</v>
      </c>
      <c r="V1339" s="123"/>
      <c r="W1339" s="123"/>
      <c r="X1339" s="123"/>
      <c r="Y1339" s="123"/>
      <c r="Z1339" s="123">
        <v>9</v>
      </c>
      <c r="AA1339" s="123">
        <v>0</v>
      </c>
      <c r="AB1339" s="125">
        <f>100/(SUM(I1339:Z1339))</f>
        <v>1</v>
      </c>
      <c r="AC1339" s="259">
        <f>SUM(I1339:AA1339)</f>
        <v>100</v>
      </c>
      <c r="AD1339" s="123"/>
      <c r="AE1339" s="123"/>
      <c r="AF1339" s="123"/>
      <c r="AG1339" s="126" t="s">
        <v>719</v>
      </c>
      <c r="AH1339" s="253" t="s">
        <v>1992</v>
      </c>
      <c r="AI1339" s="127"/>
      <c r="AJ1339" s="127"/>
      <c r="AK1339" s="121" t="s">
        <v>1993</v>
      </c>
      <c r="AL1339" s="126">
        <f>(B1339-DATE(1970,1,1))*86400</f>
        <v>1588291200</v>
      </c>
      <c r="AM1339" s="126">
        <f>(C1339-DATE(1970,1,1))*86400</f>
        <v>1590883200</v>
      </c>
      <c r="AN1339" s="126">
        <f>AVERAGE(AL1339:AM1339)</f>
        <v>1589587200</v>
      </c>
    </row>
    <row r="1340" spans="1:40" ht="15.75" customHeight="1" x14ac:dyDescent="0.2">
      <c r="A1340" s="279" t="s">
        <v>133</v>
      </c>
      <c r="B1340" s="14">
        <v>43958</v>
      </c>
      <c r="C1340" s="14">
        <v>43959</v>
      </c>
      <c r="D1340" s="13" t="s">
        <v>124</v>
      </c>
      <c r="E1340" s="324" t="s">
        <v>125</v>
      </c>
      <c r="F1340" s="13"/>
      <c r="G1340" s="13" t="s">
        <v>126</v>
      </c>
      <c r="H1340" s="372">
        <v>1000</v>
      </c>
      <c r="I1340" s="15">
        <v>43</v>
      </c>
      <c r="J1340" s="15"/>
      <c r="K1340" s="15">
        <v>8</v>
      </c>
      <c r="L1340" s="15">
        <v>1</v>
      </c>
      <c r="M1340" s="15">
        <v>7</v>
      </c>
      <c r="N1340" s="15"/>
      <c r="O1340" s="15"/>
      <c r="P1340" s="15">
        <v>8</v>
      </c>
      <c r="Q1340" s="15"/>
      <c r="R1340" s="15">
        <v>3</v>
      </c>
      <c r="S1340" s="15"/>
      <c r="T1340" s="15"/>
      <c r="U1340" s="15"/>
      <c r="V1340" s="15">
        <v>4</v>
      </c>
      <c r="W1340" s="15"/>
      <c r="X1340" s="15">
        <v>1</v>
      </c>
      <c r="Y1340" s="15"/>
      <c r="Z1340" s="98">
        <v>0.5</v>
      </c>
      <c r="AA1340" s="15">
        <v>25.5</v>
      </c>
      <c r="AB1340" s="16">
        <f>100/(SUM(I1340:Z1340))</f>
        <v>1.3245033112582782</v>
      </c>
      <c r="AC1340" s="259">
        <f>SUM(I1340:AA1340)</f>
        <v>101</v>
      </c>
      <c r="AD1340" s="15"/>
      <c r="AE1340" s="15"/>
      <c r="AF1340" s="15"/>
      <c r="AG1340" s="17"/>
      <c r="AH1340" s="18" t="s">
        <v>1196</v>
      </c>
      <c r="AI1340" s="18" t="s">
        <v>1197</v>
      </c>
      <c r="AJ1340" s="18"/>
      <c r="AK1340" s="13" t="s">
        <v>1049</v>
      </c>
      <c r="AL1340" s="17">
        <f>(B1340-DATE(1970,1,1))*86400</f>
        <v>1588809600</v>
      </c>
      <c r="AM1340" s="17">
        <f>(C1340-DATE(1970,1,1))*86400</f>
        <v>1588896000</v>
      </c>
      <c r="AN1340" s="17">
        <f>AVERAGE(AL1340:AM1340)</f>
        <v>1588852800</v>
      </c>
    </row>
    <row r="1341" spans="1:40" ht="15.75" customHeight="1" x14ac:dyDescent="0.2">
      <c r="A1341" s="279" t="s">
        <v>123</v>
      </c>
      <c r="B1341" s="14">
        <v>43958</v>
      </c>
      <c r="C1341" s="14">
        <v>43959</v>
      </c>
      <c r="D1341" s="13" t="s">
        <v>124</v>
      </c>
      <c r="E1341" s="324" t="s">
        <v>125</v>
      </c>
      <c r="F1341" s="13"/>
      <c r="G1341" s="13" t="s">
        <v>126</v>
      </c>
      <c r="H1341" s="372">
        <v>1000</v>
      </c>
      <c r="I1341" s="15">
        <v>54</v>
      </c>
      <c r="J1341" s="15"/>
      <c r="K1341" s="15">
        <v>9</v>
      </c>
      <c r="L1341" s="15">
        <v>2</v>
      </c>
      <c r="M1341" s="15">
        <v>11</v>
      </c>
      <c r="N1341" s="15"/>
      <c r="O1341" s="15"/>
      <c r="P1341" s="15">
        <v>13</v>
      </c>
      <c r="Q1341" s="15"/>
      <c r="R1341" s="15">
        <v>3</v>
      </c>
      <c r="S1341" s="15"/>
      <c r="T1341" s="15"/>
      <c r="U1341" s="15"/>
      <c r="V1341" s="15">
        <v>6</v>
      </c>
      <c r="W1341" s="15"/>
      <c r="X1341" s="15">
        <v>1</v>
      </c>
      <c r="Y1341" s="15"/>
      <c r="Z1341" s="15">
        <v>1</v>
      </c>
      <c r="AA1341" s="15">
        <v>0</v>
      </c>
      <c r="AB1341" s="16">
        <f>100/(SUM(I1341:Z1341))</f>
        <v>1</v>
      </c>
      <c r="AC1341" s="259">
        <f>SUM(I1341:AA1341)</f>
        <v>100</v>
      </c>
      <c r="AD1341" s="15"/>
      <c r="AE1341" s="15"/>
      <c r="AF1341" s="15"/>
      <c r="AG1341" s="17"/>
      <c r="AH1341" s="18" t="s">
        <v>1196</v>
      </c>
      <c r="AI1341" s="18" t="s">
        <v>1197</v>
      </c>
      <c r="AJ1341" s="18"/>
      <c r="AK1341" s="13" t="s">
        <v>1049</v>
      </c>
      <c r="AL1341" s="17">
        <f>(B1341-DATE(1970,1,1))*86400</f>
        <v>1588809600</v>
      </c>
      <c r="AM1341" s="17">
        <f>(C1341-DATE(1970,1,1))*86400</f>
        <v>1588896000</v>
      </c>
      <c r="AN1341" s="17">
        <f>AVERAGE(AL1341:AM1341)</f>
        <v>1588852800</v>
      </c>
    </row>
    <row r="1342" spans="1:40" ht="15.75" customHeight="1" x14ac:dyDescent="0.2">
      <c r="A1342" s="296" t="s">
        <v>133</v>
      </c>
      <c r="B1342" s="100">
        <v>43945</v>
      </c>
      <c r="C1342" s="100">
        <v>43948</v>
      </c>
      <c r="D1342" s="99" t="s">
        <v>276</v>
      </c>
      <c r="E1342" s="326" t="s">
        <v>125</v>
      </c>
      <c r="F1342" s="99"/>
      <c r="G1342" s="99" t="s">
        <v>126</v>
      </c>
      <c r="H1342" s="326">
        <v>1000</v>
      </c>
      <c r="I1342" s="101">
        <v>29</v>
      </c>
      <c r="J1342" s="101"/>
      <c r="K1342" s="101">
        <v>7</v>
      </c>
      <c r="L1342" s="101">
        <v>1</v>
      </c>
      <c r="M1342" s="101">
        <v>7</v>
      </c>
      <c r="N1342" s="101"/>
      <c r="O1342" s="101"/>
      <c r="P1342" s="101">
        <v>6</v>
      </c>
      <c r="Q1342" s="101"/>
      <c r="R1342" s="101">
        <v>4</v>
      </c>
      <c r="S1342" s="101"/>
      <c r="T1342" s="101"/>
      <c r="U1342" s="101"/>
      <c r="V1342" s="101">
        <v>1</v>
      </c>
      <c r="W1342" s="101"/>
      <c r="X1342" s="101">
        <v>2</v>
      </c>
      <c r="Y1342" s="101"/>
      <c r="Z1342" s="101">
        <v>1</v>
      </c>
      <c r="AA1342" s="101">
        <v>42</v>
      </c>
      <c r="AB1342" s="102">
        <f>100/(SUM(I1342:Z1342))</f>
        <v>1.7241379310344827</v>
      </c>
      <c r="AC1342" s="259">
        <f>SUM(I1342:AA1342)</f>
        <v>100</v>
      </c>
      <c r="AD1342" s="101"/>
      <c r="AE1342" s="101"/>
      <c r="AF1342" s="101"/>
      <c r="AG1342" s="103"/>
      <c r="AH1342" s="104" t="s">
        <v>1198</v>
      </c>
      <c r="AI1342" s="104" t="s">
        <v>1199</v>
      </c>
      <c r="AJ1342" s="99"/>
      <c r="AK1342" s="99"/>
      <c r="AL1342" s="103">
        <f>(B1342-DATE(1970,1,1))*86400</f>
        <v>1587686400</v>
      </c>
      <c r="AM1342" s="103">
        <f>(C1342-DATE(1970,1,1))*86400</f>
        <v>1587945600</v>
      </c>
      <c r="AN1342" s="103">
        <f>AVERAGE(AL1342:AM1342)</f>
        <v>1587816000</v>
      </c>
    </row>
    <row r="1343" spans="1:40" ht="15.75" customHeight="1" x14ac:dyDescent="0.2">
      <c r="A1343" s="296" t="s">
        <v>133</v>
      </c>
      <c r="B1343" s="100">
        <v>43945</v>
      </c>
      <c r="C1343" s="100">
        <v>43948</v>
      </c>
      <c r="D1343" s="99" t="s">
        <v>276</v>
      </c>
      <c r="E1343" s="326" t="s">
        <v>125</v>
      </c>
      <c r="F1343" s="99"/>
      <c r="G1343" s="99" t="s">
        <v>126</v>
      </c>
      <c r="H1343" s="326">
        <v>1000</v>
      </c>
      <c r="I1343" s="101">
        <v>51</v>
      </c>
      <c r="J1343" s="101"/>
      <c r="K1343" s="101">
        <v>12</v>
      </c>
      <c r="L1343" s="101">
        <v>2</v>
      </c>
      <c r="M1343" s="101">
        <v>12</v>
      </c>
      <c r="N1343" s="101"/>
      <c r="O1343" s="101"/>
      <c r="P1343" s="101">
        <v>10</v>
      </c>
      <c r="Q1343" s="101"/>
      <c r="R1343" s="101">
        <v>7</v>
      </c>
      <c r="S1343" s="101"/>
      <c r="T1343" s="101"/>
      <c r="U1343" s="101"/>
      <c r="V1343" s="101">
        <v>2</v>
      </c>
      <c r="W1343" s="101"/>
      <c r="X1343" s="101">
        <v>3</v>
      </c>
      <c r="Y1343" s="101"/>
      <c r="Z1343" s="101">
        <v>1</v>
      </c>
      <c r="AA1343" s="101">
        <v>0</v>
      </c>
      <c r="AB1343" s="102">
        <f>100/(SUM(I1343:Z1343))</f>
        <v>1</v>
      </c>
      <c r="AC1343" s="259">
        <f>SUM(I1343:AA1343)</f>
        <v>100</v>
      </c>
      <c r="AD1343" s="101"/>
      <c r="AE1343" s="101"/>
      <c r="AF1343" s="101"/>
      <c r="AG1343" s="103"/>
      <c r="AH1343" s="104" t="s">
        <v>1198</v>
      </c>
      <c r="AI1343" s="104" t="s">
        <v>1199</v>
      </c>
      <c r="AJ1343" s="99"/>
      <c r="AK1343" s="99"/>
      <c r="AL1343" s="103">
        <f>(B1343-DATE(1970,1,1))*86400</f>
        <v>1587686400</v>
      </c>
      <c r="AM1343" s="103">
        <f>(C1343-DATE(1970,1,1))*86400</f>
        <v>1587945600</v>
      </c>
      <c r="AN1343" s="103">
        <f>AVERAGE(AL1343:AM1343)</f>
        <v>1587816000</v>
      </c>
    </row>
    <row r="1344" spans="1:40" ht="15.75" customHeight="1" x14ac:dyDescent="0.2">
      <c r="A1344" s="284" t="s">
        <v>133</v>
      </c>
      <c r="B1344" s="20">
        <v>43941</v>
      </c>
      <c r="C1344" s="20">
        <v>43947</v>
      </c>
      <c r="D1344" s="19" t="s">
        <v>134</v>
      </c>
      <c r="E1344" s="332" t="s">
        <v>125</v>
      </c>
      <c r="F1344" s="19"/>
      <c r="G1344" s="19" t="s">
        <v>135</v>
      </c>
      <c r="H1344" s="332">
        <v>2000</v>
      </c>
      <c r="I1344" s="21">
        <v>31</v>
      </c>
      <c r="J1344" s="21"/>
      <c r="K1344" s="21">
        <v>6</v>
      </c>
      <c r="L1344" s="21">
        <v>2</v>
      </c>
      <c r="M1344" s="21">
        <v>10</v>
      </c>
      <c r="N1344" s="21"/>
      <c r="O1344" s="21"/>
      <c r="P1344" s="21">
        <v>6</v>
      </c>
      <c r="Q1344" s="21"/>
      <c r="R1344" s="22">
        <v>7</v>
      </c>
      <c r="S1344" s="21"/>
      <c r="T1344" s="21"/>
      <c r="U1344" s="21"/>
      <c r="V1344" s="21">
        <v>1</v>
      </c>
      <c r="W1344" s="21"/>
      <c r="X1344" s="21">
        <v>1</v>
      </c>
      <c r="Y1344" s="21"/>
      <c r="Z1344" s="21">
        <v>1</v>
      </c>
      <c r="AA1344" s="21">
        <v>35</v>
      </c>
      <c r="AB1344" s="23">
        <f>100/(SUM(I1344:Z1344))</f>
        <v>1.5384615384615385</v>
      </c>
      <c r="AC1344" s="259">
        <f>SUM(I1344:AA1344)</f>
        <v>100</v>
      </c>
      <c r="AD1344" s="21"/>
      <c r="AE1344" s="21"/>
      <c r="AF1344" s="21"/>
      <c r="AG1344" s="25"/>
      <c r="AH1344" s="83" t="s">
        <v>1200</v>
      </c>
      <c r="AI1344" s="83"/>
      <c r="AJ1344" s="83"/>
      <c r="AK1344" s="19" t="s">
        <v>882</v>
      </c>
      <c r="AL1344" s="25">
        <f>(B1344-DATE(1970,1,1))*86400</f>
        <v>1587340800</v>
      </c>
      <c r="AM1344" s="25">
        <f>(C1344-DATE(1970,1,1))*86400</f>
        <v>1587859200</v>
      </c>
      <c r="AN1344" s="25">
        <f>AVERAGE(AL1344:AM1344)</f>
        <v>1587600000</v>
      </c>
    </row>
    <row r="1345" spans="1:40" ht="15.75" customHeight="1" x14ac:dyDescent="0.2">
      <c r="A1345" s="284" t="s">
        <v>123</v>
      </c>
      <c r="B1345" s="20">
        <v>43941</v>
      </c>
      <c r="C1345" s="20">
        <v>43947</v>
      </c>
      <c r="D1345" s="19" t="s">
        <v>134</v>
      </c>
      <c r="E1345" s="332" t="s">
        <v>125</v>
      </c>
      <c r="F1345" s="19"/>
      <c r="G1345" s="19" t="s">
        <v>135</v>
      </c>
      <c r="H1345" s="332">
        <v>2000</v>
      </c>
      <c r="I1345" s="21">
        <v>50</v>
      </c>
      <c r="J1345" s="21"/>
      <c r="K1345" s="21">
        <v>8</v>
      </c>
      <c r="L1345" s="21">
        <v>2</v>
      </c>
      <c r="M1345" s="21">
        <v>16</v>
      </c>
      <c r="N1345" s="21"/>
      <c r="O1345" s="21"/>
      <c r="P1345" s="21">
        <v>10</v>
      </c>
      <c r="Q1345" s="21"/>
      <c r="R1345" s="22">
        <v>9</v>
      </c>
      <c r="S1345" s="21"/>
      <c r="T1345" s="21"/>
      <c r="U1345" s="21"/>
      <c r="V1345" s="21">
        <v>1</v>
      </c>
      <c r="W1345" s="21"/>
      <c r="X1345" s="21">
        <v>2</v>
      </c>
      <c r="Y1345" s="21"/>
      <c r="Z1345" s="21">
        <v>2</v>
      </c>
      <c r="AA1345" s="21">
        <v>0</v>
      </c>
      <c r="AB1345" s="23">
        <f>100/(SUM(I1345:Z1345))</f>
        <v>1</v>
      </c>
      <c r="AC1345" s="259">
        <f>SUM(I1345:AA1345)</f>
        <v>100</v>
      </c>
      <c r="AD1345" s="21"/>
      <c r="AE1345" s="21"/>
      <c r="AF1345" s="21"/>
      <c r="AG1345" s="25"/>
      <c r="AH1345" s="83" t="s">
        <v>1200</v>
      </c>
      <c r="AI1345" s="83"/>
      <c r="AJ1345" s="83"/>
      <c r="AK1345" s="19" t="s">
        <v>1078</v>
      </c>
      <c r="AL1345" s="25">
        <f>(B1345-DATE(1970,1,1))*86400</f>
        <v>1587340800</v>
      </c>
      <c r="AM1345" s="25">
        <f>(C1345-DATE(1970,1,1))*86400</f>
        <v>1587859200</v>
      </c>
      <c r="AN1345" s="25">
        <f>AVERAGE(AL1345:AM1345)</f>
        <v>1587600000</v>
      </c>
    </row>
    <row r="1346" spans="1:40" ht="15.75" customHeight="1" x14ac:dyDescent="0.2">
      <c r="A1346" s="279" t="s">
        <v>133</v>
      </c>
      <c r="B1346" s="14">
        <v>43937</v>
      </c>
      <c r="C1346" s="14">
        <v>43939</v>
      </c>
      <c r="D1346" s="13" t="s">
        <v>124</v>
      </c>
      <c r="E1346" s="324" t="s">
        <v>125</v>
      </c>
      <c r="F1346" s="13" t="s">
        <v>140</v>
      </c>
      <c r="G1346" s="13" t="s">
        <v>126</v>
      </c>
      <c r="H1346" s="372">
        <v>1000</v>
      </c>
      <c r="I1346" s="15"/>
      <c r="J1346" s="15"/>
      <c r="K1346" s="15"/>
      <c r="L1346" s="15"/>
      <c r="M1346" s="15"/>
      <c r="N1346" s="15"/>
      <c r="O1346" s="15"/>
      <c r="P1346" s="15"/>
      <c r="Q1346" s="15"/>
      <c r="R1346" s="15"/>
      <c r="S1346" s="15"/>
      <c r="T1346" s="15"/>
      <c r="U1346" s="15"/>
      <c r="V1346" s="15"/>
      <c r="W1346" s="15"/>
      <c r="X1346" s="15"/>
      <c r="Y1346" s="15"/>
      <c r="Z1346" s="15"/>
      <c r="AA1346" s="15"/>
      <c r="AB1346" s="16" t="e">
        <f>100/(SUM(I1346:Z1346))</f>
        <v>#DIV/0!</v>
      </c>
      <c r="AC1346" s="259">
        <f>SUM(I1346:AA1346)</f>
        <v>0</v>
      </c>
      <c r="AD1346" s="15"/>
      <c r="AE1346" s="15"/>
      <c r="AF1346" s="15"/>
      <c r="AG1346" s="17"/>
      <c r="AH1346" s="18"/>
      <c r="AI1346" s="18"/>
      <c r="AJ1346" s="18"/>
      <c r="AK1346" s="13"/>
      <c r="AL1346" s="17">
        <f>(B1346-DATE(1970,1,1))*86400</f>
        <v>1586995200</v>
      </c>
      <c r="AM1346" s="17">
        <f>(C1346-DATE(1970,1,1))*86400</f>
        <v>1587168000</v>
      </c>
      <c r="AN1346" s="17">
        <f>AVERAGE(AL1346:AM1346)</f>
        <v>1587081600</v>
      </c>
    </row>
    <row r="1347" spans="1:40" ht="15.75" customHeight="1" x14ac:dyDescent="0.2">
      <c r="A1347" s="279" t="s">
        <v>123</v>
      </c>
      <c r="B1347" s="14">
        <v>43937</v>
      </c>
      <c r="C1347" s="14">
        <v>43939</v>
      </c>
      <c r="D1347" s="13" t="s">
        <v>124</v>
      </c>
      <c r="E1347" s="324" t="s">
        <v>125</v>
      </c>
      <c r="F1347" s="13"/>
      <c r="G1347" s="13" t="s">
        <v>126</v>
      </c>
      <c r="H1347" s="372">
        <v>1000</v>
      </c>
      <c r="I1347" s="15">
        <v>55</v>
      </c>
      <c r="J1347" s="15"/>
      <c r="K1347" s="15">
        <v>9</v>
      </c>
      <c r="L1347" s="15">
        <v>1</v>
      </c>
      <c r="M1347" s="15">
        <v>12</v>
      </c>
      <c r="N1347" s="15"/>
      <c r="O1347" s="15"/>
      <c r="P1347" s="15">
        <v>11</v>
      </c>
      <c r="Q1347" s="15"/>
      <c r="R1347" s="15">
        <v>3</v>
      </c>
      <c r="S1347" s="15"/>
      <c r="T1347" s="15"/>
      <c r="U1347" s="15"/>
      <c r="V1347" s="15">
        <v>5</v>
      </c>
      <c r="W1347" s="15"/>
      <c r="X1347" s="15">
        <v>1</v>
      </c>
      <c r="Y1347" s="15"/>
      <c r="Z1347" s="15"/>
      <c r="AA1347" s="15">
        <v>0</v>
      </c>
      <c r="AB1347" s="16">
        <f>100/(SUM(I1347:Z1347))</f>
        <v>1.0309278350515463</v>
      </c>
      <c r="AC1347" s="259">
        <f>SUM(I1347:AA1347)</f>
        <v>97</v>
      </c>
      <c r="AD1347" s="15"/>
      <c r="AE1347" s="15"/>
      <c r="AF1347" s="15"/>
      <c r="AG1347" s="17"/>
      <c r="AH1347" s="18" t="s">
        <v>1201</v>
      </c>
      <c r="AI1347" s="18" t="s">
        <v>1202</v>
      </c>
      <c r="AJ1347" s="201" t="s">
        <v>1925</v>
      </c>
      <c r="AK1347" s="13" t="s">
        <v>1203</v>
      </c>
      <c r="AL1347" s="17">
        <f>(B1347-DATE(1970,1,1))*86400</f>
        <v>1586995200</v>
      </c>
      <c r="AM1347" s="17">
        <f>(C1347-DATE(1970,1,1))*86400</f>
        <v>1587168000</v>
      </c>
      <c r="AN1347" s="17">
        <f>AVERAGE(AL1347:AM1347)</f>
        <v>1587081600</v>
      </c>
    </row>
    <row r="1348" spans="1:40" ht="15.75" customHeight="1" x14ac:dyDescent="0.2">
      <c r="A1348" s="286" t="s">
        <v>133</v>
      </c>
      <c r="B1348" s="41">
        <v>43935</v>
      </c>
      <c r="C1348" s="41">
        <v>43940</v>
      </c>
      <c r="D1348" s="40" t="s">
        <v>148</v>
      </c>
      <c r="E1348" s="325" t="s">
        <v>125</v>
      </c>
      <c r="F1348" s="40"/>
      <c r="G1348" s="40" t="s">
        <v>126</v>
      </c>
      <c r="H1348" s="325">
        <v>1500</v>
      </c>
      <c r="I1348" s="42">
        <v>35</v>
      </c>
      <c r="J1348" s="42"/>
      <c r="K1348" s="42">
        <v>6</v>
      </c>
      <c r="L1348" s="42">
        <v>2</v>
      </c>
      <c r="M1348" s="42">
        <v>10</v>
      </c>
      <c r="N1348" s="42"/>
      <c r="O1348" s="42"/>
      <c r="P1348" s="42">
        <v>5</v>
      </c>
      <c r="Q1348" s="42"/>
      <c r="R1348" s="43">
        <v>7</v>
      </c>
      <c r="S1348" s="42"/>
      <c r="T1348" s="42"/>
      <c r="U1348" s="42"/>
      <c r="V1348" s="42"/>
      <c r="W1348" s="42"/>
      <c r="X1348" s="42">
        <v>1</v>
      </c>
      <c r="Y1348" s="42"/>
      <c r="Z1348" s="42">
        <v>1</v>
      </c>
      <c r="AA1348" s="42">
        <v>33</v>
      </c>
      <c r="AB1348" s="44">
        <f>100/(SUM(I1348:Z1348))</f>
        <v>1.4925373134328359</v>
      </c>
      <c r="AC1348" s="259">
        <f>SUM(I1348:AA1348)</f>
        <v>100</v>
      </c>
      <c r="AD1348" s="42"/>
      <c r="AE1348" s="42"/>
      <c r="AF1348" s="42"/>
      <c r="AG1348" s="45" t="s">
        <v>391</v>
      </c>
      <c r="AH1348" s="132" t="s">
        <v>1204</v>
      </c>
      <c r="AI1348" s="132" t="s">
        <v>1205</v>
      </c>
      <c r="AJ1348" s="132"/>
      <c r="AK1348" s="40" t="s">
        <v>1142</v>
      </c>
      <c r="AL1348" s="45">
        <f>(B1348-DATE(1970,1,1))*86400</f>
        <v>1586822400</v>
      </c>
      <c r="AM1348" s="45">
        <f>(C1348-DATE(1970,1,1))*86400</f>
        <v>1587254400</v>
      </c>
      <c r="AN1348" s="45">
        <f>AVERAGE(AL1348:AM1348)</f>
        <v>1587038400</v>
      </c>
    </row>
    <row r="1349" spans="1:40" ht="15.75" customHeight="1" x14ac:dyDescent="0.2">
      <c r="A1349" s="309" t="s">
        <v>123</v>
      </c>
      <c r="B1349" s="41">
        <v>43935</v>
      </c>
      <c r="C1349" s="41">
        <v>43940</v>
      </c>
      <c r="D1349" s="40" t="s">
        <v>148</v>
      </c>
      <c r="E1349" s="325" t="s">
        <v>125</v>
      </c>
      <c r="F1349" s="40"/>
      <c r="G1349" s="40" t="s">
        <v>126</v>
      </c>
      <c r="H1349" s="325">
        <v>1500</v>
      </c>
      <c r="I1349" s="42">
        <v>53</v>
      </c>
      <c r="J1349" s="42"/>
      <c r="K1349" s="42">
        <v>9</v>
      </c>
      <c r="L1349" s="42">
        <v>3</v>
      </c>
      <c r="M1349" s="42">
        <v>15</v>
      </c>
      <c r="N1349" s="42"/>
      <c r="O1349" s="42"/>
      <c r="P1349" s="42">
        <v>8</v>
      </c>
      <c r="Q1349" s="42"/>
      <c r="R1349" s="43">
        <v>11</v>
      </c>
      <c r="S1349" s="42"/>
      <c r="T1349" s="42"/>
      <c r="U1349" s="42"/>
      <c r="V1349" s="42"/>
      <c r="W1349" s="42"/>
      <c r="X1349" s="42">
        <v>1</v>
      </c>
      <c r="Y1349" s="42"/>
      <c r="Z1349" s="42">
        <v>0</v>
      </c>
      <c r="AA1349" s="42">
        <v>0</v>
      </c>
      <c r="AB1349" s="44">
        <f>100/(SUM(I1349:Z1349))</f>
        <v>1</v>
      </c>
      <c r="AC1349" s="259">
        <f>SUM(I1349:AA1349)</f>
        <v>100</v>
      </c>
      <c r="AD1349" s="42"/>
      <c r="AE1349" s="42"/>
      <c r="AF1349" s="42"/>
      <c r="AG1349" s="45" t="s">
        <v>391</v>
      </c>
      <c r="AH1349" s="132" t="s">
        <v>1204</v>
      </c>
      <c r="AI1349" s="132" t="s">
        <v>1205</v>
      </c>
      <c r="AJ1349" s="132"/>
      <c r="AK1349" s="40" t="s">
        <v>1206</v>
      </c>
      <c r="AL1349" s="45">
        <f>(B1349-DATE(1970,1,1))*86400</f>
        <v>1586822400</v>
      </c>
      <c r="AM1349" s="45">
        <f>(C1349-DATE(1970,1,1))*86400</f>
        <v>1587254400</v>
      </c>
      <c r="AN1349" s="45">
        <f>AVERAGE(AL1349:AM1349)</f>
        <v>1587038400</v>
      </c>
    </row>
    <row r="1350" spans="1:40" ht="15.75" customHeight="1" x14ac:dyDescent="0.2">
      <c r="A1350" s="281" t="s">
        <v>133</v>
      </c>
      <c r="B1350" s="54">
        <v>43935</v>
      </c>
      <c r="C1350" s="54">
        <v>43939</v>
      </c>
      <c r="D1350" s="53" t="s">
        <v>154</v>
      </c>
      <c r="E1350" s="323" t="s">
        <v>125</v>
      </c>
      <c r="F1350" s="53"/>
      <c r="G1350" s="53" t="s">
        <v>126</v>
      </c>
      <c r="H1350" s="378">
        <v>1005</v>
      </c>
      <c r="I1350" s="55">
        <v>29</v>
      </c>
      <c r="J1350" s="55"/>
      <c r="K1350" s="55">
        <v>7</v>
      </c>
      <c r="L1350" s="55">
        <v>1</v>
      </c>
      <c r="M1350" s="55">
        <v>8</v>
      </c>
      <c r="N1350" s="56"/>
      <c r="O1350" s="56"/>
      <c r="P1350" s="55">
        <v>5</v>
      </c>
      <c r="Q1350" s="55"/>
      <c r="R1350" s="55">
        <v>7</v>
      </c>
      <c r="S1350" s="55"/>
      <c r="T1350" s="55"/>
      <c r="U1350" s="55"/>
      <c r="V1350" s="55">
        <v>1</v>
      </c>
      <c r="W1350" s="55"/>
      <c r="X1350" s="55">
        <v>0</v>
      </c>
      <c r="Y1350" s="55"/>
      <c r="Z1350" s="55">
        <v>1</v>
      </c>
      <c r="AA1350" s="55">
        <v>41</v>
      </c>
      <c r="AB1350" s="57">
        <f>100/(SUM(I1350:Z1350))</f>
        <v>1.6949152542372881</v>
      </c>
      <c r="AC1350" s="259">
        <f>SUM(I1350:AA1350)</f>
        <v>100</v>
      </c>
      <c r="AD1350" s="55"/>
      <c r="AE1350" s="55"/>
      <c r="AF1350" s="55"/>
      <c r="AG1350" s="58"/>
      <c r="AH1350" s="59" t="s">
        <v>1207</v>
      </c>
      <c r="AI1350" s="59" t="s">
        <v>1208</v>
      </c>
      <c r="AJ1350" s="59" t="s">
        <v>1209</v>
      </c>
      <c r="AK1350" s="53"/>
      <c r="AL1350" s="58">
        <f>(B1350-DATE(1970,1,1))*86400</f>
        <v>1586822400</v>
      </c>
      <c r="AM1350" s="58">
        <f>(C1350-DATE(1970,1,1))*86400</f>
        <v>1587168000</v>
      </c>
      <c r="AN1350" s="58">
        <f>AVERAGE(AL1350:AM1350)</f>
        <v>1586995200</v>
      </c>
    </row>
    <row r="1351" spans="1:40" ht="15.75" customHeight="1" x14ac:dyDescent="0.2">
      <c r="A1351" s="281" t="s">
        <v>123</v>
      </c>
      <c r="B1351" s="54">
        <v>43935</v>
      </c>
      <c r="C1351" s="54">
        <v>43939</v>
      </c>
      <c r="D1351" s="53" t="s">
        <v>154</v>
      </c>
      <c r="E1351" s="323" t="s">
        <v>125</v>
      </c>
      <c r="F1351" s="53"/>
      <c r="G1351" s="53" t="s">
        <v>126</v>
      </c>
      <c r="H1351" s="378">
        <v>1005</v>
      </c>
      <c r="I1351" s="55">
        <v>40</v>
      </c>
      <c r="J1351" s="55"/>
      <c r="K1351" s="55">
        <v>8</v>
      </c>
      <c r="L1351" s="55">
        <v>1</v>
      </c>
      <c r="M1351" s="55">
        <v>11</v>
      </c>
      <c r="N1351" s="56"/>
      <c r="O1351" s="56"/>
      <c r="P1351" s="55">
        <v>6</v>
      </c>
      <c r="Q1351" s="55"/>
      <c r="R1351" s="55">
        <v>9</v>
      </c>
      <c r="S1351" s="55"/>
      <c r="T1351" s="55"/>
      <c r="U1351" s="55"/>
      <c r="V1351" s="55">
        <v>1</v>
      </c>
      <c r="W1351" s="55"/>
      <c r="X1351" s="55">
        <v>0</v>
      </c>
      <c r="Y1351" s="55"/>
      <c r="Z1351" s="55">
        <v>2</v>
      </c>
      <c r="AA1351" s="55">
        <v>22</v>
      </c>
      <c r="AB1351" s="57">
        <f>100/(SUM(I1351:Z1351))</f>
        <v>1.2820512820512822</v>
      </c>
      <c r="AC1351" s="259">
        <f>SUM(I1351:AA1351)</f>
        <v>100</v>
      </c>
      <c r="AD1351" s="55"/>
      <c r="AE1351" s="55"/>
      <c r="AF1351" s="55"/>
      <c r="AG1351" s="58"/>
      <c r="AH1351" s="59" t="s">
        <v>1207</v>
      </c>
      <c r="AI1351" s="59" t="s">
        <v>1208</v>
      </c>
      <c r="AJ1351" s="59" t="s">
        <v>1209</v>
      </c>
      <c r="AK1351" s="53"/>
      <c r="AL1351" s="58">
        <f>(B1351-DATE(1970,1,1))*86400</f>
        <v>1586822400</v>
      </c>
      <c r="AM1351" s="58">
        <f>(C1351-DATE(1970,1,1))*86400</f>
        <v>1587168000</v>
      </c>
      <c r="AN1351" s="58">
        <f>AVERAGE(AL1351:AM1351)</f>
        <v>1586995200</v>
      </c>
    </row>
    <row r="1352" spans="1:40" ht="15.75" customHeight="1" x14ac:dyDescent="0.2">
      <c r="A1352" s="281" t="s">
        <v>123</v>
      </c>
      <c r="B1352" s="54">
        <v>43935</v>
      </c>
      <c r="C1352" s="54">
        <v>43939</v>
      </c>
      <c r="D1352" s="53" t="s">
        <v>154</v>
      </c>
      <c r="E1352" s="323" t="s">
        <v>125</v>
      </c>
      <c r="F1352" s="53"/>
      <c r="G1352" s="53" t="s">
        <v>126</v>
      </c>
      <c r="H1352" s="378">
        <v>1005</v>
      </c>
      <c r="I1352" s="55">
        <v>51</v>
      </c>
      <c r="J1352" s="55"/>
      <c r="K1352" s="55">
        <v>10</v>
      </c>
      <c r="L1352" s="55">
        <v>2</v>
      </c>
      <c r="M1352" s="55">
        <v>13</v>
      </c>
      <c r="N1352" s="56"/>
      <c r="O1352" s="56"/>
      <c r="P1352" s="55">
        <v>7</v>
      </c>
      <c r="Q1352" s="55"/>
      <c r="R1352" s="55">
        <v>11</v>
      </c>
      <c r="S1352" s="55"/>
      <c r="T1352" s="55"/>
      <c r="U1352" s="55"/>
      <c r="V1352" s="55">
        <v>2</v>
      </c>
      <c r="W1352" s="55"/>
      <c r="X1352" s="55">
        <v>1</v>
      </c>
      <c r="Y1352" s="55"/>
      <c r="Z1352" s="55">
        <v>2</v>
      </c>
      <c r="AA1352" s="55">
        <v>0</v>
      </c>
      <c r="AB1352" s="57">
        <f>100/(SUM(I1352:Z1352))</f>
        <v>1.0101010101010102</v>
      </c>
      <c r="AC1352" s="259">
        <f>SUM(I1352:AA1352)</f>
        <v>99</v>
      </c>
      <c r="AD1352" s="55"/>
      <c r="AE1352" s="55"/>
      <c r="AF1352" s="55"/>
      <c r="AG1352" s="58"/>
      <c r="AH1352" s="59" t="s">
        <v>1207</v>
      </c>
      <c r="AI1352" s="59" t="s">
        <v>1208</v>
      </c>
      <c r="AJ1352" s="59" t="s">
        <v>1209</v>
      </c>
      <c r="AK1352" s="53"/>
      <c r="AL1352" s="58">
        <f>(B1352-DATE(1970,1,1))*86400</f>
        <v>1586822400</v>
      </c>
      <c r="AM1352" s="58">
        <f>(C1352-DATE(1970,1,1))*86400</f>
        <v>1587168000</v>
      </c>
      <c r="AN1352" s="58">
        <f>AVERAGE(AL1352:AM1352)</f>
        <v>1586995200</v>
      </c>
    </row>
    <row r="1353" spans="1:40" ht="15.75" customHeight="1" x14ac:dyDescent="0.2">
      <c r="A1353" s="302" t="s">
        <v>123</v>
      </c>
      <c r="B1353" s="254">
        <v>43922</v>
      </c>
      <c r="C1353" s="254">
        <v>43951</v>
      </c>
      <c r="D1353" s="121" t="s">
        <v>2445</v>
      </c>
      <c r="E1353" s="322" t="s">
        <v>184</v>
      </c>
      <c r="F1353" s="121" t="s">
        <v>2377</v>
      </c>
      <c r="G1353" s="262" t="s">
        <v>244</v>
      </c>
      <c r="H1353" s="379">
        <v>500</v>
      </c>
      <c r="I1353" s="123">
        <v>56</v>
      </c>
      <c r="J1353" s="123"/>
      <c r="K1353" s="123"/>
      <c r="L1353" s="123"/>
      <c r="M1353" s="123"/>
      <c r="N1353" s="123"/>
      <c r="O1353" s="123"/>
      <c r="P1353" s="123"/>
      <c r="Q1353" s="123"/>
      <c r="R1353" s="124"/>
      <c r="S1353" s="123"/>
      <c r="T1353" s="123"/>
      <c r="U1353" s="123">
        <v>33</v>
      </c>
      <c r="V1353" s="123"/>
      <c r="W1353" s="123"/>
      <c r="X1353" s="123"/>
      <c r="Y1353" s="123"/>
      <c r="Z1353" s="123"/>
      <c r="AA1353" s="123"/>
      <c r="AB1353" s="125">
        <f>100/(SUM(I1353:Z1353))</f>
        <v>1.1235955056179776</v>
      </c>
      <c r="AC1353" s="259">
        <f>SUM(I1353:AA1353)</f>
        <v>89</v>
      </c>
      <c r="AD1353" s="123"/>
      <c r="AE1353" s="123"/>
      <c r="AF1353" s="123"/>
      <c r="AG1353" s="126" t="s">
        <v>719</v>
      </c>
      <c r="AH1353" s="253" t="s">
        <v>1992</v>
      </c>
      <c r="AI1353" s="127"/>
      <c r="AJ1353" s="127"/>
      <c r="AK1353" s="121" t="s">
        <v>1991</v>
      </c>
      <c r="AL1353" s="126">
        <f>(B1353-DATE(1970,1,1))*86400</f>
        <v>1585699200</v>
      </c>
      <c r="AM1353" s="126">
        <f>(C1353-DATE(1970,1,1))*86400</f>
        <v>1588204800</v>
      </c>
      <c r="AN1353" s="126">
        <f>AVERAGE(AL1353:AM1353)</f>
        <v>1586952000</v>
      </c>
    </row>
    <row r="1354" spans="1:40" ht="15.75" customHeight="1" x14ac:dyDescent="0.2">
      <c r="A1354" s="281" t="s">
        <v>133</v>
      </c>
      <c r="B1354" s="54">
        <v>43907</v>
      </c>
      <c r="C1354" s="54">
        <v>43911</v>
      </c>
      <c r="D1354" s="53" t="s">
        <v>154</v>
      </c>
      <c r="E1354" s="323" t="s">
        <v>125</v>
      </c>
      <c r="F1354" s="53"/>
      <c r="G1354" s="53" t="s">
        <v>126</v>
      </c>
      <c r="H1354" s="378">
        <v>1003</v>
      </c>
      <c r="I1354" s="55">
        <v>30</v>
      </c>
      <c r="J1354" s="55"/>
      <c r="K1354" s="55">
        <v>6</v>
      </c>
      <c r="L1354" s="55">
        <v>1</v>
      </c>
      <c r="M1354" s="55">
        <v>8</v>
      </c>
      <c r="N1354" s="56"/>
      <c r="O1354" s="56"/>
      <c r="P1354" s="55">
        <v>3</v>
      </c>
      <c r="Q1354" s="55"/>
      <c r="R1354" s="55">
        <v>7</v>
      </c>
      <c r="S1354" s="55"/>
      <c r="T1354" s="55"/>
      <c r="U1354" s="55"/>
      <c r="V1354" s="55">
        <v>1</v>
      </c>
      <c r="W1354" s="55"/>
      <c r="X1354" s="55">
        <v>1</v>
      </c>
      <c r="Y1354" s="55"/>
      <c r="Z1354" s="55">
        <v>2</v>
      </c>
      <c r="AA1354" s="55">
        <v>41</v>
      </c>
      <c r="AB1354" s="57">
        <f>100/(SUM(I1354:Z1354))</f>
        <v>1.6949152542372881</v>
      </c>
      <c r="AC1354" s="259">
        <f>SUM(I1354:AA1354)</f>
        <v>100</v>
      </c>
      <c r="AD1354" s="55"/>
      <c r="AE1354" s="55"/>
      <c r="AF1354" s="55"/>
      <c r="AG1354" s="58"/>
      <c r="AH1354" s="59" t="s">
        <v>1210</v>
      </c>
      <c r="AI1354" s="59" t="s">
        <v>1211</v>
      </c>
      <c r="AJ1354" s="59"/>
      <c r="AK1354" s="53" t="s">
        <v>1212</v>
      </c>
      <c r="AL1354" s="58">
        <f>(B1354-DATE(1970,1,1))*86400</f>
        <v>1584403200</v>
      </c>
      <c r="AM1354" s="58">
        <f>(C1354-DATE(1970,1,1))*86400</f>
        <v>1584748800</v>
      </c>
      <c r="AN1354" s="58">
        <f>AVERAGE(AL1354:AM1354)</f>
        <v>1584576000</v>
      </c>
    </row>
    <row r="1355" spans="1:40" ht="15.75" customHeight="1" x14ac:dyDescent="0.2">
      <c r="A1355" s="281" t="s">
        <v>123</v>
      </c>
      <c r="B1355" s="54">
        <v>43907</v>
      </c>
      <c r="C1355" s="54">
        <v>43911</v>
      </c>
      <c r="D1355" s="53" t="s">
        <v>154</v>
      </c>
      <c r="E1355" s="323" t="s">
        <v>125</v>
      </c>
      <c r="F1355" s="53"/>
      <c r="G1355" s="53" t="s">
        <v>126</v>
      </c>
      <c r="H1355" s="378">
        <v>1003</v>
      </c>
      <c r="I1355" s="55">
        <v>41</v>
      </c>
      <c r="J1355" s="55"/>
      <c r="K1355" s="55">
        <v>8</v>
      </c>
      <c r="L1355" s="55">
        <v>1</v>
      </c>
      <c r="M1355" s="55">
        <v>10</v>
      </c>
      <c r="N1355" s="55"/>
      <c r="O1355" s="55"/>
      <c r="P1355" s="55">
        <v>3</v>
      </c>
      <c r="Q1355" s="55"/>
      <c r="R1355" s="55">
        <v>9</v>
      </c>
      <c r="S1355" s="55"/>
      <c r="T1355" s="55"/>
      <c r="U1355" s="55"/>
      <c r="V1355" s="55">
        <v>1</v>
      </c>
      <c r="W1355" s="55"/>
      <c r="X1355" s="55">
        <v>1</v>
      </c>
      <c r="Y1355" s="55"/>
      <c r="Z1355" s="55">
        <v>2</v>
      </c>
      <c r="AA1355" s="55">
        <v>24</v>
      </c>
      <c r="AB1355" s="57">
        <f>100/(SUM(I1355:Z1355))</f>
        <v>1.3157894736842106</v>
      </c>
      <c r="AC1355" s="259">
        <f>SUM(I1355:AA1355)</f>
        <v>100</v>
      </c>
      <c r="AD1355" s="55"/>
      <c r="AE1355" s="55"/>
      <c r="AF1355" s="55"/>
      <c r="AG1355" s="58"/>
      <c r="AH1355" s="59" t="s">
        <v>1210</v>
      </c>
      <c r="AI1355" s="59"/>
      <c r="AJ1355" s="53"/>
      <c r="AK1355" s="53"/>
      <c r="AL1355" s="58">
        <f>(B1355-DATE(1970,1,1))*86400</f>
        <v>1584403200</v>
      </c>
      <c r="AM1355" s="58">
        <f>(C1355-DATE(1970,1,1))*86400</f>
        <v>1584748800</v>
      </c>
      <c r="AN1355" s="58">
        <f>AVERAGE(AL1355:AM1355)</f>
        <v>1584576000</v>
      </c>
    </row>
    <row r="1356" spans="1:40" ht="15.75" customHeight="1" x14ac:dyDescent="0.2">
      <c r="A1356" s="281" t="s">
        <v>123</v>
      </c>
      <c r="B1356" s="54">
        <v>43907</v>
      </c>
      <c r="C1356" s="54">
        <v>43911</v>
      </c>
      <c r="D1356" s="53" t="s">
        <v>154</v>
      </c>
      <c r="E1356" s="323" t="s">
        <v>125</v>
      </c>
      <c r="F1356" s="53"/>
      <c r="G1356" s="53" t="s">
        <v>126</v>
      </c>
      <c r="H1356" s="378">
        <v>1003</v>
      </c>
      <c r="I1356" s="55">
        <v>52</v>
      </c>
      <c r="J1356" s="55"/>
      <c r="K1356" s="55">
        <v>10</v>
      </c>
      <c r="L1356" s="55">
        <v>2</v>
      </c>
      <c r="M1356" s="55">
        <v>13</v>
      </c>
      <c r="N1356" s="55"/>
      <c r="O1356" s="55"/>
      <c r="P1356" s="55">
        <v>4</v>
      </c>
      <c r="Q1356" s="55"/>
      <c r="R1356" s="55">
        <v>11</v>
      </c>
      <c r="S1356" s="55"/>
      <c r="T1356" s="55"/>
      <c r="U1356" s="55"/>
      <c r="V1356" s="55">
        <v>2</v>
      </c>
      <c r="W1356" s="55"/>
      <c r="X1356" s="55">
        <v>2</v>
      </c>
      <c r="Y1356" s="55"/>
      <c r="Z1356" s="55">
        <v>3</v>
      </c>
      <c r="AA1356" s="55">
        <v>0</v>
      </c>
      <c r="AB1356" s="57">
        <f>100/(SUM(I1356:Z1356))</f>
        <v>1.0101010101010102</v>
      </c>
      <c r="AC1356" s="259">
        <f>SUM(I1356:AA1356)</f>
        <v>99</v>
      </c>
      <c r="AD1356" s="55"/>
      <c r="AE1356" s="55"/>
      <c r="AF1356" s="55"/>
      <c r="AG1356" s="58"/>
      <c r="AH1356" s="59" t="s">
        <v>1210</v>
      </c>
      <c r="AI1356" s="59" t="s">
        <v>1211</v>
      </c>
      <c r="AJ1356" s="53"/>
      <c r="AK1356" s="53"/>
      <c r="AL1356" s="58">
        <f>(B1356-DATE(1970,1,1))*86400</f>
        <v>1584403200</v>
      </c>
      <c r="AM1356" s="58">
        <f>(C1356-DATE(1970,1,1))*86400</f>
        <v>1584748800</v>
      </c>
      <c r="AN1356" s="58">
        <f>AVERAGE(AL1356:AM1356)</f>
        <v>1584576000</v>
      </c>
    </row>
    <row r="1357" spans="1:40" ht="15.75" customHeight="1" x14ac:dyDescent="0.2">
      <c r="A1357" s="284" t="s">
        <v>133</v>
      </c>
      <c r="B1357" s="20">
        <v>43907</v>
      </c>
      <c r="C1357" s="20">
        <v>43910</v>
      </c>
      <c r="D1357" s="19" t="s">
        <v>134</v>
      </c>
      <c r="E1357" s="332" t="s">
        <v>125</v>
      </c>
      <c r="F1357" s="19"/>
      <c r="G1357" s="19" t="s">
        <v>135</v>
      </c>
      <c r="H1357" s="332">
        <v>2000</v>
      </c>
      <c r="I1357" s="21">
        <v>30</v>
      </c>
      <c r="J1357" s="21"/>
      <c r="K1357" s="21">
        <v>6</v>
      </c>
      <c r="L1357" s="21">
        <v>2</v>
      </c>
      <c r="M1357" s="21">
        <v>10</v>
      </c>
      <c r="N1357" s="21"/>
      <c r="O1357" s="21"/>
      <c r="P1357" s="21">
        <v>6</v>
      </c>
      <c r="Q1357" s="21"/>
      <c r="R1357" s="22">
        <v>7</v>
      </c>
      <c r="S1357" s="21"/>
      <c r="T1357" s="21"/>
      <c r="U1357" s="21"/>
      <c r="V1357" s="21">
        <v>1</v>
      </c>
      <c r="W1357" s="21"/>
      <c r="X1357" s="21">
        <v>2</v>
      </c>
      <c r="Y1357" s="21"/>
      <c r="Z1357" s="21">
        <v>1</v>
      </c>
      <c r="AA1357" s="21">
        <v>35</v>
      </c>
      <c r="AB1357" s="23">
        <f>100/(SUM(I1357:Z1357))</f>
        <v>1.5384615384615385</v>
      </c>
      <c r="AC1357" s="259">
        <f>SUM(I1357:AA1357)</f>
        <v>100</v>
      </c>
      <c r="AD1357" s="21"/>
      <c r="AE1357" s="21"/>
      <c r="AF1357" s="21"/>
      <c r="AG1357" s="25"/>
      <c r="AH1357" s="83" t="s">
        <v>1213</v>
      </c>
      <c r="AI1357" s="83"/>
      <c r="AJ1357" s="83"/>
      <c r="AK1357" s="19" t="s">
        <v>1142</v>
      </c>
      <c r="AL1357" s="25">
        <f>(B1357-DATE(1970,1,1))*86400</f>
        <v>1584403200</v>
      </c>
      <c r="AM1357" s="25">
        <f>(C1357-DATE(1970,1,1))*86400</f>
        <v>1584662400</v>
      </c>
      <c r="AN1357" s="25">
        <f>AVERAGE(AL1357:AM1357)</f>
        <v>1584532800</v>
      </c>
    </row>
    <row r="1358" spans="1:40" ht="15.75" customHeight="1" x14ac:dyDescent="0.2">
      <c r="A1358" s="284" t="s">
        <v>123</v>
      </c>
      <c r="B1358" s="20">
        <v>43907</v>
      </c>
      <c r="C1358" s="20">
        <v>43910</v>
      </c>
      <c r="D1358" s="19" t="s">
        <v>134</v>
      </c>
      <c r="E1358" s="332" t="s">
        <v>125</v>
      </c>
      <c r="F1358" s="19"/>
      <c r="G1358" s="19" t="s">
        <v>135</v>
      </c>
      <c r="H1358" s="332">
        <v>2000</v>
      </c>
      <c r="I1358" s="21">
        <v>49</v>
      </c>
      <c r="J1358" s="21"/>
      <c r="K1358" s="21">
        <v>9</v>
      </c>
      <c r="L1358" s="21">
        <v>2</v>
      </c>
      <c r="M1358" s="21">
        <v>16</v>
      </c>
      <c r="N1358" s="21"/>
      <c r="O1358" s="21"/>
      <c r="P1358" s="21">
        <v>9</v>
      </c>
      <c r="Q1358" s="21"/>
      <c r="R1358" s="22">
        <v>9</v>
      </c>
      <c r="S1358" s="21"/>
      <c r="T1358" s="21"/>
      <c r="U1358" s="21"/>
      <c r="V1358" s="21">
        <v>2</v>
      </c>
      <c r="W1358" s="21"/>
      <c r="X1358" s="21">
        <v>3</v>
      </c>
      <c r="Y1358" s="21"/>
      <c r="Z1358" s="21">
        <v>1</v>
      </c>
      <c r="AA1358" s="21">
        <v>0</v>
      </c>
      <c r="AB1358" s="23">
        <f>100/(SUM(I1358:Z1358))</f>
        <v>1</v>
      </c>
      <c r="AC1358" s="259">
        <f>SUM(I1358:AA1358)</f>
        <v>100</v>
      </c>
      <c r="AD1358" s="21"/>
      <c r="AE1358" s="21"/>
      <c r="AF1358" s="21"/>
      <c r="AG1358" s="25"/>
      <c r="AH1358" s="83" t="s">
        <v>1213</v>
      </c>
      <c r="AI1358" s="83"/>
      <c r="AJ1358" s="83"/>
      <c r="AK1358" s="19" t="s">
        <v>1078</v>
      </c>
      <c r="AL1358" s="25">
        <f>(B1358-DATE(1970,1,1))*86400</f>
        <v>1584403200</v>
      </c>
      <c r="AM1358" s="25">
        <f>(C1358-DATE(1970,1,1))*86400</f>
        <v>1584662400</v>
      </c>
      <c r="AN1358" s="25">
        <f>AVERAGE(AL1358:AM1358)</f>
        <v>1584532800</v>
      </c>
    </row>
    <row r="1359" spans="1:40" ht="15.75" customHeight="1" x14ac:dyDescent="0.2">
      <c r="A1359" s="302" t="s">
        <v>123</v>
      </c>
      <c r="B1359" s="254">
        <v>43891</v>
      </c>
      <c r="C1359" s="254">
        <v>43921</v>
      </c>
      <c r="D1359" s="121" t="s">
        <v>2445</v>
      </c>
      <c r="E1359" s="322" t="s">
        <v>184</v>
      </c>
      <c r="F1359" s="121" t="s">
        <v>2377</v>
      </c>
      <c r="G1359" s="262" t="s">
        <v>244</v>
      </c>
      <c r="H1359" s="379">
        <v>500</v>
      </c>
      <c r="I1359" s="123">
        <v>40</v>
      </c>
      <c r="J1359" s="123"/>
      <c r="K1359" s="123"/>
      <c r="L1359" s="123"/>
      <c r="M1359" s="123"/>
      <c r="N1359" s="123"/>
      <c r="O1359" s="123"/>
      <c r="P1359" s="123"/>
      <c r="Q1359" s="123"/>
      <c r="R1359" s="124"/>
      <c r="S1359" s="123"/>
      <c r="T1359" s="123"/>
      <c r="U1359" s="123">
        <v>42</v>
      </c>
      <c r="V1359" s="123"/>
      <c r="W1359" s="123"/>
      <c r="X1359" s="123"/>
      <c r="Y1359" s="123"/>
      <c r="Z1359" s="123"/>
      <c r="AA1359" s="123"/>
      <c r="AB1359" s="125">
        <f>100/(SUM(I1359:Z1359))</f>
        <v>1.2195121951219512</v>
      </c>
      <c r="AC1359" s="259">
        <f>SUM(I1359:AA1359)</f>
        <v>82</v>
      </c>
      <c r="AD1359" s="123"/>
      <c r="AE1359" s="123"/>
      <c r="AF1359" s="123"/>
      <c r="AG1359" s="126" t="s">
        <v>719</v>
      </c>
      <c r="AH1359" s="253" t="s">
        <v>1992</v>
      </c>
      <c r="AI1359" s="127"/>
      <c r="AJ1359" s="127"/>
      <c r="AK1359" s="121" t="s">
        <v>1991</v>
      </c>
      <c r="AL1359" s="126">
        <f>(B1359-DATE(1970,1,1))*86400</f>
        <v>1583020800</v>
      </c>
      <c r="AM1359" s="126">
        <f>(C1359-DATE(1970,1,1))*86400</f>
        <v>1585612800</v>
      </c>
      <c r="AN1359" s="126">
        <f>AVERAGE(AL1359:AM1359)</f>
        <v>1584316800</v>
      </c>
    </row>
    <row r="1360" spans="1:40" ht="15.75" customHeight="1" x14ac:dyDescent="0.2">
      <c r="A1360" s="279" t="s">
        <v>133</v>
      </c>
      <c r="B1360" s="14">
        <v>43902</v>
      </c>
      <c r="C1360" s="14">
        <v>43904</v>
      </c>
      <c r="D1360" s="13" t="s">
        <v>124</v>
      </c>
      <c r="E1360" s="324" t="s">
        <v>125</v>
      </c>
      <c r="F1360" s="13"/>
      <c r="G1360" s="13" t="s">
        <v>126</v>
      </c>
      <c r="H1360" s="372">
        <v>1000</v>
      </c>
      <c r="I1360" s="15">
        <v>41</v>
      </c>
      <c r="J1360" s="15"/>
      <c r="K1360" s="15">
        <v>8</v>
      </c>
      <c r="L1360" s="15">
        <v>2</v>
      </c>
      <c r="M1360" s="15">
        <v>7</v>
      </c>
      <c r="N1360" s="15"/>
      <c r="O1360" s="15"/>
      <c r="P1360" s="15">
        <v>8</v>
      </c>
      <c r="Q1360" s="15"/>
      <c r="R1360" s="15">
        <v>3</v>
      </c>
      <c r="S1360" s="15"/>
      <c r="T1360" s="15"/>
      <c r="U1360" s="15"/>
      <c r="V1360" s="15">
        <v>4</v>
      </c>
      <c r="W1360" s="15"/>
      <c r="X1360" s="15">
        <v>1</v>
      </c>
      <c r="Y1360" s="15"/>
      <c r="Z1360" s="15">
        <v>1</v>
      </c>
      <c r="AA1360" s="15">
        <v>25</v>
      </c>
      <c r="AB1360" s="16">
        <f>100/(SUM(I1360:Z1360))</f>
        <v>1.3333333333333333</v>
      </c>
      <c r="AC1360" s="259">
        <f>SUM(I1360:AA1360)</f>
        <v>100</v>
      </c>
      <c r="AD1360" s="15"/>
      <c r="AE1360" s="15"/>
      <c r="AF1360" s="15"/>
      <c r="AG1360" s="17"/>
      <c r="AH1360" s="18" t="s">
        <v>1214</v>
      </c>
      <c r="AI1360" s="18" t="s">
        <v>1215</v>
      </c>
      <c r="AJ1360" s="18" t="s">
        <v>1216</v>
      </c>
      <c r="AK1360" s="13" t="s">
        <v>1217</v>
      </c>
      <c r="AL1360" s="17">
        <f>(B1360-DATE(1970,1,1))*86400</f>
        <v>1583971200</v>
      </c>
      <c r="AM1360" s="17">
        <f>(C1360-DATE(1970,1,1))*86400</f>
        <v>1584144000</v>
      </c>
      <c r="AN1360" s="17">
        <f>AVERAGE(AL1360:AM1360)</f>
        <v>1584057600</v>
      </c>
    </row>
    <row r="1361" spans="1:40" ht="15.75" customHeight="1" x14ac:dyDescent="0.2">
      <c r="A1361" s="279" t="s">
        <v>123</v>
      </c>
      <c r="B1361" s="14">
        <v>43902</v>
      </c>
      <c r="C1361" s="14">
        <v>43904</v>
      </c>
      <c r="D1361" s="13" t="s">
        <v>124</v>
      </c>
      <c r="E1361" s="324" t="s">
        <v>125</v>
      </c>
      <c r="F1361" s="13"/>
      <c r="G1361" s="13" t="s">
        <v>126</v>
      </c>
      <c r="H1361" s="372">
        <v>1000</v>
      </c>
      <c r="I1361" s="15">
        <v>51</v>
      </c>
      <c r="J1361" s="15"/>
      <c r="K1361" s="15">
        <v>10</v>
      </c>
      <c r="L1361" s="15">
        <v>3</v>
      </c>
      <c r="M1361" s="15">
        <v>10</v>
      </c>
      <c r="N1361" s="15"/>
      <c r="O1361" s="15"/>
      <c r="P1361" s="15">
        <v>13</v>
      </c>
      <c r="Q1361" s="15"/>
      <c r="R1361" s="15">
        <v>5</v>
      </c>
      <c r="S1361" s="15"/>
      <c r="T1361" s="15"/>
      <c r="U1361" s="15"/>
      <c r="V1361" s="15">
        <v>5</v>
      </c>
      <c r="W1361" s="15"/>
      <c r="X1361" s="15">
        <v>2</v>
      </c>
      <c r="Y1361" s="15"/>
      <c r="Z1361" s="15">
        <v>1</v>
      </c>
      <c r="AA1361" s="15">
        <v>0</v>
      </c>
      <c r="AB1361" s="16">
        <f>100/(SUM(I1361:Z1361))</f>
        <v>1</v>
      </c>
      <c r="AC1361" s="259">
        <f>SUM(I1361:AA1361)</f>
        <v>100</v>
      </c>
      <c r="AD1361" s="15"/>
      <c r="AE1361" s="15"/>
      <c r="AF1361" s="15"/>
      <c r="AG1361" s="17"/>
      <c r="AH1361" s="18" t="s">
        <v>1214</v>
      </c>
      <c r="AI1361" s="18" t="s">
        <v>1215</v>
      </c>
      <c r="AJ1361" s="18" t="s">
        <v>1216</v>
      </c>
      <c r="AK1361" s="13" t="s">
        <v>1218</v>
      </c>
      <c r="AL1361" s="17">
        <f>(B1361-DATE(1970,1,1))*86400</f>
        <v>1583971200</v>
      </c>
      <c r="AM1361" s="17">
        <f>(C1361-DATE(1970,1,1))*86400</f>
        <v>1584144000</v>
      </c>
      <c r="AN1361" s="17">
        <f>AVERAGE(AL1361:AM1361)</f>
        <v>1584057600</v>
      </c>
    </row>
    <row r="1362" spans="1:40" ht="15.75" customHeight="1" x14ac:dyDescent="0.2">
      <c r="A1362" s="286" t="s">
        <v>133</v>
      </c>
      <c r="B1362" s="41">
        <v>43893</v>
      </c>
      <c r="C1362" s="41">
        <v>43903</v>
      </c>
      <c r="D1362" s="40" t="s">
        <v>148</v>
      </c>
      <c r="E1362" s="325" t="s">
        <v>125</v>
      </c>
      <c r="F1362" s="40"/>
      <c r="G1362" s="40" t="s">
        <v>149</v>
      </c>
      <c r="H1362" s="325">
        <v>1000</v>
      </c>
      <c r="I1362" s="42">
        <v>31</v>
      </c>
      <c r="J1362" s="42"/>
      <c r="K1362" s="42">
        <v>7</v>
      </c>
      <c r="L1362" s="42">
        <v>2</v>
      </c>
      <c r="M1362" s="42">
        <v>10</v>
      </c>
      <c r="N1362" s="42"/>
      <c r="O1362" s="42"/>
      <c r="P1362" s="42">
        <v>6</v>
      </c>
      <c r="Q1362" s="42"/>
      <c r="R1362" s="43">
        <v>7</v>
      </c>
      <c r="S1362" s="42"/>
      <c r="T1362" s="42"/>
      <c r="U1362" s="42"/>
      <c r="V1362" s="42">
        <v>2</v>
      </c>
      <c r="W1362" s="42"/>
      <c r="X1362" s="42">
        <v>1</v>
      </c>
      <c r="Y1362" s="42"/>
      <c r="Z1362" s="42">
        <v>1</v>
      </c>
      <c r="AA1362" s="42">
        <v>33</v>
      </c>
      <c r="AB1362" s="44">
        <f>100/(SUM(I1362:Z1362))</f>
        <v>1.4925373134328359</v>
      </c>
      <c r="AC1362" s="259">
        <f>SUM(I1362:AA1362)</f>
        <v>100</v>
      </c>
      <c r="AD1362" s="42"/>
      <c r="AE1362" s="42"/>
      <c r="AF1362" s="42"/>
      <c r="AG1362" s="45" t="s">
        <v>1219</v>
      </c>
      <c r="AH1362" s="132" t="s">
        <v>1220</v>
      </c>
      <c r="AI1362" s="132" t="s">
        <v>1221</v>
      </c>
      <c r="AJ1362" s="132" t="s">
        <v>1222</v>
      </c>
      <c r="AK1362" s="40" t="s">
        <v>882</v>
      </c>
      <c r="AL1362" s="45">
        <f>(B1362-DATE(1970,1,1))*86400</f>
        <v>1583193600</v>
      </c>
      <c r="AM1362" s="45">
        <f>(C1362-DATE(1970,1,1))*86400</f>
        <v>1584057600</v>
      </c>
      <c r="AN1362" s="45">
        <f>AVERAGE(AL1362:AM1362)</f>
        <v>1583625600</v>
      </c>
    </row>
    <row r="1363" spans="1:40" ht="15.75" customHeight="1" x14ac:dyDescent="0.2">
      <c r="A1363" s="286" t="s">
        <v>123</v>
      </c>
      <c r="B1363" s="41">
        <v>43893</v>
      </c>
      <c r="C1363" s="41">
        <v>43903</v>
      </c>
      <c r="D1363" s="40" t="s">
        <v>148</v>
      </c>
      <c r="E1363" s="325" t="s">
        <v>125</v>
      </c>
      <c r="F1363" s="40"/>
      <c r="G1363" s="40" t="s">
        <v>149</v>
      </c>
      <c r="H1363" s="325">
        <v>1000</v>
      </c>
      <c r="I1363" s="42">
        <v>50</v>
      </c>
      <c r="J1363" s="42"/>
      <c r="K1363" s="42">
        <v>9</v>
      </c>
      <c r="L1363" s="42">
        <v>2</v>
      </c>
      <c r="M1363" s="42">
        <v>16</v>
      </c>
      <c r="N1363" s="42"/>
      <c r="O1363" s="42"/>
      <c r="P1363" s="42">
        <v>9</v>
      </c>
      <c r="Q1363" s="42"/>
      <c r="R1363" s="43">
        <v>9</v>
      </c>
      <c r="S1363" s="42"/>
      <c r="T1363" s="42"/>
      <c r="U1363" s="42"/>
      <c r="V1363" s="42">
        <v>2</v>
      </c>
      <c r="W1363" s="42"/>
      <c r="X1363" s="42">
        <v>2</v>
      </c>
      <c r="Y1363" s="42"/>
      <c r="Z1363" s="42">
        <v>1</v>
      </c>
      <c r="AA1363" s="42">
        <v>0</v>
      </c>
      <c r="AB1363" s="44">
        <f>100/(SUM(I1363:Z1363))</f>
        <v>1</v>
      </c>
      <c r="AC1363" s="259">
        <f>SUM(I1363:AA1363)</f>
        <v>100</v>
      </c>
      <c r="AD1363" s="42"/>
      <c r="AE1363" s="42"/>
      <c r="AF1363" s="42"/>
      <c r="AG1363" s="45" t="s">
        <v>1219</v>
      </c>
      <c r="AH1363" s="132" t="s">
        <v>1220</v>
      </c>
      <c r="AI1363" s="132" t="s">
        <v>1221</v>
      </c>
      <c r="AJ1363" s="132" t="s">
        <v>1147</v>
      </c>
      <c r="AK1363" s="40" t="s">
        <v>1223</v>
      </c>
      <c r="AL1363" s="45">
        <f>(B1363-DATE(1970,1,1))*86400</f>
        <v>1583193600</v>
      </c>
      <c r="AM1363" s="45">
        <f>(C1363-DATE(1970,1,1))*86400</f>
        <v>1584057600</v>
      </c>
      <c r="AN1363" s="45">
        <f>AVERAGE(AL1363:AM1363)</f>
        <v>1583625600</v>
      </c>
    </row>
    <row r="1364" spans="1:40" ht="15.75" customHeight="1" x14ac:dyDescent="0.2">
      <c r="A1364" s="281" t="s">
        <v>133</v>
      </c>
      <c r="B1364" s="54">
        <v>43895</v>
      </c>
      <c r="C1364" s="54">
        <v>43900</v>
      </c>
      <c r="D1364" s="53" t="s">
        <v>154</v>
      </c>
      <c r="E1364" s="323" t="s">
        <v>125</v>
      </c>
      <c r="F1364" s="53"/>
      <c r="G1364" s="53" t="s">
        <v>126</v>
      </c>
      <c r="H1364" s="378">
        <v>1009</v>
      </c>
      <c r="I1364" s="55">
        <v>29</v>
      </c>
      <c r="J1364" s="55"/>
      <c r="K1364" s="55">
        <v>7</v>
      </c>
      <c r="L1364" s="55">
        <v>2</v>
      </c>
      <c r="M1364" s="55">
        <v>9</v>
      </c>
      <c r="N1364" s="56"/>
      <c r="O1364" s="56"/>
      <c r="P1364" s="55">
        <v>8</v>
      </c>
      <c r="Q1364" s="55"/>
      <c r="R1364" s="55">
        <v>8</v>
      </c>
      <c r="S1364" s="55"/>
      <c r="T1364" s="55"/>
      <c r="U1364" s="55"/>
      <c r="V1364" s="55">
        <v>1</v>
      </c>
      <c r="W1364" s="55"/>
      <c r="X1364" s="55">
        <v>1</v>
      </c>
      <c r="Y1364" s="55"/>
      <c r="Z1364" s="55">
        <v>0</v>
      </c>
      <c r="AA1364" s="55">
        <v>35</v>
      </c>
      <c r="AB1364" s="57">
        <f>100/(SUM(I1364:Z1364))</f>
        <v>1.5384615384615385</v>
      </c>
      <c r="AC1364" s="259">
        <f>SUM(I1364:AA1364)</f>
        <v>100</v>
      </c>
      <c r="AD1364" s="55"/>
      <c r="AE1364" s="55"/>
      <c r="AF1364" s="55"/>
      <c r="AG1364" s="58"/>
      <c r="AH1364" s="59" t="s">
        <v>1224</v>
      </c>
      <c r="AI1364" s="59" t="s">
        <v>1225</v>
      </c>
      <c r="AJ1364" s="59"/>
      <c r="AK1364" s="53" t="s">
        <v>1226</v>
      </c>
      <c r="AL1364" s="58">
        <f>(B1364-DATE(1970,1,1))*86400</f>
        <v>1583366400</v>
      </c>
      <c r="AM1364" s="58">
        <f>(C1364-DATE(1970,1,1))*86400</f>
        <v>1583798400</v>
      </c>
      <c r="AN1364" s="58">
        <f>AVERAGE(AL1364:AM1364)</f>
        <v>1583582400</v>
      </c>
    </row>
    <row r="1365" spans="1:40" ht="15.75" customHeight="1" x14ac:dyDescent="0.2">
      <c r="A1365" s="281" t="s">
        <v>123</v>
      </c>
      <c r="B1365" s="54">
        <v>43895</v>
      </c>
      <c r="C1365" s="54">
        <v>43900</v>
      </c>
      <c r="D1365" s="53" t="s">
        <v>154</v>
      </c>
      <c r="E1365" s="323" t="s">
        <v>125</v>
      </c>
      <c r="F1365" s="53"/>
      <c r="G1365" s="53" t="s">
        <v>126</v>
      </c>
      <c r="H1365" s="378">
        <v>1009</v>
      </c>
      <c r="I1365" s="55">
        <v>38</v>
      </c>
      <c r="J1365" s="55"/>
      <c r="K1365" s="55">
        <v>8</v>
      </c>
      <c r="L1365" s="55">
        <v>2</v>
      </c>
      <c r="M1365" s="55">
        <v>12</v>
      </c>
      <c r="N1365" s="56"/>
      <c r="O1365" s="56"/>
      <c r="P1365" s="55">
        <v>9</v>
      </c>
      <c r="Q1365" s="55"/>
      <c r="R1365" s="55">
        <v>10</v>
      </c>
      <c r="S1365" s="55"/>
      <c r="T1365" s="55"/>
      <c r="U1365" s="55"/>
      <c r="V1365" s="55">
        <v>1</v>
      </c>
      <c r="W1365" s="55"/>
      <c r="X1365" s="55">
        <v>1</v>
      </c>
      <c r="Y1365" s="55"/>
      <c r="Z1365" s="55">
        <v>0</v>
      </c>
      <c r="AA1365" s="55">
        <v>19</v>
      </c>
      <c r="AB1365" s="57">
        <f>100/(SUM(I1365:Z1365))</f>
        <v>1.2345679012345678</v>
      </c>
      <c r="AC1365" s="259">
        <f>SUM(I1365:AA1365)</f>
        <v>100</v>
      </c>
      <c r="AD1365" s="55"/>
      <c r="AE1365" s="55"/>
      <c r="AF1365" s="55"/>
      <c r="AG1365" s="58"/>
      <c r="AH1365" s="59" t="s">
        <v>1224</v>
      </c>
      <c r="AI1365" s="59"/>
      <c r="AJ1365" s="53"/>
      <c r="AK1365" s="53"/>
      <c r="AL1365" s="58">
        <f>(B1365-DATE(1970,1,1))*86400</f>
        <v>1583366400</v>
      </c>
      <c r="AM1365" s="58">
        <f>(C1365-DATE(1970,1,1))*86400</f>
        <v>1583798400</v>
      </c>
      <c r="AN1365" s="58">
        <f>AVERAGE(AL1365:AM1365)</f>
        <v>1583582400</v>
      </c>
    </row>
    <row r="1366" spans="1:40" ht="15.75" customHeight="1" x14ac:dyDescent="0.2">
      <c r="A1366" s="281" t="s">
        <v>123</v>
      </c>
      <c r="B1366" s="54">
        <v>43895</v>
      </c>
      <c r="C1366" s="54">
        <v>43900</v>
      </c>
      <c r="D1366" s="53" t="s">
        <v>154</v>
      </c>
      <c r="E1366" s="323" t="s">
        <v>125</v>
      </c>
      <c r="F1366" s="53"/>
      <c r="G1366" s="53" t="s">
        <v>126</v>
      </c>
      <c r="H1366" s="378">
        <v>1009</v>
      </c>
      <c r="I1366" s="55">
        <v>48</v>
      </c>
      <c r="J1366" s="55"/>
      <c r="K1366" s="55">
        <v>10</v>
      </c>
      <c r="L1366" s="55">
        <v>2</v>
      </c>
      <c r="M1366" s="55">
        <v>14</v>
      </c>
      <c r="N1366" s="56"/>
      <c r="O1366" s="56"/>
      <c r="P1366" s="55">
        <v>12</v>
      </c>
      <c r="Q1366" s="55"/>
      <c r="R1366" s="55">
        <v>12</v>
      </c>
      <c r="S1366" s="55"/>
      <c r="T1366" s="55"/>
      <c r="U1366" s="55"/>
      <c r="V1366" s="55">
        <v>1</v>
      </c>
      <c r="W1366" s="55"/>
      <c r="X1366" s="55">
        <v>1</v>
      </c>
      <c r="Y1366" s="55"/>
      <c r="Z1366" s="55">
        <v>0</v>
      </c>
      <c r="AA1366" s="55">
        <v>0</v>
      </c>
      <c r="AB1366" s="57">
        <f>100/(SUM(I1366:Z1366))</f>
        <v>1</v>
      </c>
      <c r="AC1366" s="259">
        <f>SUM(I1366:AA1366)</f>
        <v>100</v>
      </c>
      <c r="AD1366" s="55"/>
      <c r="AE1366" s="55"/>
      <c r="AF1366" s="55"/>
      <c r="AG1366" s="58"/>
      <c r="AH1366" s="59" t="s">
        <v>1224</v>
      </c>
      <c r="AI1366" s="59" t="s">
        <v>1225</v>
      </c>
      <c r="AJ1366" s="53"/>
      <c r="AK1366" s="53"/>
      <c r="AL1366" s="58">
        <f>(B1366-DATE(1970,1,1))*86400</f>
        <v>1583366400</v>
      </c>
      <c r="AM1366" s="58">
        <f>(C1366-DATE(1970,1,1))*86400</f>
        <v>1583798400</v>
      </c>
      <c r="AN1366" s="58">
        <f>AVERAGE(AL1366:AM1366)</f>
        <v>1583582400</v>
      </c>
    </row>
    <row r="1367" spans="1:40" ht="15.75" customHeight="1" x14ac:dyDescent="0.2">
      <c r="A1367" s="302" t="s">
        <v>133</v>
      </c>
      <c r="B1367" s="254">
        <v>43882</v>
      </c>
      <c r="C1367" s="254">
        <v>43889</v>
      </c>
      <c r="D1367" s="121" t="s">
        <v>2445</v>
      </c>
      <c r="E1367" s="322" t="s">
        <v>184</v>
      </c>
      <c r="F1367" s="121"/>
      <c r="G1367" s="262" t="s">
        <v>244</v>
      </c>
      <c r="H1367" s="379">
        <v>500</v>
      </c>
      <c r="I1367" s="123">
        <v>35</v>
      </c>
      <c r="J1367" s="123">
        <v>4</v>
      </c>
      <c r="K1367" s="123">
        <v>3</v>
      </c>
      <c r="L1367" s="123">
        <v>2</v>
      </c>
      <c r="M1367" s="123">
        <v>4</v>
      </c>
      <c r="N1367" s="123"/>
      <c r="O1367" s="123">
        <v>2</v>
      </c>
      <c r="P1367" s="123">
        <v>19</v>
      </c>
      <c r="Q1367" s="123"/>
      <c r="R1367" s="124"/>
      <c r="S1367" s="123"/>
      <c r="T1367" s="123"/>
      <c r="U1367" s="123"/>
      <c r="V1367" s="123">
        <v>4</v>
      </c>
      <c r="W1367" s="123"/>
      <c r="X1367" s="123">
        <v>2</v>
      </c>
      <c r="Y1367" s="123"/>
      <c r="Z1367" s="123">
        <v>3</v>
      </c>
      <c r="AA1367" s="123">
        <v>22</v>
      </c>
      <c r="AB1367" s="125">
        <f>100/(SUM(I1367:Z1367))</f>
        <v>1.2820512820512822</v>
      </c>
      <c r="AC1367" s="259">
        <f>SUM(I1367:AA1367)</f>
        <v>100</v>
      </c>
      <c r="AD1367" s="123"/>
      <c r="AE1367" s="123"/>
      <c r="AF1367" s="123"/>
      <c r="AG1367" s="126" t="s">
        <v>719</v>
      </c>
      <c r="AH1367" s="253" t="s">
        <v>2001</v>
      </c>
      <c r="AI1367" s="253"/>
      <c r="AJ1367" s="127"/>
      <c r="AK1367" s="121" t="s">
        <v>2000</v>
      </c>
      <c r="AL1367" s="126">
        <f>(B1367-DATE(1970,1,1))*86400</f>
        <v>1582243200</v>
      </c>
      <c r="AM1367" s="126">
        <f>(C1367-DATE(1970,1,1))*86400</f>
        <v>1582848000</v>
      </c>
      <c r="AN1367" s="126">
        <f>AVERAGE(AL1367:AM1367)</f>
        <v>1582545600</v>
      </c>
    </row>
    <row r="1368" spans="1:40" ht="15.75" customHeight="1" x14ac:dyDescent="0.2">
      <c r="A1368" s="302" t="s">
        <v>123</v>
      </c>
      <c r="B1368" s="254">
        <v>43882</v>
      </c>
      <c r="C1368" s="254">
        <v>43889</v>
      </c>
      <c r="D1368" s="262" t="s">
        <v>2445</v>
      </c>
      <c r="E1368" s="322" t="s">
        <v>184</v>
      </c>
      <c r="F1368" s="121" t="s">
        <v>2007</v>
      </c>
      <c r="G1368" s="262" t="s">
        <v>244</v>
      </c>
      <c r="H1368" s="379">
        <v>500</v>
      </c>
      <c r="I1368" s="123">
        <v>45</v>
      </c>
      <c r="J1368" s="123">
        <v>5</v>
      </c>
      <c r="K1368" s="123">
        <v>4</v>
      </c>
      <c r="L1368" s="123">
        <v>3</v>
      </c>
      <c r="M1368" s="123">
        <v>5</v>
      </c>
      <c r="N1368" s="123"/>
      <c r="O1368" s="123">
        <v>2</v>
      </c>
      <c r="P1368" s="123">
        <v>24</v>
      </c>
      <c r="Q1368" s="123"/>
      <c r="R1368" s="124"/>
      <c r="S1368" s="123"/>
      <c r="T1368" s="123"/>
      <c r="U1368" s="123"/>
      <c r="V1368" s="123">
        <v>5</v>
      </c>
      <c r="W1368" s="123"/>
      <c r="X1368" s="123">
        <v>3</v>
      </c>
      <c r="Y1368" s="123"/>
      <c r="Z1368" s="123">
        <v>4</v>
      </c>
      <c r="AA1368" s="123">
        <v>0</v>
      </c>
      <c r="AB1368" s="125">
        <f>100/(SUM(I1368:Z1368))</f>
        <v>1</v>
      </c>
      <c r="AC1368" s="259">
        <f>SUM(I1368:AA1368)</f>
        <v>100</v>
      </c>
      <c r="AD1368" s="123"/>
      <c r="AE1368" s="123"/>
      <c r="AF1368" s="123"/>
      <c r="AG1368" s="126" t="s">
        <v>719</v>
      </c>
      <c r="AH1368" s="253" t="s">
        <v>2001</v>
      </c>
      <c r="AI1368" s="253"/>
      <c r="AJ1368" s="127"/>
      <c r="AK1368" s="121" t="s">
        <v>2000</v>
      </c>
      <c r="AL1368" s="126">
        <f>(B1368-DATE(1970,1,1))*86400</f>
        <v>1582243200</v>
      </c>
      <c r="AM1368" s="126">
        <f>(C1368-DATE(1970,1,1))*86400</f>
        <v>1582848000</v>
      </c>
      <c r="AN1368" s="126">
        <f>AVERAGE(AL1368:AM1368)</f>
        <v>1582545600</v>
      </c>
    </row>
    <row r="1369" spans="1:40" ht="15.75" customHeight="1" x14ac:dyDescent="0.2">
      <c r="A1369" s="281" t="s">
        <v>133</v>
      </c>
      <c r="B1369" s="54">
        <v>43881</v>
      </c>
      <c r="C1369" s="54">
        <v>43887</v>
      </c>
      <c r="D1369" s="53" t="s">
        <v>154</v>
      </c>
      <c r="E1369" s="323" t="s">
        <v>125</v>
      </c>
      <c r="F1369" s="53"/>
      <c r="G1369" s="53" t="s">
        <v>126</v>
      </c>
      <c r="H1369" s="378">
        <v>1002</v>
      </c>
      <c r="I1369" s="55">
        <v>29</v>
      </c>
      <c r="J1369" s="55"/>
      <c r="K1369" s="55">
        <v>6</v>
      </c>
      <c r="L1369" s="55">
        <v>2</v>
      </c>
      <c r="M1369" s="55">
        <v>9</v>
      </c>
      <c r="N1369" s="56"/>
      <c r="O1369" s="56"/>
      <c r="P1369" s="55">
        <v>8</v>
      </c>
      <c r="Q1369" s="55"/>
      <c r="R1369" s="55">
        <v>8</v>
      </c>
      <c r="S1369" s="55"/>
      <c r="T1369" s="55"/>
      <c r="U1369" s="55"/>
      <c r="V1369" s="55">
        <v>1</v>
      </c>
      <c r="W1369" s="55"/>
      <c r="X1369" s="55">
        <v>1</v>
      </c>
      <c r="Y1369" s="55"/>
      <c r="Z1369" s="55">
        <v>2</v>
      </c>
      <c r="AA1369" s="55">
        <v>35</v>
      </c>
      <c r="AB1369" s="57">
        <f>100/(SUM(I1369:Z1369))</f>
        <v>1.5151515151515151</v>
      </c>
      <c r="AC1369" s="259">
        <f>SUM(I1369:AA1369)</f>
        <v>101</v>
      </c>
      <c r="AD1369" s="55"/>
      <c r="AE1369" s="55"/>
      <c r="AF1369" s="55"/>
      <c r="AG1369" s="58"/>
      <c r="AH1369" s="59" t="s">
        <v>1224</v>
      </c>
      <c r="AI1369" s="59" t="s">
        <v>1227</v>
      </c>
      <c r="AJ1369" s="59" t="s">
        <v>1228</v>
      </c>
      <c r="AK1369" s="53" t="s">
        <v>1229</v>
      </c>
      <c r="AL1369" s="58">
        <f>(B1369-DATE(1970,1,1))*86400</f>
        <v>1582156800</v>
      </c>
      <c r="AM1369" s="58">
        <f>(C1369-DATE(1970,1,1))*86400</f>
        <v>1582675200</v>
      </c>
      <c r="AN1369" s="58">
        <f>AVERAGE(AL1369:AM1369)</f>
        <v>1582416000</v>
      </c>
    </row>
    <row r="1370" spans="1:40" ht="15.75" customHeight="1" x14ac:dyDescent="0.2">
      <c r="A1370" s="281" t="s">
        <v>123</v>
      </c>
      <c r="B1370" s="54">
        <v>43881</v>
      </c>
      <c r="C1370" s="54">
        <v>43887</v>
      </c>
      <c r="D1370" s="53" t="s">
        <v>154</v>
      </c>
      <c r="E1370" s="323" t="s">
        <v>125</v>
      </c>
      <c r="F1370" s="53"/>
      <c r="G1370" s="53" t="s">
        <v>126</v>
      </c>
      <c r="H1370" s="378">
        <v>1002</v>
      </c>
      <c r="I1370" s="55">
        <v>38</v>
      </c>
      <c r="J1370" s="55"/>
      <c r="K1370" s="55">
        <v>8</v>
      </c>
      <c r="L1370" s="55">
        <v>2</v>
      </c>
      <c r="M1370" s="55">
        <v>11</v>
      </c>
      <c r="N1370" s="55"/>
      <c r="O1370" s="55"/>
      <c r="P1370" s="55">
        <v>10</v>
      </c>
      <c r="Q1370" s="55"/>
      <c r="R1370" s="56">
        <v>9</v>
      </c>
      <c r="S1370" s="55"/>
      <c r="T1370" s="55"/>
      <c r="U1370" s="55"/>
      <c r="V1370" s="55">
        <v>1</v>
      </c>
      <c r="W1370" s="55"/>
      <c r="X1370" s="55">
        <v>0</v>
      </c>
      <c r="Y1370" s="55"/>
      <c r="Z1370" s="55">
        <v>1</v>
      </c>
      <c r="AA1370" s="55">
        <v>20</v>
      </c>
      <c r="AB1370" s="57">
        <f>100/(SUM(I1370:Z1370))</f>
        <v>1.25</v>
      </c>
      <c r="AC1370" s="259">
        <f>SUM(I1370:AA1370)</f>
        <v>100</v>
      </c>
      <c r="AD1370" s="55"/>
      <c r="AE1370" s="55"/>
      <c r="AF1370" s="55"/>
      <c r="AG1370" s="58"/>
      <c r="AH1370" s="53" t="s">
        <v>1144</v>
      </c>
      <c r="AI1370" s="59" t="s">
        <v>1227</v>
      </c>
      <c r="AJ1370" s="53" t="s">
        <v>1228</v>
      </c>
      <c r="AK1370" s="53" t="s">
        <v>1230</v>
      </c>
      <c r="AL1370" s="58">
        <f>(B1370-DATE(1970,1,1))*86400</f>
        <v>1582156800</v>
      </c>
      <c r="AM1370" s="58">
        <f>(C1370-DATE(1970,1,1))*86400</f>
        <v>1582675200</v>
      </c>
      <c r="AN1370" s="58">
        <f>AVERAGE(AL1370:AM1370)</f>
        <v>1582416000</v>
      </c>
    </row>
    <row r="1371" spans="1:40" ht="15.75" customHeight="1" x14ac:dyDescent="0.2">
      <c r="A1371" s="281" t="s">
        <v>123</v>
      </c>
      <c r="B1371" s="54">
        <v>43881</v>
      </c>
      <c r="C1371" s="54">
        <v>43887</v>
      </c>
      <c r="D1371" s="53" t="s">
        <v>154</v>
      </c>
      <c r="E1371" s="323" t="s">
        <v>125</v>
      </c>
      <c r="F1371" s="53"/>
      <c r="G1371" s="53" t="s">
        <v>126</v>
      </c>
      <c r="H1371" s="378">
        <v>1002</v>
      </c>
      <c r="I1371" s="55">
        <v>50</v>
      </c>
      <c r="J1371" s="55"/>
      <c r="K1371" s="55">
        <v>9</v>
      </c>
      <c r="L1371" s="55">
        <v>2</v>
      </c>
      <c r="M1371" s="55">
        <v>13</v>
      </c>
      <c r="N1371" s="55"/>
      <c r="O1371" s="55"/>
      <c r="P1371" s="55">
        <v>12</v>
      </c>
      <c r="Q1371" s="55"/>
      <c r="R1371" s="56">
        <v>11</v>
      </c>
      <c r="S1371" s="55"/>
      <c r="T1371" s="55"/>
      <c r="U1371" s="55"/>
      <c r="V1371" s="55">
        <v>2</v>
      </c>
      <c r="W1371" s="55"/>
      <c r="X1371" s="55">
        <v>1</v>
      </c>
      <c r="Y1371" s="55"/>
      <c r="Z1371" s="56">
        <v>1</v>
      </c>
      <c r="AA1371" s="55">
        <v>0</v>
      </c>
      <c r="AB1371" s="57">
        <f>100/(SUM(I1371:Z1371))</f>
        <v>0.99009900990099009</v>
      </c>
      <c r="AC1371" s="259">
        <f>SUM(I1371:AA1371)</f>
        <v>101</v>
      </c>
      <c r="AD1371" s="55"/>
      <c r="AE1371" s="55"/>
      <c r="AF1371" s="55"/>
      <c r="AG1371" s="58"/>
      <c r="AH1371" s="53" t="s">
        <v>1144</v>
      </c>
      <c r="AI1371" s="59" t="s">
        <v>1227</v>
      </c>
      <c r="AJ1371" s="53" t="s">
        <v>1228</v>
      </c>
      <c r="AK1371" s="53" t="s">
        <v>1231</v>
      </c>
      <c r="AL1371" s="58">
        <f>(B1371-DATE(1970,1,1))*86400</f>
        <v>1582156800</v>
      </c>
      <c r="AM1371" s="58">
        <f>(C1371-DATE(1970,1,1))*86400</f>
        <v>1582675200</v>
      </c>
      <c r="AN1371" s="58">
        <f>AVERAGE(AL1371:AM1371)</f>
        <v>1582416000</v>
      </c>
    </row>
    <row r="1372" spans="1:40" ht="15.75" customHeight="1" x14ac:dyDescent="0.2">
      <c r="A1372" s="286" t="s">
        <v>133</v>
      </c>
      <c r="B1372" s="41">
        <v>43871</v>
      </c>
      <c r="C1372" s="41">
        <v>43881</v>
      </c>
      <c r="D1372" s="40" t="s">
        <v>148</v>
      </c>
      <c r="E1372" s="325" t="s">
        <v>125</v>
      </c>
      <c r="F1372" s="40"/>
      <c r="G1372" s="40" t="s">
        <v>149</v>
      </c>
      <c r="H1372" s="325">
        <v>1000</v>
      </c>
      <c r="I1372" s="42">
        <v>31</v>
      </c>
      <c r="J1372" s="42"/>
      <c r="K1372" s="42">
        <v>7</v>
      </c>
      <c r="L1372" s="42">
        <v>2</v>
      </c>
      <c r="M1372" s="42">
        <v>9</v>
      </c>
      <c r="N1372" s="42"/>
      <c r="O1372" s="42"/>
      <c r="P1372" s="42">
        <v>6</v>
      </c>
      <c r="Q1372" s="42"/>
      <c r="R1372" s="43">
        <v>7</v>
      </c>
      <c r="S1372" s="42"/>
      <c r="T1372" s="42"/>
      <c r="U1372" s="42"/>
      <c r="V1372" s="42">
        <v>2</v>
      </c>
      <c r="W1372" s="42"/>
      <c r="X1372" s="42">
        <v>2</v>
      </c>
      <c r="Y1372" s="42"/>
      <c r="Z1372" s="42">
        <v>1</v>
      </c>
      <c r="AA1372" s="42">
        <v>33</v>
      </c>
      <c r="AB1372" s="44">
        <f>100/(SUM(I1372:Z1372))</f>
        <v>1.4925373134328359</v>
      </c>
      <c r="AC1372" s="259">
        <f>SUM(I1372:AA1372)</f>
        <v>100</v>
      </c>
      <c r="AD1372" s="42"/>
      <c r="AE1372" s="42"/>
      <c r="AF1372" s="42"/>
      <c r="AG1372" s="45"/>
      <c r="AH1372" s="132" t="s">
        <v>1232</v>
      </c>
      <c r="AI1372" s="132" t="s">
        <v>1233</v>
      </c>
      <c r="AJ1372" s="132" t="s">
        <v>1234</v>
      </c>
      <c r="AK1372" s="40" t="s">
        <v>1142</v>
      </c>
      <c r="AL1372" s="45">
        <f>(B1372-DATE(1970,1,1))*86400</f>
        <v>1581292800</v>
      </c>
      <c r="AM1372" s="45">
        <f>(C1372-DATE(1970,1,1))*86400</f>
        <v>1582156800</v>
      </c>
      <c r="AN1372" s="45">
        <f>AVERAGE(AL1372:AM1372)</f>
        <v>1581724800</v>
      </c>
    </row>
    <row r="1373" spans="1:40" ht="15.75" customHeight="1" x14ac:dyDescent="0.2">
      <c r="A1373" s="286" t="s">
        <v>123</v>
      </c>
      <c r="B1373" s="41">
        <v>43871</v>
      </c>
      <c r="C1373" s="41">
        <v>43881</v>
      </c>
      <c r="D1373" s="40" t="s">
        <v>148</v>
      </c>
      <c r="E1373" s="325" t="s">
        <v>125</v>
      </c>
      <c r="F1373" s="40"/>
      <c r="G1373" s="40" t="s">
        <v>149</v>
      </c>
      <c r="H1373" s="325">
        <v>1000</v>
      </c>
      <c r="I1373" s="42">
        <v>51</v>
      </c>
      <c r="J1373" s="42"/>
      <c r="K1373" s="42">
        <v>10</v>
      </c>
      <c r="L1373" s="42">
        <v>2</v>
      </c>
      <c r="M1373" s="42">
        <v>14</v>
      </c>
      <c r="N1373" s="42"/>
      <c r="O1373" s="42"/>
      <c r="P1373" s="42">
        <v>9</v>
      </c>
      <c r="Q1373" s="42"/>
      <c r="R1373" s="43">
        <v>9</v>
      </c>
      <c r="S1373" s="42"/>
      <c r="T1373" s="42"/>
      <c r="U1373" s="42"/>
      <c r="V1373" s="42">
        <v>2</v>
      </c>
      <c r="W1373" s="42"/>
      <c r="X1373" s="42">
        <v>2</v>
      </c>
      <c r="Y1373" s="42"/>
      <c r="Z1373" s="42">
        <v>1</v>
      </c>
      <c r="AA1373" s="42">
        <v>0</v>
      </c>
      <c r="AB1373" s="44">
        <f>100/(SUM(I1373:Z1373))</f>
        <v>1</v>
      </c>
      <c r="AC1373" s="259">
        <f>SUM(I1373:AA1373)</f>
        <v>100</v>
      </c>
      <c r="AD1373" s="42"/>
      <c r="AE1373" s="42"/>
      <c r="AF1373" s="42"/>
      <c r="AG1373" s="45"/>
      <c r="AH1373" s="132" t="s">
        <v>1232</v>
      </c>
      <c r="AI1373" s="132" t="s">
        <v>1233</v>
      </c>
      <c r="AJ1373" s="132" t="s">
        <v>1234</v>
      </c>
      <c r="AK1373" s="40" t="s">
        <v>1235</v>
      </c>
      <c r="AL1373" s="45">
        <f>(B1373-DATE(1970,1,1))*86400</f>
        <v>1581292800</v>
      </c>
      <c r="AM1373" s="45">
        <f>(C1373-DATE(1970,1,1))*86400</f>
        <v>1582156800</v>
      </c>
      <c r="AN1373" s="45">
        <f>AVERAGE(AL1373:AM1373)</f>
        <v>1581724800</v>
      </c>
    </row>
    <row r="1374" spans="1:40" ht="15.75" customHeight="1" x14ac:dyDescent="0.2">
      <c r="A1374" s="302" t="s">
        <v>123</v>
      </c>
      <c r="B1374" s="254">
        <v>43862</v>
      </c>
      <c r="C1374" s="254">
        <v>43889</v>
      </c>
      <c r="D1374" s="121" t="s">
        <v>2445</v>
      </c>
      <c r="E1374" s="322" t="s">
        <v>184</v>
      </c>
      <c r="F1374" s="121" t="s">
        <v>2377</v>
      </c>
      <c r="G1374" s="262" t="s">
        <v>244</v>
      </c>
      <c r="H1374" s="379">
        <v>500</v>
      </c>
      <c r="I1374" s="123">
        <v>41</v>
      </c>
      <c r="J1374" s="123"/>
      <c r="K1374" s="123"/>
      <c r="L1374" s="123"/>
      <c r="M1374" s="123"/>
      <c r="N1374" s="123"/>
      <c r="O1374" s="123"/>
      <c r="P1374" s="123"/>
      <c r="Q1374" s="123"/>
      <c r="R1374" s="124"/>
      <c r="S1374" s="123"/>
      <c r="T1374" s="123"/>
      <c r="U1374" s="123">
        <v>38</v>
      </c>
      <c r="V1374" s="123"/>
      <c r="W1374" s="123"/>
      <c r="X1374" s="123"/>
      <c r="Y1374" s="123"/>
      <c r="Z1374" s="123"/>
      <c r="AA1374" s="123"/>
      <c r="AB1374" s="125">
        <f>100/(SUM(I1374:Z1374))</f>
        <v>1.2658227848101267</v>
      </c>
      <c r="AC1374" s="259">
        <f>SUM(I1374:AA1374)</f>
        <v>79</v>
      </c>
      <c r="AD1374" s="123"/>
      <c r="AE1374" s="123"/>
      <c r="AF1374" s="123"/>
      <c r="AG1374" s="126" t="s">
        <v>719</v>
      </c>
      <c r="AH1374" s="253" t="s">
        <v>1992</v>
      </c>
      <c r="AI1374" s="127"/>
      <c r="AJ1374" s="127"/>
      <c r="AK1374" s="121" t="s">
        <v>1991</v>
      </c>
      <c r="AL1374" s="126">
        <f>(B1374-DATE(1970,1,1))*86400</f>
        <v>1580515200</v>
      </c>
      <c r="AM1374" s="126">
        <f>(C1374-DATE(1970,1,1))*86400</f>
        <v>1582848000</v>
      </c>
      <c r="AN1374" s="126">
        <f>AVERAGE(AL1374:AM1374)</f>
        <v>1581681600</v>
      </c>
    </row>
    <row r="1375" spans="1:40" ht="15.75" customHeight="1" x14ac:dyDescent="0.2">
      <c r="A1375" s="279" t="s">
        <v>123</v>
      </c>
      <c r="B1375" s="143">
        <v>43862</v>
      </c>
      <c r="C1375" s="143">
        <v>43889</v>
      </c>
      <c r="D1375" s="13" t="s">
        <v>124</v>
      </c>
      <c r="E1375" s="324" t="s">
        <v>125</v>
      </c>
      <c r="F1375" s="13"/>
      <c r="G1375" s="13" t="s">
        <v>126</v>
      </c>
      <c r="H1375" s="372">
        <v>1000</v>
      </c>
      <c r="I1375" s="15">
        <v>51</v>
      </c>
      <c r="J1375" s="15"/>
      <c r="K1375" s="15">
        <v>10</v>
      </c>
      <c r="L1375" s="15">
        <v>3</v>
      </c>
      <c r="M1375" s="15">
        <v>10</v>
      </c>
      <c r="N1375" s="15"/>
      <c r="O1375" s="15"/>
      <c r="P1375" s="15">
        <v>13</v>
      </c>
      <c r="Q1375" s="15"/>
      <c r="R1375" s="15">
        <v>5</v>
      </c>
      <c r="S1375" s="15"/>
      <c r="T1375" s="15"/>
      <c r="U1375" s="15"/>
      <c r="V1375" s="15">
        <v>5</v>
      </c>
      <c r="W1375" s="15"/>
      <c r="X1375" s="15">
        <v>2</v>
      </c>
      <c r="Y1375" s="15"/>
      <c r="Z1375" s="15">
        <v>1</v>
      </c>
      <c r="AA1375" s="15">
        <v>0</v>
      </c>
      <c r="AB1375" s="16">
        <f>100/(SUM(I1375:Z1375))</f>
        <v>1</v>
      </c>
      <c r="AC1375" s="259">
        <f>SUM(I1375:AA1375)</f>
        <v>100</v>
      </c>
      <c r="AD1375" s="15"/>
      <c r="AE1375" s="15"/>
      <c r="AF1375" s="15"/>
      <c r="AG1375" s="17"/>
      <c r="AH1375" s="18" t="s">
        <v>1201</v>
      </c>
      <c r="AI1375" s="18" t="s">
        <v>1236</v>
      </c>
      <c r="AJ1375" s="18"/>
      <c r="AK1375" s="13" t="s">
        <v>1237</v>
      </c>
      <c r="AL1375" s="17">
        <f>(B1375-DATE(1970,1,1))*86400</f>
        <v>1580515200</v>
      </c>
      <c r="AM1375" s="17">
        <f>(C1375-DATE(1970,1,1))*86400</f>
        <v>1582848000</v>
      </c>
      <c r="AN1375" s="17">
        <f>AVERAGE(AL1375:AM1375)</f>
        <v>1581681600</v>
      </c>
    </row>
    <row r="1376" spans="1:40" ht="15.75" customHeight="1" x14ac:dyDescent="0.2">
      <c r="A1376" s="279" t="s">
        <v>133</v>
      </c>
      <c r="B1376" s="143">
        <v>43871</v>
      </c>
      <c r="C1376" s="143">
        <v>43873</v>
      </c>
      <c r="D1376" s="13" t="s">
        <v>124</v>
      </c>
      <c r="E1376" s="324" t="s">
        <v>125</v>
      </c>
      <c r="F1376" s="13" t="s">
        <v>140</v>
      </c>
      <c r="G1376" s="13" t="s">
        <v>126</v>
      </c>
      <c r="H1376" s="372">
        <v>1000</v>
      </c>
      <c r="I1376" s="15"/>
      <c r="J1376" s="15"/>
      <c r="K1376" s="15"/>
      <c r="L1376" s="15"/>
      <c r="M1376" s="15"/>
      <c r="N1376" s="15"/>
      <c r="O1376" s="15"/>
      <c r="P1376" s="15"/>
      <c r="Q1376" s="15"/>
      <c r="R1376" s="15"/>
      <c r="S1376" s="15"/>
      <c r="T1376" s="15"/>
      <c r="U1376" s="15"/>
      <c r="V1376" s="15"/>
      <c r="W1376" s="15"/>
      <c r="X1376" s="15"/>
      <c r="Y1376" s="15"/>
      <c r="Z1376" s="15"/>
      <c r="AA1376" s="15"/>
      <c r="AB1376" s="16" t="e">
        <f>100/(SUM(I1376:Z1376))</f>
        <v>#DIV/0!</v>
      </c>
      <c r="AC1376" s="259">
        <f>SUM(I1376:AA1376)</f>
        <v>0</v>
      </c>
      <c r="AD1376" s="15"/>
      <c r="AE1376" s="15"/>
      <c r="AF1376" s="15"/>
      <c r="AG1376" s="17"/>
      <c r="AH1376" s="18"/>
      <c r="AI1376" s="18"/>
      <c r="AJ1376" s="18"/>
      <c r="AK1376" s="13"/>
      <c r="AL1376" s="17">
        <f>(B1376-DATE(1970,1,1))*86400</f>
        <v>1581292800</v>
      </c>
      <c r="AM1376" s="17">
        <f>(C1376-DATE(1970,1,1))*86400</f>
        <v>1581465600</v>
      </c>
      <c r="AN1376" s="17">
        <f>AVERAGE(AL1376:AM1376)</f>
        <v>1581379200</v>
      </c>
    </row>
    <row r="1377" spans="1:40" ht="15.75" customHeight="1" x14ac:dyDescent="0.2">
      <c r="A1377" s="449" t="s">
        <v>133</v>
      </c>
      <c r="B1377" s="460">
        <v>43868</v>
      </c>
      <c r="C1377" s="460">
        <v>43874</v>
      </c>
      <c r="D1377" s="451" t="s">
        <v>143</v>
      </c>
      <c r="E1377" s="452" t="s">
        <v>125</v>
      </c>
      <c r="F1377" s="451"/>
      <c r="G1377" s="451" t="s">
        <v>149</v>
      </c>
      <c r="H1377" s="454">
        <v>1200</v>
      </c>
      <c r="I1377" s="455">
        <v>40</v>
      </c>
      <c r="J1377" s="455"/>
      <c r="K1377" s="455">
        <v>8</v>
      </c>
      <c r="L1377" s="455">
        <v>4</v>
      </c>
      <c r="M1377" s="455">
        <v>9</v>
      </c>
      <c r="N1377" s="455"/>
      <c r="O1377" s="455"/>
      <c r="P1377" s="455">
        <v>6</v>
      </c>
      <c r="Q1377" s="455"/>
      <c r="R1377" s="456">
        <v>6</v>
      </c>
      <c r="S1377" s="455"/>
      <c r="T1377" s="455"/>
      <c r="U1377" s="455"/>
      <c r="V1377" s="455">
        <v>1</v>
      </c>
      <c r="W1377" s="455"/>
      <c r="X1377" s="455">
        <v>1</v>
      </c>
      <c r="Y1377" s="455"/>
      <c r="Z1377" s="455">
        <v>1</v>
      </c>
      <c r="AA1377" s="455">
        <v>24</v>
      </c>
      <c r="AB1377" s="457">
        <f>100/(SUM(I1377:Z1377))</f>
        <v>1.3157894736842106</v>
      </c>
      <c r="AC1377" s="432">
        <f>SUM(I1377:AA1377)</f>
        <v>100</v>
      </c>
      <c r="AD1377" s="455"/>
      <c r="AE1377" s="455"/>
      <c r="AF1377" s="455"/>
      <c r="AG1377" s="459"/>
      <c r="AH1377" s="451" t="s">
        <v>1183</v>
      </c>
      <c r="AI1377" s="458" t="s">
        <v>1238</v>
      </c>
      <c r="AJ1377" s="451"/>
      <c r="AK1377" s="451" t="s">
        <v>1240</v>
      </c>
      <c r="AL1377" s="459">
        <f>(B1377-DATE(1970,1,1))*86400</f>
        <v>1581033600</v>
      </c>
      <c r="AM1377" s="459">
        <f>(C1377-DATE(1970,1,1))*86400</f>
        <v>1581552000</v>
      </c>
      <c r="AN1377" s="459">
        <f>AVERAGE(AL1377:AM1377)</f>
        <v>1581292800</v>
      </c>
    </row>
    <row r="1378" spans="1:40" ht="15.75" customHeight="1" x14ac:dyDescent="0.2">
      <c r="A1378" s="449" t="s">
        <v>133</v>
      </c>
      <c r="B1378" s="460">
        <v>43868</v>
      </c>
      <c r="C1378" s="460">
        <v>43874</v>
      </c>
      <c r="D1378" s="451" t="s">
        <v>143</v>
      </c>
      <c r="E1378" s="452" t="s">
        <v>125</v>
      </c>
      <c r="F1378" s="451"/>
      <c r="G1378" s="451" t="s">
        <v>149</v>
      </c>
      <c r="H1378" s="454">
        <v>1200</v>
      </c>
      <c r="I1378" s="455">
        <v>52</v>
      </c>
      <c r="J1378" s="455"/>
      <c r="K1378" s="455">
        <v>11</v>
      </c>
      <c r="L1378" s="455">
        <v>5</v>
      </c>
      <c r="M1378" s="455">
        <v>12</v>
      </c>
      <c r="N1378" s="455"/>
      <c r="O1378" s="455"/>
      <c r="P1378" s="455">
        <v>8</v>
      </c>
      <c r="Q1378" s="455"/>
      <c r="R1378" s="456">
        <v>8</v>
      </c>
      <c r="S1378" s="455"/>
      <c r="T1378" s="455"/>
      <c r="U1378" s="455"/>
      <c r="V1378" s="455">
        <v>2</v>
      </c>
      <c r="W1378" s="455"/>
      <c r="X1378" s="455">
        <v>1</v>
      </c>
      <c r="Y1378" s="455"/>
      <c r="Z1378" s="455">
        <v>1</v>
      </c>
      <c r="AA1378" s="455">
        <v>0</v>
      </c>
      <c r="AB1378" s="457">
        <f>100/(SUM(I1378:Z1378))</f>
        <v>1</v>
      </c>
      <c r="AC1378" s="432">
        <f>SUM(I1378:AA1378)</f>
        <v>100</v>
      </c>
      <c r="AD1378" s="455"/>
      <c r="AE1378" s="455"/>
      <c r="AF1378" s="455"/>
      <c r="AG1378" s="459"/>
      <c r="AH1378" s="451" t="s">
        <v>1183</v>
      </c>
      <c r="AI1378" s="458" t="s">
        <v>1238</v>
      </c>
      <c r="AJ1378" s="451"/>
      <c r="AK1378" s="451" t="s">
        <v>1239</v>
      </c>
      <c r="AL1378" s="459">
        <f>(B1378-DATE(1970,1,1))*86400</f>
        <v>1581033600</v>
      </c>
      <c r="AM1378" s="459">
        <f>(C1378-DATE(1970,1,1))*86400</f>
        <v>1581552000</v>
      </c>
      <c r="AN1378" s="459">
        <f>AVERAGE(AL1378:AM1378)</f>
        <v>1581292800</v>
      </c>
    </row>
    <row r="1379" spans="1:40" ht="15.75" customHeight="1" x14ac:dyDescent="0.2">
      <c r="A1379" s="449" t="s">
        <v>123</v>
      </c>
      <c r="B1379" s="460">
        <v>43868</v>
      </c>
      <c r="C1379" s="460">
        <v>43874</v>
      </c>
      <c r="D1379" s="451" t="s">
        <v>143</v>
      </c>
      <c r="E1379" s="452" t="s">
        <v>125</v>
      </c>
      <c r="F1379" s="451"/>
      <c r="G1379" s="451" t="s">
        <v>149</v>
      </c>
      <c r="H1379" s="454">
        <v>1200</v>
      </c>
      <c r="I1379" s="455">
        <v>55</v>
      </c>
      <c r="J1379" s="455"/>
      <c r="K1379" s="455">
        <v>11</v>
      </c>
      <c r="L1379" s="455">
        <v>4</v>
      </c>
      <c r="M1379" s="455">
        <v>13</v>
      </c>
      <c r="N1379" s="455"/>
      <c r="O1379" s="455"/>
      <c r="P1379" s="455">
        <v>7</v>
      </c>
      <c r="Q1379" s="455"/>
      <c r="R1379" s="456">
        <v>7</v>
      </c>
      <c r="S1379" s="455"/>
      <c r="T1379" s="455"/>
      <c r="U1379" s="455"/>
      <c r="V1379" s="455">
        <v>1</v>
      </c>
      <c r="W1379" s="455"/>
      <c r="X1379" s="455">
        <v>1</v>
      </c>
      <c r="Y1379" s="455"/>
      <c r="Z1379" s="455">
        <v>1</v>
      </c>
      <c r="AA1379" s="455">
        <v>0</v>
      </c>
      <c r="AB1379" s="457">
        <f>100/(SUM(I1379:Z1379))</f>
        <v>1</v>
      </c>
      <c r="AC1379" s="432">
        <f>SUM(I1379:AA1379)</f>
        <v>100</v>
      </c>
      <c r="AD1379" s="455"/>
      <c r="AE1379" s="455"/>
      <c r="AF1379" s="455"/>
      <c r="AG1379" s="459"/>
      <c r="AH1379" s="451" t="s">
        <v>1183</v>
      </c>
      <c r="AI1379" s="458" t="s">
        <v>1238</v>
      </c>
      <c r="AJ1379" s="451"/>
      <c r="AK1379" s="451" t="s">
        <v>1241</v>
      </c>
      <c r="AL1379" s="459">
        <f>(B1379-DATE(1970,1,1))*86400</f>
        <v>1581033600</v>
      </c>
      <c r="AM1379" s="459">
        <f>(C1379-DATE(1970,1,1))*86400</f>
        <v>1581552000</v>
      </c>
      <c r="AN1379" s="459">
        <f>AVERAGE(AL1379:AM1379)</f>
        <v>1581292800</v>
      </c>
    </row>
    <row r="1380" spans="1:40" ht="15.75" customHeight="1" x14ac:dyDescent="0.2">
      <c r="A1380" s="284" t="s">
        <v>133</v>
      </c>
      <c r="B1380" s="20">
        <v>43861</v>
      </c>
      <c r="C1380" s="20">
        <v>43873</v>
      </c>
      <c r="D1380" s="19" t="s">
        <v>134</v>
      </c>
      <c r="E1380" s="332" t="s">
        <v>125</v>
      </c>
      <c r="F1380" s="19"/>
      <c r="G1380" s="19" t="s">
        <v>135</v>
      </c>
      <c r="H1380" s="332">
        <v>2000</v>
      </c>
      <c r="I1380" s="21">
        <v>30</v>
      </c>
      <c r="J1380" s="21"/>
      <c r="K1380" s="21">
        <v>6</v>
      </c>
      <c r="L1380" s="21">
        <v>2</v>
      </c>
      <c r="M1380" s="21">
        <v>11</v>
      </c>
      <c r="N1380" s="21"/>
      <c r="O1380" s="21"/>
      <c r="P1380" s="21">
        <v>6</v>
      </c>
      <c r="Q1380" s="21"/>
      <c r="R1380" s="22">
        <v>7</v>
      </c>
      <c r="S1380" s="21"/>
      <c r="T1380" s="21"/>
      <c r="U1380" s="21"/>
      <c r="V1380" s="21">
        <v>2</v>
      </c>
      <c r="W1380" s="21"/>
      <c r="X1380" s="21">
        <v>3</v>
      </c>
      <c r="Y1380" s="21"/>
      <c r="Z1380" s="21">
        <v>1</v>
      </c>
      <c r="AA1380" s="21">
        <v>32</v>
      </c>
      <c r="AB1380" s="23">
        <f>100/(SUM(I1380:Z1380))</f>
        <v>1.4705882352941178</v>
      </c>
      <c r="AC1380" s="259">
        <f>SUM(I1380:AA1380)</f>
        <v>100</v>
      </c>
      <c r="AD1380" s="21"/>
      <c r="AE1380" s="21"/>
      <c r="AF1380" s="21"/>
      <c r="AG1380" s="25"/>
      <c r="AH1380" s="83" t="s">
        <v>1242</v>
      </c>
      <c r="AI1380" s="83"/>
      <c r="AJ1380" s="83"/>
      <c r="AK1380" s="19" t="s">
        <v>882</v>
      </c>
      <c r="AL1380" s="25">
        <f>(B1380-DATE(1970,1,1))*86400</f>
        <v>1580428800</v>
      </c>
      <c r="AM1380" s="25">
        <f>(C1380-DATE(1970,1,1))*86400</f>
        <v>1581465600</v>
      </c>
      <c r="AN1380" s="25">
        <f>AVERAGE(AL1380:AM1380)</f>
        <v>1580947200</v>
      </c>
    </row>
    <row r="1381" spans="1:40" ht="15.75" customHeight="1" x14ac:dyDescent="0.2">
      <c r="A1381" s="284" t="s">
        <v>123</v>
      </c>
      <c r="B1381" s="20">
        <v>43861</v>
      </c>
      <c r="C1381" s="20">
        <v>43873</v>
      </c>
      <c r="D1381" s="19" t="s">
        <v>134</v>
      </c>
      <c r="E1381" s="332" t="s">
        <v>125</v>
      </c>
      <c r="F1381" s="19"/>
      <c r="G1381" s="19" t="s">
        <v>135</v>
      </c>
      <c r="H1381" s="332">
        <v>2000</v>
      </c>
      <c r="I1381" s="21">
        <v>47</v>
      </c>
      <c r="J1381" s="21"/>
      <c r="K1381" s="21">
        <v>9</v>
      </c>
      <c r="L1381" s="21">
        <v>3</v>
      </c>
      <c r="M1381" s="21">
        <v>16</v>
      </c>
      <c r="N1381" s="21"/>
      <c r="O1381" s="21"/>
      <c r="P1381" s="21">
        <v>10</v>
      </c>
      <c r="Q1381" s="21"/>
      <c r="R1381" s="22">
        <v>8</v>
      </c>
      <c r="S1381" s="21"/>
      <c r="T1381" s="21"/>
      <c r="U1381" s="21"/>
      <c r="V1381" s="21">
        <v>3</v>
      </c>
      <c r="W1381" s="21"/>
      <c r="X1381" s="21">
        <v>3</v>
      </c>
      <c r="Y1381" s="21"/>
      <c r="Z1381" s="21">
        <v>1</v>
      </c>
      <c r="AA1381" s="21">
        <v>0</v>
      </c>
      <c r="AB1381" s="23">
        <f>100/(SUM(I1381:Z1381))</f>
        <v>1</v>
      </c>
      <c r="AC1381" s="259">
        <f>SUM(I1381:AA1381)</f>
        <v>100</v>
      </c>
      <c r="AD1381" s="21"/>
      <c r="AE1381" s="21"/>
      <c r="AF1381" s="21"/>
      <c r="AG1381" s="25"/>
      <c r="AH1381" s="83" t="s">
        <v>1242</v>
      </c>
      <c r="AI1381" s="83"/>
      <c r="AJ1381" s="83"/>
      <c r="AK1381" s="19" t="s">
        <v>1018</v>
      </c>
      <c r="AL1381" s="25">
        <f>(B1381-DATE(1970,1,1))*86400</f>
        <v>1580428800</v>
      </c>
      <c r="AM1381" s="25">
        <f>(C1381-DATE(1970,1,1))*86400</f>
        <v>1581465600</v>
      </c>
      <c r="AN1381" s="25">
        <f>AVERAGE(AL1381:AM1381)</f>
        <v>1580947200</v>
      </c>
    </row>
    <row r="1382" spans="1:40" ht="15.75" customHeight="1" x14ac:dyDescent="0.2">
      <c r="A1382" s="302" t="s">
        <v>123</v>
      </c>
      <c r="B1382" s="254">
        <v>43866</v>
      </c>
      <c r="C1382" s="254">
        <v>43866</v>
      </c>
      <c r="D1382" s="262" t="s">
        <v>2445</v>
      </c>
      <c r="E1382" s="322" t="s">
        <v>184</v>
      </c>
      <c r="F1382" s="121" t="s">
        <v>2007</v>
      </c>
      <c r="G1382" s="262" t="s">
        <v>244</v>
      </c>
      <c r="H1382" s="379">
        <v>500</v>
      </c>
      <c r="I1382" s="123">
        <v>42</v>
      </c>
      <c r="J1382" s="123">
        <v>5</v>
      </c>
      <c r="K1382" s="123">
        <v>4</v>
      </c>
      <c r="L1382" s="123">
        <v>3</v>
      </c>
      <c r="M1382" s="123">
        <v>6</v>
      </c>
      <c r="N1382" s="123"/>
      <c r="O1382" s="123"/>
      <c r="P1382" s="123">
        <v>22</v>
      </c>
      <c r="Q1382" s="123"/>
      <c r="R1382" s="124"/>
      <c r="S1382" s="123"/>
      <c r="T1382" s="123"/>
      <c r="U1382" s="123"/>
      <c r="V1382" s="123">
        <v>5</v>
      </c>
      <c r="W1382" s="123"/>
      <c r="X1382" s="123">
        <v>3</v>
      </c>
      <c r="Y1382" s="123"/>
      <c r="Z1382" s="123"/>
      <c r="AA1382" s="123">
        <v>0</v>
      </c>
      <c r="AB1382" s="125">
        <f>100/(SUM(I1382:Z1382))</f>
        <v>1.1111111111111112</v>
      </c>
      <c r="AC1382" s="259">
        <f>SUM(I1382:AA1382)</f>
        <v>90</v>
      </c>
      <c r="AD1382" s="123"/>
      <c r="AE1382" s="123"/>
      <c r="AF1382" s="123"/>
      <c r="AG1382" s="263" t="s">
        <v>719</v>
      </c>
      <c r="AH1382" s="253" t="s">
        <v>2001</v>
      </c>
      <c r="AI1382" s="253"/>
      <c r="AJ1382" s="127"/>
      <c r="AK1382" s="121" t="s">
        <v>2002</v>
      </c>
      <c r="AL1382" s="126">
        <f>(B1382-DATE(1970,1,1))*86400</f>
        <v>1580860800</v>
      </c>
      <c r="AM1382" s="126">
        <f>(C1382-DATE(1970,1,1))*86400</f>
        <v>1580860800</v>
      </c>
      <c r="AN1382" s="126">
        <f>AVERAGE(AL1382:AM1382)</f>
        <v>1580860800</v>
      </c>
    </row>
    <row r="1383" spans="1:40" ht="15.75" customHeight="1" x14ac:dyDescent="0.2">
      <c r="A1383" s="281" t="s">
        <v>133</v>
      </c>
      <c r="B1383" s="54">
        <v>43850</v>
      </c>
      <c r="C1383" s="54">
        <v>43857</v>
      </c>
      <c r="D1383" s="53" t="s">
        <v>154</v>
      </c>
      <c r="E1383" s="323" t="s">
        <v>125</v>
      </c>
      <c r="F1383" s="53"/>
      <c r="G1383" s="53" t="s">
        <v>126</v>
      </c>
      <c r="H1383" s="378">
        <v>1002</v>
      </c>
      <c r="I1383" s="55">
        <v>28</v>
      </c>
      <c r="J1383" s="55"/>
      <c r="K1383" s="55">
        <v>7</v>
      </c>
      <c r="L1383" s="55">
        <v>1</v>
      </c>
      <c r="M1383" s="55">
        <v>8</v>
      </c>
      <c r="N1383" s="55"/>
      <c r="O1383" s="55"/>
      <c r="P1383" s="55">
        <v>8</v>
      </c>
      <c r="Q1383" s="55"/>
      <c r="R1383" s="55">
        <v>7</v>
      </c>
      <c r="S1383" s="55"/>
      <c r="T1383" s="55"/>
      <c r="U1383" s="55"/>
      <c r="V1383" s="55">
        <v>1</v>
      </c>
      <c r="W1383" s="55"/>
      <c r="X1383" s="55">
        <v>1</v>
      </c>
      <c r="Y1383" s="55"/>
      <c r="Z1383" s="55">
        <v>1</v>
      </c>
      <c r="AA1383" s="55">
        <v>38</v>
      </c>
      <c r="AB1383" s="57">
        <f>100/(SUM(I1383:Z1383))</f>
        <v>1.6129032258064515</v>
      </c>
      <c r="AC1383" s="259">
        <f>SUM(I1383:AA1383)</f>
        <v>100</v>
      </c>
      <c r="AD1383" s="55"/>
      <c r="AE1383" s="55"/>
      <c r="AF1383" s="55"/>
      <c r="AG1383" s="58"/>
      <c r="AH1383" s="59" t="s">
        <v>1224</v>
      </c>
      <c r="AI1383" s="59" t="s">
        <v>1227</v>
      </c>
      <c r="AJ1383" s="59" t="s">
        <v>1228</v>
      </c>
      <c r="AK1383" s="53" t="s">
        <v>1229</v>
      </c>
      <c r="AL1383" s="58">
        <f>(B1383-DATE(1970,1,1))*86400</f>
        <v>1579478400</v>
      </c>
      <c r="AM1383" s="58">
        <f>(C1383-DATE(1970,1,1))*86400</f>
        <v>1580083200</v>
      </c>
      <c r="AN1383" s="58">
        <f>AVERAGE(AL1383:AM1383)</f>
        <v>1579780800</v>
      </c>
    </row>
    <row r="1384" spans="1:40" ht="15.75" customHeight="1" x14ac:dyDescent="0.2">
      <c r="A1384" s="281" t="s">
        <v>123</v>
      </c>
      <c r="B1384" s="54">
        <v>43850</v>
      </c>
      <c r="C1384" s="54">
        <v>43857</v>
      </c>
      <c r="D1384" s="53" t="s">
        <v>154</v>
      </c>
      <c r="E1384" s="323" t="s">
        <v>125</v>
      </c>
      <c r="F1384" s="53"/>
      <c r="G1384" s="53" t="s">
        <v>126</v>
      </c>
      <c r="H1384" s="378">
        <v>1002</v>
      </c>
      <c r="I1384" s="55">
        <v>37</v>
      </c>
      <c r="J1384" s="55"/>
      <c r="K1384" s="55">
        <v>9</v>
      </c>
      <c r="L1384" s="55">
        <v>1</v>
      </c>
      <c r="M1384" s="55">
        <v>10</v>
      </c>
      <c r="N1384" s="55"/>
      <c r="O1384" s="55"/>
      <c r="P1384" s="55">
        <v>10</v>
      </c>
      <c r="Q1384" s="55"/>
      <c r="R1384" s="55">
        <v>8</v>
      </c>
      <c r="S1384" s="55"/>
      <c r="T1384" s="55"/>
      <c r="U1384" s="55"/>
      <c r="V1384" s="55">
        <v>1</v>
      </c>
      <c r="W1384" s="55"/>
      <c r="X1384" s="55">
        <v>1</v>
      </c>
      <c r="Y1384" s="55"/>
      <c r="Z1384" s="55">
        <v>1</v>
      </c>
      <c r="AA1384" s="55">
        <v>22</v>
      </c>
      <c r="AB1384" s="57">
        <f>100/(SUM(I1384:Z1384))</f>
        <v>1.2820512820512822</v>
      </c>
      <c r="AC1384" s="259">
        <f>SUM(I1384:AA1384)</f>
        <v>100</v>
      </c>
      <c r="AD1384" s="55"/>
      <c r="AE1384" s="55"/>
      <c r="AF1384" s="55"/>
      <c r="AG1384" s="58"/>
      <c r="AH1384" s="53" t="s">
        <v>1144</v>
      </c>
      <c r="AI1384" s="59" t="s">
        <v>1243</v>
      </c>
      <c r="AJ1384" s="59"/>
      <c r="AK1384" s="53" t="s">
        <v>1230</v>
      </c>
      <c r="AL1384" s="58">
        <f>(B1384-DATE(1970,1,1))*86400</f>
        <v>1579478400</v>
      </c>
      <c r="AM1384" s="58">
        <f>(C1384-DATE(1970,1,1))*86400</f>
        <v>1580083200</v>
      </c>
      <c r="AN1384" s="58">
        <f>AVERAGE(AL1384:AM1384)</f>
        <v>1579780800</v>
      </c>
    </row>
    <row r="1385" spans="1:40" ht="15.75" customHeight="1" x14ac:dyDescent="0.2">
      <c r="A1385" s="281" t="s">
        <v>123</v>
      </c>
      <c r="B1385" s="54">
        <v>43850</v>
      </c>
      <c r="C1385" s="54">
        <v>43857</v>
      </c>
      <c r="D1385" s="53" t="s">
        <v>154</v>
      </c>
      <c r="E1385" s="323" t="s">
        <v>125</v>
      </c>
      <c r="F1385" s="53"/>
      <c r="G1385" s="53" t="s">
        <v>126</v>
      </c>
      <c r="H1385" s="378">
        <v>1002</v>
      </c>
      <c r="I1385" s="55">
        <v>48</v>
      </c>
      <c r="J1385" s="55"/>
      <c r="K1385" s="55">
        <v>10</v>
      </c>
      <c r="L1385" s="55">
        <v>2</v>
      </c>
      <c r="M1385" s="55">
        <v>13</v>
      </c>
      <c r="N1385" s="55"/>
      <c r="O1385" s="55"/>
      <c r="P1385" s="55">
        <v>11</v>
      </c>
      <c r="Q1385" s="55"/>
      <c r="R1385" s="55">
        <v>10</v>
      </c>
      <c r="S1385" s="55"/>
      <c r="T1385" s="55"/>
      <c r="U1385" s="55"/>
      <c r="V1385" s="55">
        <v>2</v>
      </c>
      <c r="W1385" s="55"/>
      <c r="X1385" s="55">
        <v>2</v>
      </c>
      <c r="Y1385" s="55"/>
      <c r="Z1385" s="55">
        <v>2</v>
      </c>
      <c r="AA1385" s="55">
        <v>0</v>
      </c>
      <c r="AB1385" s="57">
        <f>100/(SUM(I1385:Z1385))</f>
        <v>1</v>
      </c>
      <c r="AC1385" s="259">
        <f>SUM(I1385:AA1385)</f>
        <v>100</v>
      </c>
      <c r="AD1385" s="55"/>
      <c r="AE1385" s="55"/>
      <c r="AF1385" s="55"/>
      <c r="AG1385" s="58"/>
      <c r="AH1385" s="53" t="s">
        <v>1144</v>
      </c>
      <c r="AI1385" s="59"/>
      <c r="AJ1385" s="59"/>
      <c r="AK1385" s="53" t="s">
        <v>1230</v>
      </c>
      <c r="AL1385" s="58">
        <f>(B1385-DATE(1970,1,1))*86400</f>
        <v>1579478400</v>
      </c>
      <c r="AM1385" s="58">
        <f>(C1385-DATE(1970,1,1))*86400</f>
        <v>1580083200</v>
      </c>
      <c r="AN1385" s="58">
        <f>AVERAGE(AL1385:AM1385)</f>
        <v>1579780800</v>
      </c>
    </row>
    <row r="1386" spans="1:40" ht="15.75" customHeight="1" x14ac:dyDescent="0.2">
      <c r="A1386" s="288" t="s">
        <v>133</v>
      </c>
      <c r="B1386" s="154">
        <v>43843</v>
      </c>
      <c r="C1386" s="154">
        <v>43857</v>
      </c>
      <c r="D1386" s="61" t="s">
        <v>168</v>
      </c>
      <c r="E1386" s="334" t="s">
        <v>125</v>
      </c>
      <c r="F1386" s="61"/>
      <c r="G1386" s="61" t="s">
        <v>149</v>
      </c>
      <c r="H1386" s="334">
        <v>2000</v>
      </c>
      <c r="I1386" s="63">
        <v>37</v>
      </c>
      <c r="J1386" s="63"/>
      <c r="K1386" s="63">
        <v>6</v>
      </c>
      <c r="L1386" s="63">
        <v>2</v>
      </c>
      <c r="M1386" s="63">
        <v>9</v>
      </c>
      <c r="N1386" s="63"/>
      <c r="O1386" s="63"/>
      <c r="P1386" s="63">
        <v>7</v>
      </c>
      <c r="Q1386" s="63"/>
      <c r="R1386" s="64">
        <v>8</v>
      </c>
      <c r="S1386" s="63"/>
      <c r="T1386" s="63"/>
      <c r="U1386" s="63"/>
      <c r="V1386" s="63">
        <v>1</v>
      </c>
      <c r="W1386" s="63"/>
      <c r="X1386" s="63">
        <v>1</v>
      </c>
      <c r="Y1386" s="63"/>
      <c r="Z1386" s="63">
        <v>0</v>
      </c>
      <c r="AA1386" s="63">
        <v>29</v>
      </c>
      <c r="AB1386" s="65">
        <f>100/(SUM(I1386:Z1386))</f>
        <v>1.408450704225352</v>
      </c>
      <c r="AC1386" s="259">
        <f>SUM(I1386:AA1386)</f>
        <v>100</v>
      </c>
      <c r="AD1386" s="63"/>
      <c r="AE1386" s="63"/>
      <c r="AF1386" s="63"/>
      <c r="AG1386" s="66"/>
      <c r="AH1386" s="67" t="s">
        <v>1244</v>
      </c>
      <c r="AI1386" s="67" t="s">
        <v>1245</v>
      </c>
      <c r="AJ1386" s="67" t="s">
        <v>1246</v>
      </c>
      <c r="AK1386" s="61" t="s">
        <v>1248</v>
      </c>
      <c r="AL1386" s="66">
        <f>(B1386-DATE(1970,1,1))*86400</f>
        <v>1578873600</v>
      </c>
      <c r="AM1386" s="66">
        <f>(C1386-DATE(1970,1,1))*86400</f>
        <v>1580083200</v>
      </c>
      <c r="AN1386" s="66">
        <f>AVERAGE(AL1386:AM1386)</f>
        <v>1579478400</v>
      </c>
    </row>
    <row r="1387" spans="1:40" ht="15.75" customHeight="1" x14ac:dyDescent="0.2">
      <c r="A1387" s="288" t="s">
        <v>133</v>
      </c>
      <c r="B1387" s="154">
        <v>43843</v>
      </c>
      <c r="C1387" s="154">
        <v>43857</v>
      </c>
      <c r="D1387" s="61" t="s">
        <v>168</v>
      </c>
      <c r="E1387" s="334" t="s">
        <v>125</v>
      </c>
      <c r="F1387" s="61"/>
      <c r="G1387" s="61" t="s">
        <v>149</v>
      </c>
      <c r="H1387" s="334">
        <v>2000</v>
      </c>
      <c r="I1387" s="63">
        <v>51</v>
      </c>
      <c r="J1387" s="63"/>
      <c r="K1387" s="63">
        <v>9</v>
      </c>
      <c r="L1387" s="63">
        <v>3</v>
      </c>
      <c r="M1387" s="63">
        <v>12</v>
      </c>
      <c r="N1387" s="63"/>
      <c r="O1387" s="63"/>
      <c r="P1387" s="63">
        <v>10</v>
      </c>
      <c r="Q1387" s="63"/>
      <c r="R1387" s="64">
        <v>11</v>
      </c>
      <c r="S1387" s="63"/>
      <c r="T1387" s="63"/>
      <c r="U1387" s="63"/>
      <c r="V1387" s="63">
        <v>2</v>
      </c>
      <c r="W1387" s="63"/>
      <c r="X1387" s="63">
        <v>2</v>
      </c>
      <c r="Y1387" s="63"/>
      <c r="Z1387" s="63">
        <v>0</v>
      </c>
      <c r="AA1387" s="63">
        <v>0</v>
      </c>
      <c r="AB1387" s="65">
        <f>100/(SUM(I1387:Z1387))</f>
        <v>1</v>
      </c>
      <c r="AC1387" s="259">
        <f>SUM(I1387:AA1387)</f>
        <v>100</v>
      </c>
      <c r="AD1387" s="63"/>
      <c r="AE1387" s="63"/>
      <c r="AF1387" s="63"/>
      <c r="AG1387" s="66"/>
      <c r="AH1387" s="67" t="s">
        <v>1244</v>
      </c>
      <c r="AI1387" s="67" t="s">
        <v>1245</v>
      </c>
      <c r="AJ1387" s="67" t="s">
        <v>1246</v>
      </c>
      <c r="AK1387" s="61" t="s">
        <v>1247</v>
      </c>
      <c r="AL1387" s="66">
        <f>(B1387-DATE(1970,1,1))*86400</f>
        <v>1578873600</v>
      </c>
      <c r="AM1387" s="66">
        <f>(C1387-DATE(1970,1,1))*86400</f>
        <v>1580083200</v>
      </c>
      <c r="AN1387" s="66">
        <f>AVERAGE(AL1387:AM1387)</f>
        <v>1579478400</v>
      </c>
    </row>
    <row r="1388" spans="1:40" ht="15.75" customHeight="1" x14ac:dyDescent="0.2">
      <c r="A1388" s="286" t="s">
        <v>133</v>
      </c>
      <c r="B1388" s="41">
        <v>43843</v>
      </c>
      <c r="C1388" s="41">
        <v>43850</v>
      </c>
      <c r="D1388" s="40" t="s">
        <v>148</v>
      </c>
      <c r="E1388" s="325" t="s">
        <v>125</v>
      </c>
      <c r="F1388" s="40"/>
      <c r="G1388" s="40" t="s">
        <v>149</v>
      </c>
      <c r="H1388" s="325">
        <v>1000</v>
      </c>
      <c r="I1388" s="42">
        <v>29</v>
      </c>
      <c r="J1388" s="42"/>
      <c r="K1388" s="42">
        <v>6</v>
      </c>
      <c r="L1388" s="42">
        <v>2</v>
      </c>
      <c r="M1388" s="42">
        <v>9</v>
      </c>
      <c r="N1388" s="42"/>
      <c r="O1388" s="42"/>
      <c r="P1388" s="42">
        <v>6</v>
      </c>
      <c r="Q1388" s="42"/>
      <c r="R1388" s="43">
        <v>6</v>
      </c>
      <c r="S1388" s="42"/>
      <c r="T1388" s="42"/>
      <c r="U1388" s="42"/>
      <c r="V1388" s="42">
        <v>2</v>
      </c>
      <c r="W1388" s="42"/>
      <c r="X1388" s="42">
        <v>2</v>
      </c>
      <c r="Y1388" s="42"/>
      <c r="Z1388" s="42">
        <v>1</v>
      </c>
      <c r="AA1388" s="42">
        <v>37</v>
      </c>
      <c r="AB1388" s="44">
        <f>100/(SUM(I1388:Z1388))</f>
        <v>1.5873015873015872</v>
      </c>
      <c r="AC1388" s="259">
        <f>SUM(I1388:AA1388)</f>
        <v>100</v>
      </c>
      <c r="AD1388" s="42"/>
      <c r="AE1388" s="42"/>
      <c r="AF1388" s="42"/>
      <c r="AG1388" s="45"/>
      <c r="AH1388" s="132" t="s">
        <v>1249</v>
      </c>
      <c r="AI1388" s="132" t="s">
        <v>1250</v>
      </c>
      <c r="AJ1388" s="132" t="s">
        <v>1251</v>
      </c>
      <c r="AK1388" s="40" t="s">
        <v>1134</v>
      </c>
      <c r="AL1388" s="45">
        <f>(B1388-DATE(1970,1,1))*86400</f>
        <v>1578873600</v>
      </c>
      <c r="AM1388" s="45">
        <f>(C1388-DATE(1970,1,1))*86400</f>
        <v>1579478400</v>
      </c>
      <c r="AN1388" s="45">
        <f>AVERAGE(AL1388:AM1388)</f>
        <v>1579176000</v>
      </c>
    </row>
    <row r="1389" spans="1:40" ht="15.75" customHeight="1" x14ac:dyDescent="0.2">
      <c r="A1389" s="286" t="s">
        <v>123</v>
      </c>
      <c r="B1389" s="41">
        <v>43843</v>
      </c>
      <c r="C1389" s="41">
        <v>43850</v>
      </c>
      <c r="D1389" s="40" t="s">
        <v>148</v>
      </c>
      <c r="E1389" s="325" t="s">
        <v>125</v>
      </c>
      <c r="F1389" s="40"/>
      <c r="G1389" s="40" t="s">
        <v>149</v>
      </c>
      <c r="H1389" s="325">
        <v>1000</v>
      </c>
      <c r="I1389" s="42">
        <v>52</v>
      </c>
      <c r="J1389" s="42"/>
      <c r="K1389" s="42">
        <v>9</v>
      </c>
      <c r="L1389" s="42">
        <v>3</v>
      </c>
      <c r="M1389" s="42">
        <v>14</v>
      </c>
      <c r="N1389" s="42"/>
      <c r="O1389" s="42"/>
      <c r="P1389" s="42">
        <v>10</v>
      </c>
      <c r="Q1389" s="42"/>
      <c r="R1389" s="43">
        <v>8</v>
      </c>
      <c r="S1389" s="42"/>
      <c r="T1389" s="42"/>
      <c r="U1389" s="42"/>
      <c r="V1389" s="42">
        <v>1</v>
      </c>
      <c r="W1389" s="42"/>
      <c r="X1389" s="42">
        <v>2</v>
      </c>
      <c r="Y1389" s="42"/>
      <c r="Z1389" s="42">
        <v>1</v>
      </c>
      <c r="AA1389" s="42">
        <v>0</v>
      </c>
      <c r="AB1389" s="44">
        <f>100/(SUM(I1389:Z1389))</f>
        <v>1</v>
      </c>
      <c r="AC1389" s="259">
        <f>SUM(I1389:AA1389)</f>
        <v>100</v>
      </c>
      <c r="AD1389" s="42"/>
      <c r="AE1389" s="42"/>
      <c r="AF1389" s="42"/>
      <c r="AG1389" s="45"/>
      <c r="AH1389" s="132" t="s">
        <v>1249</v>
      </c>
      <c r="AI1389" s="132" t="s">
        <v>1250</v>
      </c>
      <c r="AJ1389" s="132" t="s">
        <v>1251</v>
      </c>
      <c r="AK1389" s="40" t="s">
        <v>1086</v>
      </c>
      <c r="AL1389" s="45">
        <f>(B1389-DATE(1970,1,1))*86400</f>
        <v>1578873600</v>
      </c>
      <c r="AM1389" s="45">
        <f>(C1389-DATE(1970,1,1))*86400</f>
        <v>1579478400</v>
      </c>
      <c r="AN1389" s="45">
        <f>AVERAGE(AL1389:AM1389)</f>
        <v>1579176000</v>
      </c>
    </row>
    <row r="1390" spans="1:40" ht="15.75" customHeight="1" x14ac:dyDescent="0.2">
      <c r="A1390" s="302" t="s">
        <v>123</v>
      </c>
      <c r="B1390" s="254">
        <v>43831</v>
      </c>
      <c r="C1390" s="254">
        <v>43861</v>
      </c>
      <c r="D1390" s="262" t="s">
        <v>2445</v>
      </c>
      <c r="E1390" s="322" t="s">
        <v>125</v>
      </c>
      <c r="F1390" s="121" t="s">
        <v>2377</v>
      </c>
      <c r="G1390" s="262" t="s">
        <v>244</v>
      </c>
      <c r="H1390" s="379">
        <v>500</v>
      </c>
      <c r="I1390" s="123">
        <v>36</v>
      </c>
      <c r="J1390" s="123"/>
      <c r="K1390" s="123"/>
      <c r="L1390" s="123"/>
      <c r="M1390" s="123"/>
      <c r="N1390" s="123"/>
      <c r="O1390" s="123"/>
      <c r="P1390" s="123"/>
      <c r="Q1390" s="123"/>
      <c r="R1390" s="124"/>
      <c r="S1390" s="123"/>
      <c r="T1390" s="123"/>
      <c r="U1390" s="123">
        <v>45</v>
      </c>
      <c r="V1390" s="123"/>
      <c r="W1390" s="123"/>
      <c r="X1390" s="123"/>
      <c r="Y1390" s="123"/>
      <c r="Z1390" s="123"/>
      <c r="AA1390" s="123"/>
      <c r="AB1390" s="125">
        <f>100/(SUM(I1390:Z1390))</f>
        <v>1.2345679012345678</v>
      </c>
      <c r="AC1390" s="259">
        <f>SUM(I1390:AA1390)</f>
        <v>81</v>
      </c>
      <c r="AD1390" s="123"/>
      <c r="AE1390" s="123"/>
      <c r="AF1390" s="123"/>
      <c r="AG1390" s="126" t="s">
        <v>719</v>
      </c>
      <c r="AH1390" s="253" t="s">
        <v>1992</v>
      </c>
      <c r="AI1390" s="127"/>
      <c r="AJ1390" s="127"/>
      <c r="AK1390" s="121" t="s">
        <v>1991</v>
      </c>
      <c r="AL1390" s="126">
        <f>(B1390-DATE(1970,1,1))*86400</f>
        <v>1577836800</v>
      </c>
      <c r="AM1390" s="126">
        <f>(C1390-DATE(1970,1,1))*86400</f>
        <v>1580428800</v>
      </c>
      <c r="AN1390" s="126">
        <f>AVERAGE(AL1390:AM1390)</f>
        <v>1579132800</v>
      </c>
    </row>
    <row r="1391" spans="1:40" ht="15.75" customHeight="1" x14ac:dyDescent="0.2">
      <c r="A1391" s="279" t="s">
        <v>133</v>
      </c>
      <c r="B1391" s="14">
        <v>43840</v>
      </c>
      <c r="C1391" s="14">
        <v>43846</v>
      </c>
      <c r="D1391" s="13" t="s">
        <v>124</v>
      </c>
      <c r="E1391" s="324" t="s">
        <v>125</v>
      </c>
      <c r="F1391" s="13"/>
      <c r="G1391" s="13" t="s">
        <v>126</v>
      </c>
      <c r="H1391" s="372">
        <v>1000</v>
      </c>
      <c r="I1391" s="15">
        <v>41</v>
      </c>
      <c r="J1391" s="15"/>
      <c r="K1391" s="15">
        <v>8</v>
      </c>
      <c r="L1391" s="15">
        <v>3</v>
      </c>
      <c r="M1391" s="15">
        <v>7</v>
      </c>
      <c r="N1391" s="15"/>
      <c r="O1391" s="15"/>
      <c r="P1391" s="15">
        <v>8</v>
      </c>
      <c r="Q1391" s="15"/>
      <c r="R1391" s="15">
        <v>4</v>
      </c>
      <c r="S1391" s="15"/>
      <c r="T1391" s="15"/>
      <c r="U1391" s="15"/>
      <c r="V1391" s="15">
        <v>4</v>
      </c>
      <c r="W1391" s="15"/>
      <c r="X1391" s="15">
        <v>2</v>
      </c>
      <c r="Y1391" s="15"/>
      <c r="Z1391" s="15"/>
      <c r="AA1391" s="15">
        <v>23</v>
      </c>
      <c r="AB1391" s="16">
        <f>100/(SUM(I1391:Z1391))</f>
        <v>1.2987012987012987</v>
      </c>
      <c r="AC1391" s="259">
        <f>SUM(I1391:AA1391)</f>
        <v>100</v>
      </c>
      <c r="AD1391" s="15"/>
      <c r="AE1391" s="15"/>
      <c r="AF1391" s="15"/>
      <c r="AG1391" s="17"/>
      <c r="AH1391" s="18" t="s">
        <v>1252</v>
      </c>
      <c r="AI1391" s="18"/>
      <c r="AJ1391" s="18"/>
      <c r="AK1391" s="13" t="s">
        <v>1253</v>
      </c>
      <c r="AL1391" s="17">
        <f>(B1391-DATE(1970,1,1))*86400</f>
        <v>1578614400</v>
      </c>
      <c r="AM1391" s="17">
        <f>(C1391-DATE(1970,1,1))*86400</f>
        <v>1579132800</v>
      </c>
      <c r="AN1391" s="17">
        <f>AVERAGE(AL1391:AM1391)</f>
        <v>1578873600</v>
      </c>
    </row>
    <row r="1392" spans="1:40" ht="15.75" customHeight="1" x14ac:dyDescent="0.2">
      <c r="A1392" s="279" t="s">
        <v>123</v>
      </c>
      <c r="B1392" s="14">
        <v>43840</v>
      </c>
      <c r="C1392" s="14">
        <v>43846</v>
      </c>
      <c r="D1392" s="13" t="s">
        <v>124</v>
      </c>
      <c r="E1392" s="324" t="s">
        <v>125</v>
      </c>
      <c r="F1392" s="13"/>
      <c r="G1392" s="13" t="s">
        <v>126</v>
      </c>
      <c r="H1392" s="372">
        <v>1000</v>
      </c>
      <c r="I1392" s="15">
        <v>49</v>
      </c>
      <c r="J1392" s="15"/>
      <c r="K1392" s="15">
        <v>8</v>
      </c>
      <c r="L1392" s="15">
        <v>3</v>
      </c>
      <c r="M1392" s="15">
        <v>9</v>
      </c>
      <c r="N1392" s="15"/>
      <c r="O1392" s="15"/>
      <c r="P1392" s="15">
        <v>11</v>
      </c>
      <c r="Q1392" s="15"/>
      <c r="R1392" s="15">
        <v>4</v>
      </c>
      <c r="S1392" s="15"/>
      <c r="T1392" s="15"/>
      <c r="U1392" s="15"/>
      <c r="V1392" s="15">
        <v>4</v>
      </c>
      <c r="W1392" s="15"/>
      <c r="X1392" s="15">
        <v>3</v>
      </c>
      <c r="Y1392" s="15"/>
      <c r="Z1392" s="15"/>
      <c r="AA1392" s="155">
        <v>9</v>
      </c>
      <c r="AB1392" s="16">
        <f>100/(SUM(I1392:Z1392))</f>
        <v>1.098901098901099</v>
      </c>
      <c r="AC1392" s="259">
        <f>SUM(I1392:AA1392)</f>
        <v>100</v>
      </c>
      <c r="AD1392" s="15"/>
      <c r="AE1392" s="15"/>
      <c r="AF1392" s="15"/>
      <c r="AG1392" s="17"/>
      <c r="AH1392" s="18" t="s">
        <v>1252</v>
      </c>
      <c r="AI1392" s="18"/>
      <c r="AJ1392" s="18"/>
      <c r="AK1392" s="13" t="s">
        <v>1255</v>
      </c>
      <c r="AL1392" s="17">
        <f>(B1392-DATE(1970,1,1))*86400</f>
        <v>1578614400</v>
      </c>
      <c r="AM1392" s="17">
        <f>(C1392-DATE(1970,1,1))*86400</f>
        <v>1579132800</v>
      </c>
      <c r="AN1392" s="17">
        <f>AVERAGE(AL1392:AM1392)</f>
        <v>1578873600</v>
      </c>
    </row>
    <row r="1393" spans="1:40" ht="15.75" customHeight="1" x14ac:dyDescent="0.2">
      <c r="A1393" s="279" t="s">
        <v>123</v>
      </c>
      <c r="B1393" s="14">
        <v>43840</v>
      </c>
      <c r="C1393" s="14">
        <v>43846</v>
      </c>
      <c r="D1393" s="13" t="s">
        <v>124</v>
      </c>
      <c r="E1393" s="324" t="s">
        <v>125</v>
      </c>
      <c r="F1393" s="13"/>
      <c r="G1393" s="13" t="s">
        <v>126</v>
      </c>
      <c r="H1393" s="372">
        <v>1000</v>
      </c>
      <c r="I1393" s="15">
        <v>50</v>
      </c>
      <c r="J1393" s="15"/>
      <c r="K1393" s="15">
        <v>10</v>
      </c>
      <c r="L1393" s="15">
        <v>4</v>
      </c>
      <c r="M1393" s="15">
        <v>10</v>
      </c>
      <c r="N1393" s="15"/>
      <c r="O1393" s="15"/>
      <c r="P1393" s="15">
        <v>13</v>
      </c>
      <c r="Q1393" s="15"/>
      <c r="R1393" s="15">
        <v>5</v>
      </c>
      <c r="S1393" s="15"/>
      <c r="T1393" s="15"/>
      <c r="U1393" s="15"/>
      <c r="V1393" s="15">
        <v>4</v>
      </c>
      <c r="W1393" s="15"/>
      <c r="X1393" s="15">
        <v>3</v>
      </c>
      <c r="Y1393" s="15"/>
      <c r="Z1393" s="15"/>
      <c r="AA1393" s="15">
        <v>0</v>
      </c>
      <c r="AB1393" s="16">
        <f>100/(SUM(I1393:Z1393))</f>
        <v>1.0101010101010102</v>
      </c>
      <c r="AC1393" s="259">
        <f>SUM(I1393:AA1393)</f>
        <v>99</v>
      </c>
      <c r="AD1393" s="15"/>
      <c r="AE1393" s="15"/>
      <c r="AF1393" s="15"/>
      <c r="AG1393" s="17"/>
      <c r="AH1393" s="18" t="s">
        <v>1252</v>
      </c>
      <c r="AI1393" s="18"/>
      <c r="AJ1393" s="18"/>
      <c r="AK1393" s="13" t="s">
        <v>1254</v>
      </c>
      <c r="AL1393" s="17">
        <f>(B1393-DATE(1970,1,1))*86400</f>
        <v>1578614400</v>
      </c>
      <c r="AM1393" s="17">
        <f>(C1393-DATE(1970,1,1))*86400</f>
        <v>1579132800</v>
      </c>
      <c r="AN1393" s="17">
        <f>AVERAGE(AL1393:AM1393)</f>
        <v>1578873600</v>
      </c>
    </row>
    <row r="1394" spans="1:40" ht="15.75" customHeight="1" x14ac:dyDescent="0.2">
      <c r="A1394" s="302" t="s">
        <v>123</v>
      </c>
      <c r="B1394" s="254">
        <v>43838</v>
      </c>
      <c r="C1394" s="254">
        <v>43838</v>
      </c>
      <c r="D1394" s="262" t="s">
        <v>2445</v>
      </c>
      <c r="E1394" s="322" t="s">
        <v>184</v>
      </c>
      <c r="F1394" s="121" t="s">
        <v>2007</v>
      </c>
      <c r="G1394" s="262" t="s">
        <v>244</v>
      </c>
      <c r="H1394" s="379">
        <v>500</v>
      </c>
      <c r="I1394" s="123">
        <v>42</v>
      </c>
      <c r="J1394" s="123">
        <v>6</v>
      </c>
      <c r="K1394" s="123">
        <v>6</v>
      </c>
      <c r="L1394" s="123">
        <v>3</v>
      </c>
      <c r="M1394" s="123">
        <v>7</v>
      </c>
      <c r="N1394" s="123"/>
      <c r="O1394" s="123"/>
      <c r="P1394" s="123">
        <v>23</v>
      </c>
      <c r="Q1394" s="123"/>
      <c r="R1394" s="124"/>
      <c r="S1394" s="123"/>
      <c r="T1394" s="123"/>
      <c r="U1394" s="123"/>
      <c r="V1394" s="123"/>
      <c r="W1394" s="123"/>
      <c r="X1394" s="123">
        <v>4</v>
      </c>
      <c r="Y1394" s="123"/>
      <c r="Z1394" s="123"/>
      <c r="AA1394" s="123">
        <v>0</v>
      </c>
      <c r="AB1394" s="125">
        <f>100/(SUM(I1394:Z1394))</f>
        <v>1.098901098901099</v>
      </c>
      <c r="AC1394" s="259">
        <f>SUM(I1394:AA1394)</f>
        <v>91</v>
      </c>
      <c r="AD1394" s="123"/>
      <c r="AE1394" s="123"/>
      <c r="AF1394" s="123"/>
      <c r="AG1394" s="263" t="s">
        <v>719</v>
      </c>
      <c r="AH1394" s="253" t="s">
        <v>2001</v>
      </c>
      <c r="AI1394" s="253" t="s">
        <v>2006</v>
      </c>
      <c r="AJ1394" s="127"/>
      <c r="AK1394" s="121" t="s">
        <v>2002</v>
      </c>
      <c r="AL1394" s="126">
        <f>(B1394-DATE(1970,1,1))*86400</f>
        <v>1578441600</v>
      </c>
      <c r="AM1394" s="126">
        <f>(C1394-DATE(1970,1,1))*86400</f>
        <v>1578441600</v>
      </c>
      <c r="AN1394" s="126">
        <f>AVERAGE(AL1394:AM1394)</f>
        <v>1578441600</v>
      </c>
    </row>
    <row r="1395" spans="1:40" ht="15.75" customHeight="1" x14ac:dyDescent="0.2">
      <c r="A1395" s="284" t="s">
        <v>133</v>
      </c>
      <c r="B1395" s="20">
        <v>43817</v>
      </c>
      <c r="C1395" s="20">
        <v>43824</v>
      </c>
      <c r="D1395" s="19" t="s">
        <v>134</v>
      </c>
      <c r="E1395" s="332" t="s">
        <v>125</v>
      </c>
      <c r="F1395" s="19"/>
      <c r="G1395" s="19" t="s">
        <v>135</v>
      </c>
      <c r="H1395" s="332">
        <v>1000</v>
      </c>
      <c r="I1395" s="21">
        <v>32</v>
      </c>
      <c r="J1395" s="21"/>
      <c r="K1395" s="21">
        <v>6</v>
      </c>
      <c r="L1395" s="21">
        <v>1</v>
      </c>
      <c r="M1395" s="21">
        <v>9</v>
      </c>
      <c r="N1395" s="21"/>
      <c r="O1395" s="21"/>
      <c r="P1395" s="21">
        <v>6</v>
      </c>
      <c r="Q1395" s="21"/>
      <c r="R1395" s="22">
        <v>8</v>
      </c>
      <c r="S1395" s="21"/>
      <c r="T1395" s="21"/>
      <c r="U1395" s="21"/>
      <c r="V1395" s="21">
        <v>2</v>
      </c>
      <c r="W1395" s="21"/>
      <c r="X1395" s="21">
        <v>2</v>
      </c>
      <c r="Y1395" s="21"/>
      <c r="Z1395" s="21">
        <v>1</v>
      </c>
      <c r="AA1395" s="21">
        <v>33</v>
      </c>
      <c r="AB1395" s="23">
        <f>100/(SUM(I1395:Z1395))</f>
        <v>1.4925373134328359</v>
      </c>
      <c r="AC1395" s="259">
        <f>SUM(I1395:AA1395)</f>
        <v>100</v>
      </c>
      <c r="AD1395" s="21"/>
      <c r="AE1395" s="21"/>
      <c r="AF1395" s="21"/>
      <c r="AG1395" s="25"/>
      <c r="AH1395" s="83" t="s">
        <v>1256</v>
      </c>
      <c r="AI1395" s="83"/>
      <c r="AJ1395" s="83"/>
      <c r="AK1395" s="19" t="s">
        <v>1018</v>
      </c>
      <c r="AL1395" s="25">
        <f>(B1395-DATE(1970,1,1))*86400</f>
        <v>1576627200</v>
      </c>
      <c r="AM1395" s="25">
        <f>(C1395-DATE(1970,1,1))*86400</f>
        <v>1577232000</v>
      </c>
      <c r="AN1395" s="25">
        <f>AVERAGE(AL1395:AM1395)</f>
        <v>1576929600</v>
      </c>
    </row>
    <row r="1396" spans="1:40" ht="15.75" customHeight="1" x14ac:dyDescent="0.2">
      <c r="A1396" s="284" t="s">
        <v>123</v>
      </c>
      <c r="B1396" s="20">
        <v>43817</v>
      </c>
      <c r="C1396" s="20">
        <v>43824</v>
      </c>
      <c r="D1396" s="19" t="s">
        <v>134</v>
      </c>
      <c r="E1396" s="332" t="s">
        <v>125</v>
      </c>
      <c r="F1396" s="19"/>
      <c r="G1396" s="19" t="s">
        <v>135</v>
      </c>
      <c r="H1396" s="332">
        <v>1000</v>
      </c>
      <c r="I1396" s="21">
        <v>50</v>
      </c>
      <c r="J1396" s="21"/>
      <c r="K1396" s="21">
        <v>8</v>
      </c>
      <c r="L1396" s="21">
        <v>2</v>
      </c>
      <c r="M1396" s="21">
        <v>15</v>
      </c>
      <c r="N1396" s="21"/>
      <c r="O1396" s="21"/>
      <c r="P1396" s="21">
        <v>10</v>
      </c>
      <c r="Q1396" s="21"/>
      <c r="R1396" s="22">
        <v>8</v>
      </c>
      <c r="S1396" s="21"/>
      <c r="T1396" s="21"/>
      <c r="U1396" s="21"/>
      <c r="V1396" s="21">
        <v>3</v>
      </c>
      <c r="W1396" s="21"/>
      <c r="X1396" s="21">
        <v>3</v>
      </c>
      <c r="Y1396" s="21"/>
      <c r="Z1396" s="21">
        <v>1</v>
      </c>
      <c r="AA1396" s="21">
        <v>0</v>
      </c>
      <c r="AB1396" s="23">
        <f>100/(SUM(I1396:Z1396))</f>
        <v>1</v>
      </c>
      <c r="AC1396" s="259">
        <f>SUM(I1396:AA1396)</f>
        <v>100</v>
      </c>
      <c r="AD1396" s="21"/>
      <c r="AE1396" s="21"/>
      <c r="AF1396" s="21"/>
      <c r="AG1396" s="25"/>
      <c r="AH1396" s="83" t="s">
        <v>1256</v>
      </c>
      <c r="AI1396" s="83"/>
      <c r="AJ1396" s="83"/>
      <c r="AK1396" s="19" t="s">
        <v>1018</v>
      </c>
      <c r="AL1396" s="25">
        <f>(B1396-DATE(1970,1,1))*86400</f>
        <v>1576627200</v>
      </c>
      <c r="AM1396" s="25">
        <f>(C1396-DATE(1970,1,1))*86400</f>
        <v>1577232000</v>
      </c>
      <c r="AN1396" s="25">
        <f>AVERAGE(AL1396:AM1396)</f>
        <v>1576929600</v>
      </c>
    </row>
    <row r="1397" spans="1:40" ht="15.75" customHeight="1" x14ac:dyDescent="0.2">
      <c r="A1397" s="281" t="s">
        <v>133</v>
      </c>
      <c r="B1397" s="54">
        <v>43813</v>
      </c>
      <c r="C1397" s="54">
        <v>43819</v>
      </c>
      <c r="D1397" s="53" t="s">
        <v>154</v>
      </c>
      <c r="E1397" s="323" t="s">
        <v>125</v>
      </c>
      <c r="F1397" s="53"/>
      <c r="G1397" s="53" t="s">
        <v>126</v>
      </c>
      <c r="H1397" s="378">
        <v>1002</v>
      </c>
      <c r="I1397" s="55">
        <v>28</v>
      </c>
      <c r="J1397" s="55"/>
      <c r="K1397" s="55">
        <v>6</v>
      </c>
      <c r="L1397" s="55">
        <v>1</v>
      </c>
      <c r="M1397" s="55">
        <v>8</v>
      </c>
      <c r="N1397" s="56"/>
      <c r="O1397" s="56"/>
      <c r="P1397" s="55">
        <v>7</v>
      </c>
      <c r="Q1397" s="55"/>
      <c r="R1397" s="55">
        <v>7</v>
      </c>
      <c r="S1397" s="55"/>
      <c r="T1397" s="55"/>
      <c r="U1397" s="55"/>
      <c r="V1397" s="55">
        <v>2</v>
      </c>
      <c r="W1397" s="55"/>
      <c r="X1397" s="55">
        <v>1</v>
      </c>
      <c r="Y1397" s="55"/>
      <c r="Z1397" s="55">
        <v>1</v>
      </c>
      <c r="AA1397" s="55">
        <v>39</v>
      </c>
      <c r="AB1397" s="57">
        <f>100/(SUM(I1397:Z1397))</f>
        <v>1.639344262295082</v>
      </c>
      <c r="AC1397" s="259">
        <f>SUM(I1397:AA1397)</f>
        <v>100</v>
      </c>
      <c r="AD1397" s="55"/>
      <c r="AE1397" s="55"/>
      <c r="AF1397" s="55"/>
      <c r="AG1397" s="58"/>
      <c r="AH1397" s="59" t="s">
        <v>1257</v>
      </c>
      <c r="AI1397" s="59"/>
      <c r="AJ1397" s="59"/>
      <c r="AK1397" s="53"/>
      <c r="AL1397" s="58">
        <f>(B1397-DATE(1970,1,1))*86400</f>
        <v>1576281600</v>
      </c>
      <c r="AM1397" s="58">
        <f>(C1397-DATE(1970,1,1))*86400</f>
        <v>1576800000</v>
      </c>
      <c r="AN1397" s="58">
        <f>AVERAGE(AL1397:AM1397)</f>
        <v>1576540800</v>
      </c>
    </row>
    <row r="1398" spans="1:40" ht="15.75" customHeight="1" x14ac:dyDescent="0.2">
      <c r="A1398" s="281" t="s">
        <v>123</v>
      </c>
      <c r="B1398" s="54">
        <v>43813</v>
      </c>
      <c r="C1398" s="54">
        <v>43819</v>
      </c>
      <c r="D1398" s="53" t="s">
        <v>154</v>
      </c>
      <c r="E1398" s="323" t="s">
        <v>125</v>
      </c>
      <c r="F1398" s="53"/>
      <c r="G1398" s="53" t="s">
        <v>126</v>
      </c>
      <c r="H1398" s="378">
        <v>1002</v>
      </c>
      <c r="I1398" s="55">
        <v>37</v>
      </c>
      <c r="J1398" s="55"/>
      <c r="K1398" s="55">
        <v>8</v>
      </c>
      <c r="L1398" s="55">
        <v>2</v>
      </c>
      <c r="M1398" s="55">
        <v>10</v>
      </c>
      <c r="N1398" s="56"/>
      <c r="O1398" s="56"/>
      <c r="P1398" s="55">
        <v>9</v>
      </c>
      <c r="Q1398" s="55"/>
      <c r="R1398" s="55">
        <v>9</v>
      </c>
      <c r="S1398" s="55"/>
      <c r="T1398" s="55"/>
      <c r="U1398" s="55"/>
      <c r="V1398" s="55">
        <v>2</v>
      </c>
      <c r="W1398" s="55"/>
      <c r="X1398" s="55">
        <v>1</v>
      </c>
      <c r="Y1398" s="55"/>
      <c r="Z1398" s="55">
        <v>2</v>
      </c>
      <c r="AA1398" s="55">
        <v>20</v>
      </c>
      <c r="AB1398" s="57">
        <f>100/(SUM(I1398:Z1398))</f>
        <v>1.25</v>
      </c>
      <c r="AC1398" s="259">
        <f>SUM(I1398:AA1398)</f>
        <v>100</v>
      </c>
      <c r="AD1398" s="55"/>
      <c r="AE1398" s="55"/>
      <c r="AF1398" s="55"/>
      <c r="AG1398" s="58"/>
      <c r="AH1398" s="59" t="s">
        <v>1257</v>
      </c>
      <c r="AI1398" s="59"/>
      <c r="AJ1398" s="53"/>
      <c r="AK1398" s="53"/>
      <c r="AL1398" s="58">
        <f>(B1398-DATE(1970,1,1))*86400</f>
        <v>1576281600</v>
      </c>
      <c r="AM1398" s="58">
        <f>(C1398-DATE(1970,1,1))*86400</f>
        <v>1576800000</v>
      </c>
      <c r="AN1398" s="58">
        <f>AVERAGE(AL1398:AM1398)</f>
        <v>1576540800</v>
      </c>
    </row>
    <row r="1399" spans="1:40" ht="15.75" customHeight="1" x14ac:dyDescent="0.2">
      <c r="A1399" s="281" t="s">
        <v>123</v>
      </c>
      <c r="B1399" s="54">
        <v>43813</v>
      </c>
      <c r="C1399" s="54">
        <v>43819</v>
      </c>
      <c r="D1399" s="53" t="s">
        <v>154</v>
      </c>
      <c r="E1399" s="323" t="s">
        <v>125</v>
      </c>
      <c r="F1399" s="53"/>
      <c r="G1399" s="53" t="s">
        <v>126</v>
      </c>
      <c r="H1399" s="378">
        <v>1002</v>
      </c>
      <c r="I1399" s="55">
        <v>47</v>
      </c>
      <c r="J1399" s="55"/>
      <c r="K1399" s="55">
        <v>10</v>
      </c>
      <c r="L1399" s="55">
        <v>2</v>
      </c>
      <c r="M1399" s="55">
        <v>12</v>
      </c>
      <c r="N1399" s="56"/>
      <c r="O1399" s="56"/>
      <c r="P1399" s="55">
        <v>12</v>
      </c>
      <c r="Q1399" s="55"/>
      <c r="R1399" s="55">
        <v>11</v>
      </c>
      <c r="S1399" s="55"/>
      <c r="T1399" s="55"/>
      <c r="U1399" s="55"/>
      <c r="V1399" s="55">
        <v>3</v>
      </c>
      <c r="W1399" s="55"/>
      <c r="X1399" s="55">
        <v>1</v>
      </c>
      <c r="Y1399" s="55"/>
      <c r="Z1399" s="55">
        <v>2</v>
      </c>
      <c r="AA1399" s="55">
        <v>0</v>
      </c>
      <c r="AB1399" s="57">
        <f>100/(SUM(I1399:Z1399))</f>
        <v>1</v>
      </c>
      <c r="AC1399" s="259">
        <f>SUM(I1399:AA1399)</f>
        <v>100</v>
      </c>
      <c r="AD1399" s="55"/>
      <c r="AE1399" s="55"/>
      <c r="AF1399" s="55"/>
      <c r="AG1399" s="58"/>
      <c r="AH1399" s="59" t="s">
        <v>1257</v>
      </c>
      <c r="AI1399" s="59"/>
      <c r="AJ1399" s="53"/>
      <c r="AK1399" s="53"/>
      <c r="AL1399" s="58">
        <f>(B1399-DATE(1970,1,1))*86400</f>
        <v>1576281600</v>
      </c>
      <c r="AM1399" s="58">
        <f>(C1399-DATE(1970,1,1))*86400</f>
        <v>1576800000</v>
      </c>
      <c r="AN1399" s="58">
        <f>AVERAGE(AL1399:AM1399)</f>
        <v>1576540800</v>
      </c>
    </row>
    <row r="1400" spans="1:40" ht="15.75" customHeight="1" x14ac:dyDescent="0.2">
      <c r="A1400" s="286" t="s">
        <v>133</v>
      </c>
      <c r="B1400" s="41">
        <v>43807</v>
      </c>
      <c r="C1400" s="41">
        <v>43814</v>
      </c>
      <c r="D1400" s="40" t="s">
        <v>148</v>
      </c>
      <c r="E1400" s="325" t="s">
        <v>125</v>
      </c>
      <c r="F1400" s="40"/>
      <c r="G1400" s="40" t="s">
        <v>149</v>
      </c>
      <c r="H1400" s="325">
        <v>1000</v>
      </c>
      <c r="I1400" s="42">
        <v>32</v>
      </c>
      <c r="J1400" s="42"/>
      <c r="K1400" s="42">
        <v>6</v>
      </c>
      <c r="L1400" s="42">
        <v>2</v>
      </c>
      <c r="M1400" s="42">
        <v>9</v>
      </c>
      <c r="N1400" s="42"/>
      <c r="O1400" s="42"/>
      <c r="P1400" s="42">
        <v>7</v>
      </c>
      <c r="Q1400" s="42"/>
      <c r="R1400" s="43">
        <v>6</v>
      </c>
      <c r="S1400" s="42"/>
      <c r="T1400" s="42"/>
      <c r="U1400" s="42"/>
      <c r="V1400" s="42">
        <v>1</v>
      </c>
      <c r="W1400" s="42"/>
      <c r="X1400" s="42">
        <v>2</v>
      </c>
      <c r="Y1400" s="42"/>
      <c r="Z1400" s="42">
        <v>1</v>
      </c>
      <c r="AA1400" s="42">
        <v>34</v>
      </c>
      <c r="AB1400" s="44">
        <f>100/(SUM(I1400:Z1400))</f>
        <v>1.5151515151515151</v>
      </c>
      <c r="AC1400" s="259">
        <f>SUM(I1400:AA1400)</f>
        <v>100</v>
      </c>
      <c r="AD1400" s="42"/>
      <c r="AE1400" s="42"/>
      <c r="AF1400" s="42"/>
      <c r="AG1400" s="45"/>
      <c r="AH1400" s="132" t="s">
        <v>1258</v>
      </c>
      <c r="AI1400" s="132" t="s">
        <v>1259</v>
      </c>
      <c r="AJ1400" s="132"/>
      <c r="AK1400" s="40" t="s">
        <v>1142</v>
      </c>
      <c r="AL1400" s="45">
        <f>(B1400-DATE(1970,1,1))*86400</f>
        <v>1575763200</v>
      </c>
      <c r="AM1400" s="45">
        <f>(C1400-DATE(1970,1,1))*86400</f>
        <v>1576368000</v>
      </c>
      <c r="AN1400" s="45">
        <f>AVERAGE(AL1400:AM1400)</f>
        <v>1576065600</v>
      </c>
    </row>
    <row r="1401" spans="1:40" ht="15.75" customHeight="1" x14ac:dyDescent="0.2">
      <c r="A1401" s="286" t="s">
        <v>123</v>
      </c>
      <c r="B1401" s="41">
        <v>43807</v>
      </c>
      <c r="C1401" s="41">
        <v>43814</v>
      </c>
      <c r="D1401" s="40" t="s">
        <v>148</v>
      </c>
      <c r="E1401" s="325" t="s">
        <v>125</v>
      </c>
      <c r="F1401" s="40"/>
      <c r="G1401" s="40" t="s">
        <v>149</v>
      </c>
      <c r="H1401" s="325">
        <v>1000</v>
      </c>
      <c r="I1401" s="42">
        <v>50</v>
      </c>
      <c r="J1401" s="42"/>
      <c r="K1401" s="42">
        <v>9</v>
      </c>
      <c r="L1401" s="42">
        <v>1</v>
      </c>
      <c r="M1401" s="42">
        <v>15</v>
      </c>
      <c r="N1401" s="42"/>
      <c r="O1401" s="42"/>
      <c r="P1401" s="42">
        <v>10</v>
      </c>
      <c r="Q1401" s="42"/>
      <c r="R1401" s="43">
        <v>9</v>
      </c>
      <c r="S1401" s="42"/>
      <c r="T1401" s="42"/>
      <c r="U1401" s="42"/>
      <c r="V1401" s="42">
        <v>2</v>
      </c>
      <c r="W1401" s="42"/>
      <c r="X1401" s="42">
        <v>3</v>
      </c>
      <c r="Y1401" s="42"/>
      <c r="Z1401" s="42">
        <v>1</v>
      </c>
      <c r="AA1401" s="42">
        <v>0</v>
      </c>
      <c r="AB1401" s="44">
        <f>100/(SUM(I1401:Z1401))</f>
        <v>1</v>
      </c>
      <c r="AC1401" s="259">
        <f>SUM(I1401:AA1401)</f>
        <v>100</v>
      </c>
      <c r="AD1401" s="42"/>
      <c r="AE1401" s="42"/>
      <c r="AF1401" s="42"/>
      <c r="AG1401" s="45"/>
      <c r="AH1401" s="132" t="s">
        <v>1258</v>
      </c>
      <c r="AI1401" s="132" t="s">
        <v>1259</v>
      </c>
      <c r="AJ1401" s="132"/>
      <c r="AK1401" s="40" t="s">
        <v>1078</v>
      </c>
      <c r="AL1401" s="45">
        <f>(B1401-DATE(1970,1,1))*86400</f>
        <v>1575763200</v>
      </c>
      <c r="AM1401" s="45">
        <f>(C1401-DATE(1970,1,1))*86400</f>
        <v>1576368000</v>
      </c>
      <c r="AN1401" s="45">
        <f>AVERAGE(AL1401:AM1401)</f>
        <v>1576065600</v>
      </c>
    </row>
    <row r="1402" spans="1:40" ht="15.75" customHeight="1" x14ac:dyDescent="0.2">
      <c r="A1402" s="302" t="s">
        <v>123</v>
      </c>
      <c r="B1402" s="254">
        <v>43803</v>
      </c>
      <c r="C1402" s="254">
        <v>43803</v>
      </c>
      <c r="D1402" s="262" t="s">
        <v>2445</v>
      </c>
      <c r="E1402" s="322" t="s">
        <v>184</v>
      </c>
      <c r="F1402" s="121" t="s">
        <v>2007</v>
      </c>
      <c r="G1402" s="262" t="s">
        <v>244</v>
      </c>
      <c r="H1402" s="379">
        <v>500</v>
      </c>
      <c r="I1402" s="123">
        <v>40</v>
      </c>
      <c r="J1402" s="123">
        <v>7</v>
      </c>
      <c r="K1402" s="123">
        <v>7</v>
      </c>
      <c r="L1402" s="123">
        <v>4</v>
      </c>
      <c r="M1402" s="124">
        <v>7</v>
      </c>
      <c r="N1402" s="123"/>
      <c r="O1402" s="123"/>
      <c r="P1402" s="123">
        <v>20</v>
      </c>
      <c r="Q1402" s="123"/>
      <c r="R1402" s="124"/>
      <c r="S1402" s="123"/>
      <c r="T1402" s="123"/>
      <c r="U1402" s="123"/>
      <c r="V1402" s="123"/>
      <c r="W1402" s="123"/>
      <c r="X1402" s="123">
        <v>4</v>
      </c>
      <c r="Y1402" s="123"/>
      <c r="Z1402" s="123"/>
      <c r="AA1402" s="123">
        <v>0</v>
      </c>
      <c r="AB1402" s="125">
        <f>100/(SUM(I1402:Z1402))</f>
        <v>1.1235955056179776</v>
      </c>
      <c r="AC1402" s="259">
        <f>SUM(I1402:AA1402)</f>
        <v>89</v>
      </c>
      <c r="AD1402" s="123"/>
      <c r="AE1402" s="123"/>
      <c r="AF1402" s="123"/>
      <c r="AG1402" s="263" t="s">
        <v>719</v>
      </c>
      <c r="AH1402" s="253" t="s">
        <v>2001</v>
      </c>
      <c r="AI1402" s="253"/>
      <c r="AJ1402" s="127"/>
      <c r="AK1402" s="121" t="s">
        <v>2002</v>
      </c>
      <c r="AL1402" s="126">
        <f>(B1402-DATE(1970,1,1))*86400</f>
        <v>1575417600</v>
      </c>
      <c r="AM1402" s="126">
        <f>(C1402-DATE(1970,1,1))*86400</f>
        <v>1575417600</v>
      </c>
      <c r="AN1402" s="126">
        <f>AVERAGE(AL1402:AM1402)</f>
        <v>1575417600</v>
      </c>
    </row>
    <row r="1403" spans="1:40" ht="15.75" customHeight="1" x14ac:dyDescent="0.2">
      <c r="A1403" s="449" t="s">
        <v>133</v>
      </c>
      <c r="B1403" s="460">
        <v>43797</v>
      </c>
      <c r="C1403" s="460">
        <v>43804</v>
      </c>
      <c r="D1403" s="451" t="s">
        <v>143</v>
      </c>
      <c r="E1403" s="452" t="s">
        <v>125</v>
      </c>
      <c r="F1403" s="451"/>
      <c r="G1403" s="451" t="s">
        <v>149</v>
      </c>
      <c r="H1403" s="454">
        <v>1200</v>
      </c>
      <c r="I1403" s="455">
        <v>36</v>
      </c>
      <c r="J1403" s="455"/>
      <c r="K1403" s="455">
        <v>8</v>
      </c>
      <c r="L1403" s="455">
        <v>3</v>
      </c>
      <c r="M1403" s="455">
        <v>8</v>
      </c>
      <c r="N1403" s="455"/>
      <c r="O1403" s="455"/>
      <c r="P1403" s="455">
        <v>6</v>
      </c>
      <c r="Q1403" s="455"/>
      <c r="R1403" s="456">
        <v>7</v>
      </c>
      <c r="S1403" s="455"/>
      <c r="T1403" s="455"/>
      <c r="U1403" s="455"/>
      <c r="V1403" s="455">
        <v>2</v>
      </c>
      <c r="W1403" s="455"/>
      <c r="X1403" s="455">
        <v>2</v>
      </c>
      <c r="Y1403" s="455"/>
      <c r="Z1403" s="455">
        <v>0</v>
      </c>
      <c r="AA1403" s="455">
        <v>28</v>
      </c>
      <c r="AB1403" s="457">
        <f>100/(SUM(I1403:Z1403))</f>
        <v>1.3888888888888888</v>
      </c>
      <c r="AC1403" s="432">
        <f>SUM(I1403:AA1403)</f>
        <v>100</v>
      </c>
      <c r="AD1403" s="455"/>
      <c r="AE1403" s="455"/>
      <c r="AF1403" s="455"/>
      <c r="AG1403" s="459"/>
      <c r="AH1403" s="451" t="s">
        <v>1183</v>
      </c>
      <c r="AI1403" s="458" t="s">
        <v>1260</v>
      </c>
      <c r="AJ1403" s="451" t="s">
        <v>1261</v>
      </c>
      <c r="AK1403" s="451"/>
      <c r="AL1403" s="459">
        <f>(B1403-DATE(1970,1,1))*86400</f>
        <v>1574899200</v>
      </c>
      <c r="AM1403" s="459">
        <f>(C1403-DATE(1970,1,1))*86400</f>
        <v>1575504000</v>
      </c>
      <c r="AN1403" s="459">
        <f>AVERAGE(AL1403:AM1403)</f>
        <v>1575201600</v>
      </c>
    </row>
    <row r="1404" spans="1:40" ht="15.75" customHeight="1" x14ac:dyDescent="0.2">
      <c r="A1404" s="449" t="s">
        <v>133</v>
      </c>
      <c r="B1404" s="460">
        <v>43797</v>
      </c>
      <c r="C1404" s="460">
        <v>43804</v>
      </c>
      <c r="D1404" s="451" t="s">
        <v>143</v>
      </c>
      <c r="E1404" s="452" t="s">
        <v>125</v>
      </c>
      <c r="F1404" s="451"/>
      <c r="G1404" s="451" t="s">
        <v>149</v>
      </c>
      <c r="H1404" s="454">
        <v>1200</v>
      </c>
      <c r="I1404" s="455">
        <v>49</v>
      </c>
      <c r="J1404" s="455"/>
      <c r="K1404" s="455">
        <v>12</v>
      </c>
      <c r="L1404" s="455">
        <v>4</v>
      </c>
      <c r="M1404" s="455">
        <v>12</v>
      </c>
      <c r="N1404" s="455"/>
      <c r="O1404" s="455"/>
      <c r="P1404" s="455">
        <v>9</v>
      </c>
      <c r="Q1404" s="455"/>
      <c r="R1404" s="456">
        <v>9</v>
      </c>
      <c r="S1404" s="455"/>
      <c r="T1404" s="455"/>
      <c r="U1404" s="455"/>
      <c r="V1404" s="455">
        <v>2</v>
      </c>
      <c r="W1404" s="455"/>
      <c r="X1404" s="455">
        <v>3</v>
      </c>
      <c r="Y1404" s="455"/>
      <c r="Z1404" s="455">
        <v>0</v>
      </c>
      <c r="AA1404" s="455">
        <v>0</v>
      </c>
      <c r="AB1404" s="457">
        <f>100/(SUM(I1404:Z1404))</f>
        <v>1</v>
      </c>
      <c r="AC1404" s="432">
        <f>SUM(I1404:AA1404)</f>
        <v>100</v>
      </c>
      <c r="AD1404" s="455"/>
      <c r="AE1404" s="455"/>
      <c r="AF1404" s="455"/>
      <c r="AG1404" s="459"/>
      <c r="AH1404" s="451" t="s">
        <v>1183</v>
      </c>
      <c r="AI1404" s="458" t="s">
        <v>1260</v>
      </c>
      <c r="AJ1404" s="451" t="s">
        <v>1261</v>
      </c>
      <c r="AK1404" s="451"/>
      <c r="AL1404" s="459">
        <f>(B1404-DATE(1970,1,1))*86400</f>
        <v>1574899200</v>
      </c>
      <c r="AM1404" s="459">
        <f>(C1404-DATE(1970,1,1))*86400</f>
        <v>1575504000</v>
      </c>
      <c r="AN1404" s="459">
        <f>AVERAGE(AL1404:AM1404)</f>
        <v>1575201600</v>
      </c>
    </row>
    <row r="1405" spans="1:40" ht="15.75" customHeight="1" x14ac:dyDescent="0.2">
      <c r="A1405" s="449" t="s">
        <v>123</v>
      </c>
      <c r="B1405" s="460">
        <v>43797</v>
      </c>
      <c r="C1405" s="460">
        <v>43804</v>
      </c>
      <c r="D1405" s="451" t="s">
        <v>143</v>
      </c>
      <c r="E1405" s="452" t="s">
        <v>125</v>
      </c>
      <c r="F1405" s="451"/>
      <c r="G1405" s="451" t="s">
        <v>149</v>
      </c>
      <c r="H1405" s="454">
        <v>1200</v>
      </c>
      <c r="I1405" s="455">
        <v>54</v>
      </c>
      <c r="J1405" s="455"/>
      <c r="K1405" s="455">
        <v>10</v>
      </c>
      <c r="L1405" s="455">
        <v>3</v>
      </c>
      <c r="M1405" s="455">
        <v>11</v>
      </c>
      <c r="N1405" s="455"/>
      <c r="O1405" s="455"/>
      <c r="P1405" s="455">
        <v>10</v>
      </c>
      <c r="Q1405" s="455"/>
      <c r="R1405" s="456">
        <v>7</v>
      </c>
      <c r="S1405" s="455"/>
      <c r="T1405" s="455"/>
      <c r="U1405" s="455"/>
      <c r="V1405" s="455">
        <v>2</v>
      </c>
      <c r="W1405" s="455"/>
      <c r="X1405" s="455">
        <v>3</v>
      </c>
      <c r="Y1405" s="455"/>
      <c r="Z1405" s="455">
        <v>0</v>
      </c>
      <c r="AA1405" s="455">
        <v>0</v>
      </c>
      <c r="AB1405" s="457">
        <f>100/(SUM(I1405:Z1405))</f>
        <v>1</v>
      </c>
      <c r="AC1405" s="432">
        <f>SUM(I1405:AA1405)</f>
        <v>100</v>
      </c>
      <c r="AD1405" s="455"/>
      <c r="AE1405" s="455"/>
      <c r="AF1405" s="455"/>
      <c r="AG1405" s="459"/>
      <c r="AH1405" s="451" t="s">
        <v>1183</v>
      </c>
      <c r="AI1405" s="458" t="s">
        <v>1260</v>
      </c>
      <c r="AJ1405" s="451" t="s">
        <v>1261</v>
      </c>
      <c r="AK1405" s="451"/>
      <c r="AL1405" s="459">
        <f>(B1405-DATE(1970,1,1))*86400</f>
        <v>1574899200</v>
      </c>
      <c r="AM1405" s="459">
        <f>(C1405-DATE(1970,1,1))*86400</f>
        <v>1575504000</v>
      </c>
      <c r="AN1405" s="459">
        <f>AVERAGE(AL1405:AM1405)</f>
        <v>1575201600</v>
      </c>
    </row>
    <row r="1406" spans="1:40" ht="15.75" customHeight="1" x14ac:dyDescent="0.2">
      <c r="A1406" s="284" t="s">
        <v>133</v>
      </c>
      <c r="B1406" s="20">
        <v>43798</v>
      </c>
      <c r="C1406" s="20">
        <v>43802</v>
      </c>
      <c r="D1406" s="19" t="s">
        <v>134</v>
      </c>
      <c r="E1406" s="332" t="s">
        <v>125</v>
      </c>
      <c r="F1406" s="19"/>
      <c r="G1406" s="19" t="s">
        <v>135</v>
      </c>
      <c r="H1406" s="332">
        <v>2000</v>
      </c>
      <c r="I1406" s="21">
        <v>31</v>
      </c>
      <c r="J1406" s="21"/>
      <c r="K1406" s="21">
        <v>6</v>
      </c>
      <c r="L1406" s="21">
        <v>1</v>
      </c>
      <c r="M1406" s="21">
        <v>11</v>
      </c>
      <c r="N1406" s="21"/>
      <c r="O1406" s="21"/>
      <c r="P1406" s="21">
        <v>8</v>
      </c>
      <c r="Q1406" s="21"/>
      <c r="R1406" s="22">
        <v>7</v>
      </c>
      <c r="S1406" s="21"/>
      <c r="T1406" s="21"/>
      <c r="U1406" s="21"/>
      <c r="V1406" s="21">
        <v>2</v>
      </c>
      <c r="W1406" s="21"/>
      <c r="X1406" s="21">
        <v>2</v>
      </c>
      <c r="Y1406" s="21"/>
      <c r="Z1406" s="21">
        <v>1</v>
      </c>
      <c r="AA1406" s="21">
        <v>31</v>
      </c>
      <c r="AB1406" s="23">
        <f>100/(SUM(I1406:Z1406))</f>
        <v>1.4492753623188406</v>
      </c>
      <c r="AC1406" s="259">
        <f>SUM(I1406:AA1406)</f>
        <v>100</v>
      </c>
      <c r="AD1406" s="21"/>
      <c r="AE1406" s="21"/>
      <c r="AF1406" s="21"/>
      <c r="AG1406" s="25"/>
      <c r="AH1406" s="83" t="s">
        <v>1262</v>
      </c>
      <c r="AI1406" s="83"/>
      <c r="AJ1406" s="83" t="s">
        <v>1263</v>
      </c>
      <c r="AK1406" s="19"/>
      <c r="AL1406" s="25">
        <f>(B1406-DATE(1970,1,1))*86400</f>
        <v>1574985600</v>
      </c>
      <c r="AM1406" s="25">
        <f>(C1406-DATE(1970,1,1))*86400</f>
        <v>1575331200</v>
      </c>
      <c r="AN1406" s="25">
        <f>AVERAGE(AL1406:AM1406)</f>
        <v>1575158400</v>
      </c>
    </row>
    <row r="1407" spans="1:40" ht="15.75" customHeight="1" x14ac:dyDescent="0.2">
      <c r="A1407" s="284" t="s">
        <v>123</v>
      </c>
      <c r="B1407" s="20">
        <v>43798</v>
      </c>
      <c r="C1407" s="20">
        <v>43802</v>
      </c>
      <c r="D1407" s="19" t="s">
        <v>134</v>
      </c>
      <c r="E1407" s="332" t="s">
        <v>125</v>
      </c>
      <c r="F1407" s="19"/>
      <c r="G1407" s="19" t="s">
        <v>135</v>
      </c>
      <c r="H1407" s="332">
        <v>2000</v>
      </c>
      <c r="I1407" s="21">
        <v>49</v>
      </c>
      <c r="J1407" s="21"/>
      <c r="K1407" s="21">
        <v>7</v>
      </c>
      <c r="L1407" s="21">
        <v>2</v>
      </c>
      <c r="M1407" s="21">
        <v>17</v>
      </c>
      <c r="N1407" s="21"/>
      <c r="O1407" s="21"/>
      <c r="P1407" s="21">
        <v>12</v>
      </c>
      <c r="Q1407" s="21"/>
      <c r="R1407" s="22">
        <v>7</v>
      </c>
      <c r="S1407" s="21"/>
      <c r="T1407" s="21"/>
      <c r="U1407" s="21"/>
      <c r="V1407" s="21">
        <v>3</v>
      </c>
      <c r="W1407" s="21"/>
      <c r="X1407" s="21">
        <v>2</v>
      </c>
      <c r="Y1407" s="21"/>
      <c r="Z1407" s="21">
        <v>1</v>
      </c>
      <c r="AA1407" s="21">
        <v>0</v>
      </c>
      <c r="AB1407" s="23">
        <f>100/(SUM(I1407:Z1407))</f>
        <v>1</v>
      </c>
      <c r="AC1407" s="259">
        <f>SUM(I1407:AA1407)</f>
        <v>100</v>
      </c>
      <c r="AD1407" s="21"/>
      <c r="AE1407" s="21"/>
      <c r="AF1407" s="21"/>
      <c r="AG1407" s="25"/>
      <c r="AH1407" s="83" t="s">
        <v>1262</v>
      </c>
      <c r="AI1407" s="83"/>
      <c r="AJ1407" s="83" t="s">
        <v>1263</v>
      </c>
      <c r="AK1407" s="19"/>
      <c r="AL1407" s="25">
        <f>(B1407-DATE(1970,1,1))*86400</f>
        <v>1574985600</v>
      </c>
      <c r="AM1407" s="25">
        <f>(C1407-DATE(1970,1,1))*86400</f>
        <v>1575331200</v>
      </c>
      <c r="AN1407" s="25">
        <f>AVERAGE(AL1407:AM1407)</f>
        <v>1575158400</v>
      </c>
    </row>
    <row r="1408" spans="1:40" ht="15.75" customHeight="1" x14ac:dyDescent="0.2">
      <c r="A1408" s="281" t="s">
        <v>133</v>
      </c>
      <c r="B1408" s="54">
        <v>43789</v>
      </c>
      <c r="C1408" s="54">
        <v>43792</v>
      </c>
      <c r="D1408" s="53" t="s">
        <v>154</v>
      </c>
      <c r="E1408" s="323" t="s">
        <v>125</v>
      </c>
      <c r="F1408" s="53"/>
      <c r="G1408" s="53" t="s">
        <v>126</v>
      </c>
      <c r="H1408" s="378">
        <v>1000</v>
      </c>
      <c r="I1408" s="55">
        <v>28</v>
      </c>
      <c r="J1408" s="55"/>
      <c r="K1408" s="55">
        <v>6</v>
      </c>
      <c r="L1408" s="55">
        <v>1</v>
      </c>
      <c r="M1408" s="55">
        <v>8</v>
      </c>
      <c r="N1408" s="55"/>
      <c r="O1408" s="55"/>
      <c r="P1408" s="55">
        <v>8</v>
      </c>
      <c r="Q1408" s="55"/>
      <c r="R1408" s="241">
        <v>6</v>
      </c>
      <c r="S1408" s="55"/>
      <c r="T1408" s="55"/>
      <c r="U1408" s="55"/>
      <c r="V1408" s="55">
        <v>1</v>
      </c>
      <c r="W1408" s="55"/>
      <c r="X1408" s="55">
        <v>1</v>
      </c>
      <c r="Y1408" s="55"/>
      <c r="Z1408" s="55">
        <v>1</v>
      </c>
      <c r="AA1408" s="55">
        <v>40</v>
      </c>
      <c r="AB1408" s="57">
        <f>100/(SUM(I1408:Z1408))</f>
        <v>1.6666666666666667</v>
      </c>
      <c r="AC1408" s="259">
        <f>SUM(I1408:AA1408)</f>
        <v>100</v>
      </c>
      <c r="AD1408" s="55"/>
      <c r="AE1408" s="55"/>
      <c r="AF1408" s="55"/>
      <c r="AG1408" s="58"/>
      <c r="AH1408" s="59" t="s">
        <v>1257</v>
      </c>
      <c r="AI1408" s="59"/>
      <c r="AJ1408" s="59" t="s">
        <v>1264</v>
      </c>
      <c r="AK1408" s="53" t="s">
        <v>1265</v>
      </c>
      <c r="AL1408" s="58">
        <f>(B1408-DATE(1970,1,1))*86400</f>
        <v>1574208000</v>
      </c>
      <c r="AM1408" s="58">
        <f>(C1408-DATE(1970,1,1))*86400</f>
        <v>1574467200</v>
      </c>
      <c r="AN1408" s="58">
        <f>AVERAGE(AL1408:AM1408)</f>
        <v>1574337600</v>
      </c>
    </row>
    <row r="1409" spans="1:40" ht="15.75" customHeight="1" x14ac:dyDescent="0.2">
      <c r="A1409" s="281" t="s">
        <v>123</v>
      </c>
      <c r="B1409" s="54">
        <v>43789</v>
      </c>
      <c r="C1409" s="54">
        <v>43792</v>
      </c>
      <c r="D1409" s="53" t="s">
        <v>154</v>
      </c>
      <c r="E1409" s="323" t="s">
        <v>125</v>
      </c>
      <c r="F1409" s="53"/>
      <c r="G1409" s="53" t="s">
        <v>126</v>
      </c>
      <c r="H1409" s="378">
        <v>1000</v>
      </c>
      <c r="I1409" s="55">
        <v>37</v>
      </c>
      <c r="J1409" s="55"/>
      <c r="K1409" s="55">
        <v>8</v>
      </c>
      <c r="L1409" s="55">
        <v>1</v>
      </c>
      <c r="M1409" s="55">
        <v>10</v>
      </c>
      <c r="N1409" s="55"/>
      <c r="O1409" s="55"/>
      <c r="P1409" s="55">
        <v>10</v>
      </c>
      <c r="Q1409" s="55"/>
      <c r="R1409" s="241">
        <v>8</v>
      </c>
      <c r="S1409" s="55"/>
      <c r="T1409" s="55"/>
      <c r="U1409" s="55"/>
      <c r="V1409" s="55">
        <v>2</v>
      </c>
      <c r="W1409" s="55"/>
      <c r="X1409" s="55">
        <v>1</v>
      </c>
      <c r="Y1409" s="55"/>
      <c r="Z1409" s="55">
        <v>1</v>
      </c>
      <c r="AA1409" s="55">
        <v>22</v>
      </c>
      <c r="AB1409" s="57">
        <f>100/(SUM(I1409:Z1409))</f>
        <v>1.2820512820512822</v>
      </c>
      <c r="AC1409" s="259">
        <f>SUM(I1409:AA1409)</f>
        <v>100</v>
      </c>
      <c r="AD1409" s="55"/>
      <c r="AE1409" s="55"/>
      <c r="AF1409" s="55"/>
      <c r="AG1409" s="58"/>
      <c r="AH1409" s="53" t="s">
        <v>1144</v>
      </c>
      <c r="AI1409" s="59"/>
      <c r="AJ1409" s="53" t="s">
        <v>1264</v>
      </c>
      <c r="AK1409" s="53" t="s">
        <v>1266</v>
      </c>
      <c r="AL1409" s="58">
        <f>(B1409-DATE(1970,1,1))*86400</f>
        <v>1574208000</v>
      </c>
      <c r="AM1409" s="58">
        <f>(C1409-DATE(1970,1,1))*86400</f>
        <v>1574467200</v>
      </c>
      <c r="AN1409" s="58">
        <f>AVERAGE(AL1409:AM1409)</f>
        <v>1574337600</v>
      </c>
    </row>
    <row r="1410" spans="1:40" ht="15.75" customHeight="1" x14ac:dyDescent="0.2">
      <c r="A1410" s="281" t="s">
        <v>123</v>
      </c>
      <c r="B1410" s="54">
        <v>43789</v>
      </c>
      <c r="C1410" s="54">
        <v>43792</v>
      </c>
      <c r="D1410" s="53" t="s">
        <v>154</v>
      </c>
      <c r="E1410" s="323" t="s">
        <v>125</v>
      </c>
      <c r="F1410" s="53"/>
      <c r="G1410" s="53" t="s">
        <v>126</v>
      </c>
      <c r="H1410" s="378">
        <v>1000</v>
      </c>
      <c r="I1410" s="55">
        <v>49</v>
      </c>
      <c r="J1410" s="55"/>
      <c r="K1410" s="55">
        <v>10</v>
      </c>
      <c r="L1410" s="55">
        <v>2</v>
      </c>
      <c r="M1410" s="55">
        <v>12</v>
      </c>
      <c r="N1410" s="55"/>
      <c r="O1410" s="55"/>
      <c r="P1410" s="55">
        <v>13</v>
      </c>
      <c r="Q1410" s="55"/>
      <c r="R1410" s="241">
        <v>9</v>
      </c>
      <c r="S1410" s="55"/>
      <c r="T1410" s="55"/>
      <c r="U1410" s="55"/>
      <c r="V1410" s="55">
        <v>3</v>
      </c>
      <c r="W1410" s="55"/>
      <c r="X1410" s="55">
        <v>2</v>
      </c>
      <c r="Y1410" s="55"/>
      <c r="Z1410" s="55">
        <v>0</v>
      </c>
      <c r="AA1410" s="55">
        <v>0</v>
      </c>
      <c r="AB1410" s="57">
        <f>100/(SUM(I1410:Z1410))</f>
        <v>1</v>
      </c>
      <c r="AC1410" s="259">
        <f>SUM(I1410:AA1410)</f>
        <v>100</v>
      </c>
      <c r="AD1410" s="55"/>
      <c r="AE1410" s="55"/>
      <c r="AF1410" s="55"/>
      <c r="AG1410" s="58"/>
      <c r="AH1410" s="53" t="s">
        <v>1144</v>
      </c>
      <c r="AI1410" s="59"/>
      <c r="AJ1410" s="53" t="s">
        <v>1264</v>
      </c>
      <c r="AK1410" s="53" t="s">
        <v>1266</v>
      </c>
      <c r="AL1410" s="58">
        <f>(B1410-DATE(1970,1,1))*86400</f>
        <v>1574208000</v>
      </c>
      <c r="AM1410" s="58">
        <f>(C1410-DATE(1970,1,1))*86400</f>
        <v>1574467200</v>
      </c>
      <c r="AN1410" s="58">
        <f>AVERAGE(AL1410:AM1410)</f>
        <v>1574337600</v>
      </c>
    </row>
    <row r="1411" spans="1:40" ht="15.75" customHeight="1" x14ac:dyDescent="0.2">
      <c r="A1411" s="279" t="s">
        <v>133</v>
      </c>
      <c r="B1411" s="14">
        <v>43770</v>
      </c>
      <c r="C1411" s="14">
        <v>43799</v>
      </c>
      <c r="D1411" s="13" t="s">
        <v>124</v>
      </c>
      <c r="E1411" s="324" t="s">
        <v>125</v>
      </c>
      <c r="F1411" s="13"/>
      <c r="G1411" s="13" t="s">
        <v>149</v>
      </c>
      <c r="H1411" s="372">
        <v>5000</v>
      </c>
      <c r="I1411" s="15">
        <v>42</v>
      </c>
      <c r="J1411" s="15"/>
      <c r="K1411" s="15">
        <v>7</v>
      </c>
      <c r="L1411" s="15">
        <v>2</v>
      </c>
      <c r="M1411" s="15">
        <v>7</v>
      </c>
      <c r="N1411" s="15"/>
      <c r="O1411" s="15"/>
      <c r="P1411" s="15">
        <v>7</v>
      </c>
      <c r="Q1411" s="15"/>
      <c r="R1411" s="15">
        <v>5</v>
      </c>
      <c r="S1411" s="15"/>
      <c r="T1411" s="15"/>
      <c r="U1411" s="15"/>
      <c r="V1411" s="15">
        <v>3</v>
      </c>
      <c r="W1411" s="15"/>
      <c r="X1411" s="15">
        <v>2</v>
      </c>
      <c r="Y1411" s="15"/>
      <c r="Z1411" s="98">
        <v>0</v>
      </c>
      <c r="AA1411" s="98">
        <v>25</v>
      </c>
      <c r="AB1411" s="16">
        <f>100/(SUM(I1411:Z1411))</f>
        <v>1.3333333333333333</v>
      </c>
      <c r="AC1411" s="259">
        <f>SUM(I1411:AA1411)</f>
        <v>100</v>
      </c>
      <c r="AD1411" s="15"/>
      <c r="AE1411" s="15"/>
      <c r="AF1411" s="15"/>
      <c r="AG1411" s="17"/>
      <c r="AH1411" s="18" t="s">
        <v>1267</v>
      </c>
      <c r="AI1411" s="18" t="s">
        <v>1268</v>
      </c>
      <c r="AJ1411" s="18" t="s">
        <v>1269</v>
      </c>
      <c r="AK1411" s="13" t="s">
        <v>2224</v>
      </c>
      <c r="AL1411" s="17">
        <f>(B1411-DATE(1970,1,1))*86400</f>
        <v>1572566400</v>
      </c>
      <c r="AM1411" s="17">
        <f>(C1411-DATE(1970,1,1))*86400</f>
        <v>1575072000</v>
      </c>
      <c r="AN1411" s="17">
        <f>AVERAGE(AL1411:AM1411)</f>
        <v>1573819200</v>
      </c>
    </row>
    <row r="1412" spans="1:40" ht="15.75" customHeight="1" x14ac:dyDescent="0.2">
      <c r="A1412" s="279" t="s">
        <v>123</v>
      </c>
      <c r="B1412" s="14">
        <v>43770</v>
      </c>
      <c r="C1412" s="14">
        <v>43799</v>
      </c>
      <c r="D1412" s="13" t="s">
        <v>124</v>
      </c>
      <c r="E1412" s="324" t="s">
        <v>125</v>
      </c>
      <c r="F1412" s="13"/>
      <c r="G1412" s="13" t="s">
        <v>149</v>
      </c>
      <c r="H1412" s="372">
        <v>5000</v>
      </c>
      <c r="I1412" s="15">
        <v>50</v>
      </c>
      <c r="J1412" s="15"/>
      <c r="K1412" s="15">
        <v>7</v>
      </c>
      <c r="L1412" s="15">
        <v>3</v>
      </c>
      <c r="M1412" s="15">
        <v>9</v>
      </c>
      <c r="N1412" s="15"/>
      <c r="O1412" s="15"/>
      <c r="P1412" s="15">
        <v>10</v>
      </c>
      <c r="Q1412" s="15"/>
      <c r="R1412" s="15">
        <v>5</v>
      </c>
      <c r="S1412" s="15"/>
      <c r="T1412" s="15"/>
      <c r="U1412" s="15"/>
      <c r="V1412" s="15">
        <v>3</v>
      </c>
      <c r="W1412" s="15"/>
      <c r="X1412" s="15">
        <v>2</v>
      </c>
      <c r="Y1412" s="15"/>
      <c r="Z1412" s="98">
        <v>0</v>
      </c>
      <c r="AA1412" s="155">
        <v>11</v>
      </c>
      <c r="AB1412" s="16">
        <f>100/(SUM(I1412:Z1412))</f>
        <v>1.1235955056179776</v>
      </c>
      <c r="AC1412" s="259">
        <f>SUM(I1412:AA1412)</f>
        <v>100</v>
      </c>
      <c r="AD1412" s="15"/>
      <c r="AE1412" s="15"/>
      <c r="AF1412" s="15"/>
      <c r="AG1412" s="17"/>
      <c r="AH1412" s="18" t="s">
        <v>1267</v>
      </c>
      <c r="AI1412" s="18" t="s">
        <v>1268</v>
      </c>
      <c r="AJ1412" s="18" t="s">
        <v>1269</v>
      </c>
      <c r="AK1412" s="13" t="s">
        <v>1270</v>
      </c>
      <c r="AL1412" s="17">
        <f>(B1412-DATE(1970,1,1))*86400</f>
        <v>1572566400</v>
      </c>
      <c r="AM1412" s="17">
        <f>(C1412-DATE(1970,1,1))*86400</f>
        <v>1575072000</v>
      </c>
      <c r="AN1412" s="17">
        <f>AVERAGE(AL1412:AM1412)</f>
        <v>1573819200</v>
      </c>
    </row>
    <row r="1413" spans="1:40" ht="15.75" customHeight="1" x14ac:dyDescent="0.2">
      <c r="A1413" s="279" t="s">
        <v>123</v>
      </c>
      <c r="B1413" s="14">
        <v>43770</v>
      </c>
      <c r="C1413" s="14">
        <v>43799</v>
      </c>
      <c r="D1413" s="13" t="s">
        <v>124</v>
      </c>
      <c r="E1413" s="324" t="s">
        <v>125</v>
      </c>
      <c r="F1413" s="13"/>
      <c r="G1413" s="13" t="s">
        <v>149</v>
      </c>
      <c r="H1413" s="372">
        <v>5000</v>
      </c>
      <c r="I1413" s="15">
        <v>52</v>
      </c>
      <c r="J1413" s="15"/>
      <c r="K1413" s="15">
        <v>9</v>
      </c>
      <c r="L1413" s="15">
        <v>3</v>
      </c>
      <c r="M1413" s="15">
        <v>10</v>
      </c>
      <c r="N1413" s="15"/>
      <c r="O1413" s="15"/>
      <c r="P1413" s="15">
        <v>11</v>
      </c>
      <c r="Q1413" s="15"/>
      <c r="R1413" s="15">
        <v>7</v>
      </c>
      <c r="S1413" s="15"/>
      <c r="T1413" s="15"/>
      <c r="U1413" s="15"/>
      <c r="V1413" s="15">
        <v>4</v>
      </c>
      <c r="W1413" s="15"/>
      <c r="X1413" s="15">
        <v>3</v>
      </c>
      <c r="Y1413" s="15"/>
      <c r="Z1413" s="15">
        <v>1</v>
      </c>
      <c r="AA1413" s="15">
        <v>0</v>
      </c>
      <c r="AB1413" s="16">
        <f>100/(SUM(I1413:Z1413))</f>
        <v>1</v>
      </c>
      <c r="AC1413" s="259">
        <f>SUM(I1413:AA1413)</f>
        <v>100</v>
      </c>
      <c r="AD1413" s="15"/>
      <c r="AE1413" s="15"/>
      <c r="AF1413" s="15"/>
      <c r="AG1413" s="17"/>
      <c r="AH1413" s="18" t="s">
        <v>2222</v>
      </c>
      <c r="AI1413" s="18" t="s">
        <v>1268</v>
      </c>
      <c r="AJ1413" s="18" t="s">
        <v>1269</v>
      </c>
      <c r="AK1413" s="13" t="s">
        <v>1254</v>
      </c>
      <c r="AL1413" s="17">
        <f>(B1413-DATE(1970,1,1))*86400</f>
        <v>1572566400</v>
      </c>
      <c r="AM1413" s="17">
        <f>(C1413-DATE(1970,1,1))*86400</f>
        <v>1575072000</v>
      </c>
      <c r="AN1413" s="17">
        <f>AVERAGE(AL1413:AM1413)</f>
        <v>1573819200</v>
      </c>
    </row>
    <row r="1414" spans="1:40" ht="15.75" customHeight="1" x14ac:dyDescent="0.2">
      <c r="A1414" s="286" t="s">
        <v>133</v>
      </c>
      <c r="B1414" s="41">
        <v>43777</v>
      </c>
      <c r="C1414" s="41">
        <v>43785</v>
      </c>
      <c r="D1414" s="40" t="s">
        <v>148</v>
      </c>
      <c r="E1414" s="325" t="s">
        <v>125</v>
      </c>
      <c r="F1414" s="40"/>
      <c r="G1414" s="40" t="s">
        <v>149</v>
      </c>
      <c r="H1414" s="325">
        <v>1000</v>
      </c>
      <c r="I1414" s="42">
        <v>32</v>
      </c>
      <c r="J1414" s="42"/>
      <c r="K1414" s="42">
        <v>6</v>
      </c>
      <c r="L1414" s="42">
        <v>1</v>
      </c>
      <c r="M1414" s="42">
        <v>9</v>
      </c>
      <c r="N1414" s="42"/>
      <c r="O1414" s="42"/>
      <c r="P1414" s="42">
        <v>8</v>
      </c>
      <c r="Q1414" s="42"/>
      <c r="R1414" s="43">
        <v>6</v>
      </c>
      <c r="S1414" s="42"/>
      <c r="T1414" s="42"/>
      <c r="U1414" s="42"/>
      <c r="V1414" s="42">
        <v>2</v>
      </c>
      <c r="W1414" s="42"/>
      <c r="X1414" s="42">
        <v>2</v>
      </c>
      <c r="Y1414" s="42"/>
      <c r="Z1414" s="42">
        <v>1</v>
      </c>
      <c r="AA1414" s="42">
        <v>33</v>
      </c>
      <c r="AB1414" s="44">
        <f>100/(SUM(I1414:Z1414))</f>
        <v>1.4925373134328359</v>
      </c>
      <c r="AC1414" s="259">
        <f>SUM(I1414:AA1414)</f>
        <v>100</v>
      </c>
      <c r="AD1414" s="42"/>
      <c r="AE1414" s="42"/>
      <c r="AF1414" s="42"/>
      <c r="AG1414" s="45"/>
      <c r="AH1414" s="132" t="s">
        <v>1271</v>
      </c>
      <c r="AI1414" s="132" t="s">
        <v>1272</v>
      </c>
      <c r="AJ1414" s="132" t="s">
        <v>1273</v>
      </c>
      <c r="AK1414" s="40" t="s">
        <v>1134</v>
      </c>
      <c r="AL1414" s="45">
        <f>(B1414-DATE(1970,1,1))*86400</f>
        <v>1573171200</v>
      </c>
      <c r="AM1414" s="45">
        <f>(C1414-DATE(1970,1,1))*86400</f>
        <v>1573862400</v>
      </c>
      <c r="AN1414" s="45">
        <f>AVERAGE(AL1414:AM1414)</f>
        <v>1573516800</v>
      </c>
    </row>
    <row r="1415" spans="1:40" ht="15.75" customHeight="1" x14ac:dyDescent="0.2">
      <c r="A1415" s="286" t="s">
        <v>123</v>
      </c>
      <c r="B1415" s="41">
        <v>43777</v>
      </c>
      <c r="C1415" s="41">
        <v>43785</v>
      </c>
      <c r="D1415" s="40" t="s">
        <v>148</v>
      </c>
      <c r="E1415" s="325" t="s">
        <v>125</v>
      </c>
      <c r="F1415" s="40"/>
      <c r="G1415" s="40" t="s">
        <v>149</v>
      </c>
      <c r="H1415" s="325">
        <v>1000</v>
      </c>
      <c r="I1415" s="42">
        <v>49</v>
      </c>
      <c r="J1415" s="42"/>
      <c r="K1415" s="42">
        <v>9</v>
      </c>
      <c r="L1415" s="42">
        <v>2</v>
      </c>
      <c r="M1415" s="42">
        <v>15</v>
      </c>
      <c r="N1415" s="42"/>
      <c r="O1415" s="42"/>
      <c r="P1415" s="42">
        <v>11</v>
      </c>
      <c r="Q1415" s="42"/>
      <c r="R1415" s="43">
        <v>9</v>
      </c>
      <c r="S1415" s="42"/>
      <c r="T1415" s="42"/>
      <c r="U1415" s="42"/>
      <c r="V1415" s="42">
        <v>2</v>
      </c>
      <c r="W1415" s="42"/>
      <c r="X1415" s="42">
        <v>3</v>
      </c>
      <c r="Y1415" s="42"/>
      <c r="Z1415" s="42">
        <v>0</v>
      </c>
      <c r="AA1415" s="42">
        <v>0</v>
      </c>
      <c r="AB1415" s="44">
        <f>100/(SUM(I1415:Z1415))</f>
        <v>1</v>
      </c>
      <c r="AC1415" s="259">
        <f>SUM(I1415:AA1415)</f>
        <v>100</v>
      </c>
      <c r="AD1415" s="42"/>
      <c r="AE1415" s="42"/>
      <c r="AF1415" s="42"/>
      <c r="AG1415" s="45"/>
      <c r="AH1415" s="132" t="s">
        <v>1271</v>
      </c>
      <c r="AI1415" s="132" t="s">
        <v>1272</v>
      </c>
      <c r="AJ1415" s="132" t="s">
        <v>1273</v>
      </c>
      <c r="AK1415" s="40" t="s">
        <v>1274</v>
      </c>
      <c r="AL1415" s="45">
        <f>(B1415-DATE(1970,1,1))*86400</f>
        <v>1573171200</v>
      </c>
      <c r="AM1415" s="45">
        <f>(C1415-DATE(1970,1,1))*86400</f>
        <v>1573862400</v>
      </c>
      <c r="AN1415" s="45">
        <f>AVERAGE(AL1415:AM1415)</f>
        <v>1573516800</v>
      </c>
    </row>
    <row r="1416" spans="1:40" ht="15.75" customHeight="1" x14ac:dyDescent="0.2">
      <c r="A1416" s="302" t="s">
        <v>123</v>
      </c>
      <c r="B1416" s="254">
        <v>43775</v>
      </c>
      <c r="C1416" s="254">
        <v>43775</v>
      </c>
      <c r="D1416" s="262" t="s">
        <v>2445</v>
      </c>
      <c r="E1416" s="322" t="s">
        <v>184</v>
      </c>
      <c r="F1416" s="121" t="s">
        <v>2007</v>
      </c>
      <c r="G1416" s="262" t="s">
        <v>244</v>
      </c>
      <c r="H1416" s="379">
        <v>500</v>
      </c>
      <c r="I1416" s="123">
        <v>38</v>
      </c>
      <c r="J1416" s="123">
        <v>7</v>
      </c>
      <c r="K1416" s="123">
        <v>8</v>
      </c>
      <c r="L1416" s="123">
        <v>4</v>
      </c>
      <c r="M1416" s="123">
        <v>7</v>
      </c>
      <c r="N1416" s="123"/>
      <c r="O1416" s="123"/>
      <c r="P1416" s="123">
        <v>17</v>
      </c>
      <c r="Q1416" s="123"/>
      <c r="R1416" s="124"/>
      <c r="S1416" s="123"/>
      <c r="T1416" s="123"/>
      <c r="U1416" s="123"/>
      <c r="V1416" s="123"/>
      <c r="W1416" s="123"/>
      <c r="X1416" s="123">
        <v>4</v>
      </c>
      <c r="Y1416" s="123"/>
      <c r="Z1416" s="123"/>
      <c r="AA1416" s="123">
        <v>0</v>
      </c>
      <c r="AB1416" s="125">
        <f>100/(SUM(I1416:Z1416))</f>
        <v>1.1764705882352942</v>
      </c>
      <c r="AC1416" s="259">
        <f>SUM(I1416:AA1416)</f>
        <v>85</v>
      </c>
      <c r="AD1416" s="123"/>
      <c r="AE1416" s="123"/>
      <c r="AF1416" s="123"/>
      <c r="AG1416" s="263" t="s">
        <v>719</v>
      </c>
      <c r="AH1416" s="253" t="s">
        <v>2001</v>
      </c>
      <c r="AI1416" s="253" t="s">
        <v>2006</v>
      </c>
      <c r="AJ1416" s="127"/>
      <c r="AK1416" s="121" t="s">
        <v>2002</v>
      </c>
      <c r="AL1416" s="126">
        <f>(B1416-DATE(1970,1,1))*86400</f>
        <v>1572998400</v>
      </c>
      <c r="AM1416" s="126">
        <f>(C1416-DATE(1970,1,1))*86400</f>
        <v>1572998400</v>
      </c>
      <c r="AN1416" s="126">
        <f>AVERAGE(AL1416:AM1416)</f>
        <v>1572998400</v>
      </c>
    </row>
    <row r="1417" spans="1:40" ht="15.75" customHeight="1" x14ac:dyDescent="0.2">
      <c r="A1417" s="288" t="s">
        <v>133</v>
      </c>
      <c r="B1417" s="60">
        <v>43773</v>
      </c>
      <c r="C1417" s="60">
        <v>43777</v>
      </c>
      <c r="D1417" s="61" t="s">
        <v>168</v>
      </c>
      <c r="E1417" s="334" t="s">
        <v>125</v>
      </c>
      <c r="F1417" s="61"/>
      <c r="G1417" s="61" t="s">
        <v>126</v>
      </c>
      <c r="H1417" s="334">
        <v>1000</v>
      </c>
      <c r="I1417" s="63"/>
      <c r="J1417" s="63"/>
      <c r="K1417" s="63"/>
      <c r="L1417" s="63"/>
      <c r="M1417" s="63"/>
      <c r="N1417" s="63"/>
      <c r="O1417" s="63"/>
      <c r="P1417" s="63"/>
      <c r="Q1417" s="63"/>
      <c r="R1417" s="63"/>
      <c r="S1417" s="63"/>
      <c r="T1417" s="63"/>
      <c r="U1417" s="63"/>
      <c r="V1417" s="63"/>
      <c r="W1417" s="63"/>
      <c r="X1417" s="63"/>
      <c r="Y1417" s="63"/>
      <c r="Z1417" s="63"/>
      <c r="AA1417" s="63"/>
      <c r="AB1417" s="65" t="e">
        <f>100/(SUM(I1417:Z1417))</f>
        <v>#DIV/0!</v>
      </c>
      <c r="AC1417" s="259">
        <f>SUM(I1417:AA1417)</f>
        <v>0</v>
      </c>
      <c r="AD1417" s="63"/>
      <c r="AE1417" s="63"/>
      <c r="AF1417" s="63"/>
      <c r="AG1417" s="66"/>
      <c r="AH1417" s="67"/>
      <c r="AI1417" s="67"/>
      <c r="AJ1417" s="67" t="s">
        <v>1246</v>
      </c>
      <c r="AK1417" s="61" t="s">
        <v>1275</v>
      </c>
      <c r="AL1417" s="66">
        <f>(B1417-DATE(1970,1,1))*86400</f>
        <v>1572825600</v>
      </c>
      <c r="AM1417" s="66">
        <f>(C1417-DATE(1970,1,1))*86400</f>
        <v>1573171200</v>
      </c>
      <c r="AN1417" s="66">
        <f>AVERAGE(AL1417:AM1417)</f>
        <v>1572998400</v>
      </c>
    </row>
    <row r="1418" spans="1:40" ht="15.75" customHeight="1" x14ac:dyDescent="0.2">
      <c r="A1418" s="284" t="s">
        <v>133</v>
      </c>
      <c r="B1418" s="20">
        <v>43767</v>
      </c>
      <c r="C1418" s="20">
        <v>43769</v>
      </c>
      <c r="D1418" s="19" t="s">
        <v>134</v>
      </c>
      <c r="E1418" s="332" t="s">
        <v>125</v>
      </c>
      <c r="F1418" s="19"/>
      <c r="G1418" s="19" t="s">
        <v>135</v>
      </c>
      <c r="H1418" s="332">
        <v>2000</v>
      </c>
      <c r="I1418" s="21">
        <v>33</v>
      </c>
      <c r="J1418" s="21"/>
      <c r="K1418" s="21">
        <v>7</v>
      </c>
      <c r="L1418" s="21">
        <v>2</v>
      </c>
      <c r="M1418" s="21">
        <v>9</v>
      </c>
      <c r="N1418" s="21"/>
      <c r="O1418" s="21"/>
      <c r="P1418" s="21">
        <v>6</v>
      </c>
      <c r="Q1418" s="21"/>
      <c r="R1418" s="22">
        <v>6</v>
      </c>
      <c r="S1418" s="21"/>
      <c r="T1418" s="21"/>
      <c r="U1418" s="21"/>
      <c r="V1418" s="21">
        <v>2</v>
      </c>
      <c r="W1418" s="21"/>
      <c r="X1418" s="21">
        <v>2</v>
      </c>
      <c r="Y1418" s="21"/>
      <c r="Z1418" s="21">
        <v>1</v>
      </c>
      <c r="AA1418" s="21">
        <v>32</v>
      </c>
      <c r="AB1418" s="23">
        <f>100/(SUM(I1418:Z1418))</f>
        <v>1.4705882352941178</v>
      </c>
      <c r="AC1418" s="259">
        <f>SUM(I1418:AA1418)</f>
        <v>100</v>
      </c>
      <c r="AD1418" s="21"/>
      <c r="AE1418" s="21"/>
      <c r="AF1418" s="21"/>
      <c r="AG1418" s="25"/>
      <c r="AH1418" s="83" t="s">
        <v>1276</v>
      </c>
      <c r="AI1418" s="83" t="s">
        <v>1277</v>
      </c>
      <c r="AJ1418" s="19" t="s">
        <v>1278</v>
      </c>
      <c r="AK1418" s="19"/>
      <c r="AL1418" s="25">
        <f>(B1418-DATE(1970,1,1))*86400</f>
        <v>1572307200</v>
      </c>
      <c r="AM1418" s="25">
        <f>(C1418-DATE(1970,1,1))*86400</f>
        <v>1572480000</v>
      </c>
      <c r="AN1418" s="25">
        <f>AVERAGE(AL1418:AM1418)</f>
        <v>1572393600</v>
      </c>
    </row>
    <row r="1419" spans="1:40" ht="15.75" customHeight="1" x14ac:dyDescent="0.2">
      <c r="A1419" s="284" t="s">
        <v>123</v>
      </c>
      <c r="B1419" s="20">
        <v>43767</v>
      </c>
      <c r="C1419" s="20">
        <v>43769</v>
      </c>
      <c r="D1419" s="19" t="s">
        <v>134</v>
      </c>
      <c r="E1419" s="332" t="s">
        <v>125</v>
      </c>
      <c r="F1419" s="19"/>
      <c r="G1419" s="19" t="s">
        <v>135</v>
      </c>
      <c r="H1419" s="332">
        <v>2000</v>
      </c>
      <c r="I1419" s="21">
        <v>51</v>
      </c>
      <c r="J1419" s="21"/>
      <c r="K1419" s="21">
        <v>9</v>
      </c>
      <c r="L1419" s="21">
        <v>2</v>
      </c>
      <c r="M1419" s="21">
        <v>14</v>
      </c>
      <c r="N1419" s="21"/>
      <c r="O1419" s="21"/>
      <c r="P1419" s="21">
        <v>9</v>
      </c>
      <c r="Q1419" s="21"/>
      <c r="R1419" s="22">
        <v>9</v>
      </c>
      <c r="S1419" s="21"/>
      <c r="T1419" s="21"/>
      <c r="U1419" s="21"/>
      <c r="V1419" s="21">
        <v>2</v>
      </c>
      <c r="W1419" s="21"/>
      <c r="X1419" s="21">
        <v>3</v>
      </c>
      <c r="Y1419" s="21"/>
      <c r="Z1419" s="21">
        <v>1</v>
      </c>
      <c r="AA1419" s="21">
        <v>0</v>
      </c>
      <c r="AB1419" s="23">
        <f>100/(SUM(I1419:Z1419))</f>
        <v>1</v>
      </c>
      <c r="AC1419" s="259">
        <f>SUM(I1419:AA1419)</f>
        <v>100</v>
      </c>
      <c r="AD1419" s="21"/>
      <c r="AE1419" s="21"/>
      <c r="AF1419" s="21"/>
      <c r="AG1419" s="25"/>
      <c r="AH1419" s="83" t="s">
        <v>1276</v>
      </c>
      <c r="AI1419" s="83" t="s">
        <v>1277</v>
      </c>
      <c r="AJ1419" s="19" t="s">
        <v>1278</v>
      </c>
      <c r="AK1419" s="19"/>
      <c r="AL1419" s="25">
        <f>(B1419-DATE(1970,1,1))*86400</f>
        <v>1572307200</v>
      </c>
      <c r="AM1419" s="25">
        <f>(C1419-DATE(1970,1,1))*86400</f>
        <v>1572480000</v>
      </c>
      <c r="AN1419" s="25">
        <f>AVERAGE(AL1419:AM1419)</f>
        <v>1572393600</v>
      </c>
    </row>
    <row r="1420" spans="1:40" ht="15.75" customHeight="1" x14ac:dyDescent="0.2">
      <c r="A1420" s="449" t="s">
        <v>133</v>
      </c>
      <c r="B1420" s="460">
        <v>43756</v>
      </c>
      <c r="C1420" s="460">
        <v>43761</v>
      </c>
      <c r="D1420" s="451" t="s">
        <v>143</v>
      </c>
      <c r="E1420" s="452" t="s">
        <v>125</v>
      </c>
      <c r="F1420" s="451"/>
      <c r="G1420" s="451" t="s">
        <v>149</v>
      </c>
      <c r="H1420" s="454">
        <v>1200</v>
      </c>
      <c r="I1420" s="455">
        <v>43</v>
      </c>
      <c r="J1420" s="455"/>
      <c r="K1420" s="455">
        <v>6</v>
      </c>
      <c r="L1420" s="455">
        <v>3</v>
      </c>
      <c r="M1420" s="455">
        <v>9</v>
      </c>
      <c r="N1420" s="455"/>
      <c r="O1420" s="455"/>
      <c r="P1420" s="455">
        <v>6</v>
      </c>
      <c r="Q1420" s="455"/>
      <c r="R1420" s="456">
        <v>8</v>
      </c>
      <c r="S1420" s="455"/>
      <c r="T1420" s="455"/>
      <c r="U1420" s="455"/>
      <c r="V1420" s="455">
        <v>1</v>
      </c>
      <c r="W1420" s="455"/>
      <c r="X1420" s="455">
        <v>1</v>
      </c>
      <c r="Y1420" s="455"/>
      <c r="Z1420" s="455">
        <v>1</v>
      </c>
      <c r="AA1420" s="455">
        <v>22</v>
      </c>
      <c r="AB1420" s="457">
        <f>100/(SUM(I1420:Z1420))</f>
        <v>1.2820512820512822</v>
      </c>
      <c r="AC1420" s="432">
        <f>SUM(I1420:AA1420)</f>
        <v>100</v>
      </c>
      <c r="AD1420" s="455"/>
      <c r="AE1420" s="455"/>
      <c r="AF1420" s="455"/>
      <c r="AG1420" s="459"/>
      <c r="AH1420" s="451" t="s">
        <v>1183</v>
      </c>
      <c r="AI1420" s="458"/>
      <c r="AJ1420" s="458"/>
      <c r="AK1420" s="451" t="s">
        <v>1279</v>
      </c>
      <c r="AL1420" s="459">
        <f>(B1420-DATE(1970,1,1))*86400</f>
        <v>1571356800</v>
      </c>
      <c r="AM1420" s="459">
        <f>(C1420-DATE(1970,1,1))*86400</f>
        <v>1571788800</v>
      </c>
      <c r="AN1420" s="459">
        <f>AVERAGE(AL1420:AM1420)</f>
        <v>1571572800</v>
      </c>
    </row>
    <row r="1421" spans="1:40" ht="15.75" customHeight="1" x14ac:dyDescent="0.2">
      <c r="A1421" s="449" t="s">
        <v>133</v>
      </c>
      <c r="B1421" s="460">
        <v>43756</v>
      </c>
      <c r="C1421" s="460">
        <v>43761</v>
      </c>
      <c r="D1421" s="451" t="s">
        <v>143</v>
      </c>
      <c r="E1421" s="452" t="s">
        <v>125</v>
      </c>
      <c r="F1421" s="451"/>
      <c r="G1421" s="451" t="s">
        <v>149</v>
      </c>
      <c r="H1421" s="454">
        <v>1200</v>
      </c>
      <c r="I1421" s="455">
        <v>55</v>
      </c>
      <c r="J1421" s="455"/>
      <c r="K1421" s="455">
        <v>8</v>
      </c>
      <c r="L1421" s="455">
        <v>4</v>
      </c>
      <c r="M1421" s="455">
        <v>12</v>
      </c>
      <c r="N1421" s="455"/>
      <c r="O1421" s="455"/>
      <c r="P1421" s="455">
        <v>8</v>
      </c>
      <c r="Q1421" s="455"/>
      <c r="R1421" s="456">
        <v>9</v>
      </c>
      <c r="S1421" s="455"/>
      <c r="T1421" s="455"/>
      <c r="U1421" s="455"/>
      <c r="V1421" s="455">
        <v>1</v>
      </c>
      <c r="W1421" s="455"/>
      <c r="X1421" s="455">
        <v>2</v>
      </c>
      <c r="Y1421" s="455"/>
      <c r="Z1421" s="455">
        <v>1</v>
      </c>
      <c r="AA1421" s="455">
        <v>0</v>
      </c>
      <c r="AB1421" s="457">
        <f>100/(SUM(I1421:Z1421))</f>
        <v>1</v>
      </c>
      <c r="AC1421" s="432">
        <f>SUM(I1421:AA1421)</f>
        <v>100</v>
      </c>
      <c r="AD1421" s="455"/>
      <c r="AE1421" s="455"/>
      <c r="AF1421" s="455"/>
      <c r="AG1421" s="459"/>
      <c r="AH1421" s="451" t="s">
        <v>1183</v>
      </c>
      <c r="AI1421" s="458"/>
      <c r="AJ1421" s="458"/>
      <c r="AK1421" s="451" t="s">
        <v>1279</v>
      </c>
      <c r="AL1421" s="459">
        <f>(B1421-DATE(1970,1,1))*86400</f>
        <v>1571356800</v>
      </c>
      <c r="AM1421" s="459">
        <f>(C1421-DATE(1970,1,1))*86400</f>
        <v>1571788800</v>
      </c>
      <c r="AN1421" s="459">
        <f>AVERAGE(AL1421:AM1421)</f>
        <v>1571572800</v>
      </c>
    </row>
    <row r="1422" spans="1:40" ht="15.75" customHeight="1" x14ac:dyDescent="0.2">
      <c r="A1422" s="449" t="s">
        <v>123</v>
      </c>
      <c r="B1422" s="460">
        <v>43756</v>
      </c>
      <c r="C1422" s="460">
        <v>43761</v>
      </c>
      <c r="D1422" s="451" t="s">
        <v>143</v>
      </c>
      <c r="E1422" s="452" t="s">
        <v>125</v>
      </c>
      <c r="F1422" s="451"/>
      <c r="G1422" s="451" t="s">
        <v>149</v>
      </c>
      <c r="H1422" s="454">
        <v>1200</v>
      </c>
      <c r="I1422" s="455">
        <v>59</v>
      </c>
      <c r="J1422" s="455"/>
      <c r="K1422" s="455">
        <v>6</v>
      </c>
      <c r="L1422" s="455">
        <v>3</v>
      </c>
      <c r="M1422" s="455">
        <v>14</v>
      </c>
      <c r="N1422" s="455"/>
      <c r="O1422" s="455"/>
      <c r="P1422" s="455">
        <v>6</v>
      </c>
      <c r="Q1422" s="455"/>
      <c r="R1422" s="456">
        <v>9</v>
      </c>
      <c r="S1422" s="455"/>
      <c r="T1422" s="455"/>
      <c r="U1422" s="455"/>
      <c r="V1422" s="455">
        <v>1</v>
      </c>
      <c r="W1422" s="455"/>
      <c r="X1422" s="455">
        <v>1</v>
      </c>
      <c r="Y1422" s="455"/>
      <c r="Z1422" s="455">
        <v>1</v>
      </c>
      <c r="AA1422" s="455">
        <v>0</v>
      </c>
      <c r="AB1422" s="457">
        <f>100/(SUM(I1422:Z1422))</f>
        <v>1</v>
      </c>
      <c r="AC1422" s="432">
        <f>SUM(I1422:AA1422)</f>
        <v>100</v>
      </c>
      <c r="AD1422" s="455"/>
      <c r="AE1422" s="455"/>
      <c r="AF1422" s="455"/>
      <c r="AG1422" s="459"/>
      <c r="AH1422" s="451" t="s">
        <v>1183</v>
      </c>
      <c r="AI1422" s="458"/>
      <c r="AJ1422" s="458"/>
      <c r="AK1422" s="451" t="s">
        <v>1279</v>
      </c>
      <c r="AL1422" s="459">
        <f>(B1422-DATE(1970,1,1))*86400</f>
        <v>1571356800</v>
      </c>
      <c r="AM1422" s="459">
        <f>(C1422-DATE(1970,1,1))*86400</f>
        <v>1571788800</v>
      </c>
      <c r="AN1422" s="459">
        <f>AVERAGE(AL1422:AM1422)</f>
        <v>1571572800</v>
      </c>
    </row>
    <row r="1423" spans="1:40" ht="15.75" customHeight="1" x14ac:dyDescent="0.2">
      <c r="A1423" s="279" t="s">
        <v>133</v>
      </c>
      <c r="B1423" s="14">
        <v>43752</v>
      </c>
      <c r="C1423" s="14">
        <v>43765</v>
      </c>
      <c r="D1423" s="13" t="s">
        <v>124</v>
      </c>
      <c r="E1423" s="324" t="s">
        <v>125</v>
      </c>
      <c r="F1423" s="13"/>
      <c r="G1423" s="13" t="s">
        <v>149</v>
      </c>
      <c r="H1423" s="372">
        <v>2300</v>
      </c>
      <c r="I1423" s="15">
        <v>42</v>
      </c>
      <c r="J1423" s="15"/>
      <c r="K1423" s="15">
        <v>6</v>
      </c>
      <c r="L1423" s="15">
        <v>2</v>
      </c>
      <c r="M1423" s="15">
        <v>7</v>
      </c>
      <c r="N1423" s="15"/>
      <c r="O1423" s="15"/>
      <c r="P1423" s="15">
        <v>7</v>
      </c>
      <c r="Q1423" s="15"/>
      <c r="R1423" s="15">
        <v>5</v>
      </c>
      <c r="S1423" s="15"/>
      <c r="T1423" s="15"/>
      <c r="U1423" s="15"/>
      <c r="V1423" s="15">
        <v>3</v>
      </c>
      <c r="W1423" s="15"/>
      <c r="X1423" s="15">
        <v>2</v>
      </c>
      <c r="Y1423" s="15"/>
      <c r="Z1423" s="98">
        <v>0</v>
      </c>
      <c r="AA1423" s="15">
        <v>26</v>
      </c>
      <c r="AB1423" s="16">
        <f>100/(SUM(I1423:Z1423))</f>
        <v>1.3513513513513513</v>
      </c>
      <c r="AC1423" s="259">
        <f>SUM(I1423:AA1423)</f>
        <v>100</v>
      </c>
      <c r="AD1423" s="15"/>
      <c r="AE1423" s="15"/>
      <c r="AF1423" s="15"/>
      <c r="AG1423" s="17"/>
      <c r="AH1423" s="18" t="s">
        <v>1280</v>
      </c>
      <c r="AI1423" s="18" t="s">
        <v>1281</v>
      </c>
      <c r="AJ1423" s="18" t="s">
        <v>1282</v>
      </c>
      <c r="AK1423" s="13" t="s">
        <v>1283</v>
      </c>
      <c r="AL1423" s="17">
        <f>(B1423-DATE(1970,1,1))*86400</f>
        <v>1571011200</v>
      </c>
      <c r="AM1423" s="17">
        <f>(C1423-DATE(1970,1,1))*86400</f>
        <v>1572134400</v>
      </c>
      <c r="AN1423" s="17">
        <f>AVERAGE(AL1423:AM1423)</f>
        <v>1571572800</v>
      </c>
    </row>
    <row r="1424" spans="1:40" ht="15.75" customHeight="1" x14ac:dyDescent="0.2">
      <c r="A1424" s="279" t="s">
        <v>123</v>
      </c>
      <c r="B1424" s="14">
        <v>43752</v>
      </c>
      <c r="C1424" s="14">
        <v>43765</v>
      </c>
      <c r="D1424" s="13" t="s">
        <v>124</v>
      </c>
      <c r="E1424" s="324" t="s">
        <v>125</v>
      </c>
      <c r="F1424" s="13"/>
      <c r="G1424" s="13" t="s">
        <v>149</v>
      </c>
      <c r="H1424" s="372">
        <v>2300</v>
      </c>
      <c r="I1424" s="15">
        <v>52</v>
      </c>
      <c r="J1424" s="15"/>
      <c r="K1424" s="15">
        <v>7</v>
      </c>
      <c r="L1424" s="15">
        <v>2</v>
      </c>
      <c r="M1424" s="15">
        <v>10</v>
      </c>
      <c r="N1424" s="15"/>
      <c r="O1424" s="15"/>
      <c r="P1424" s="15">
        <v>11</v>
      </c>
      <c r="Q1424" s="15"/>
      <c r="R1424" s="15">
        <v>5</v>
      </c>
      <c r="S1424" s="15"/>
      <c r="T1424" s="15"/>
      <c r="U1424" s="15"/>
      <c r="V1424" s="15">
        <v>2</v>
      </c>
      <c r="W1424" s="15"/>
      <c r="X1424" s="15">
        <v>2</v>
      </c>
      <c r="Y1424" s="15"/>
      <c r="Z1424" s="98">
        <v>0</v>
      </c>
      <c r="AA1424" s="15">
        <v>9</v>
      </c>
      <c r="AB1424" s="16">
        <f>100/(SUM(I1424:Z1424))</f>
        <v>1.098901098901099</v>
      </c>
      <c r="AC1424" s="259">
        <f>SUM(I1424:AA1424)</f>
        <v>100</v>
      </c>
      <c r="AD1424" s="15"/>
      <c r="AE1424" s="15"/>
      <c r="AF1424" s="15"/>
      <c r="AG1424" s="17"/>
      <c r="AH1424" s="18" t="s">
        <v>1280</v>
      </c>
      <c r="AI1424" s="18" t="s">
        <v>1281</v>
      </c>
      <c r="AJ1424" s="18" t="s">
        <v>1282</v>
      </c>
      <c r="AK1424" s="13" t="s">
        <v>1284</v>
      </c>
      <c r="AL1424" s="17">
        <f>(B1424-DATE(1970,1,1))*86400</f>
        <v>1571011200</v>
      </c>
      <c r="AM1424" s="17">
        <f>(C1424-DATE(1970,1,1))*86400</f>
        <v>1572134400</v>
      </c>
      <c r="AN1424" s="17">
        <f>AVERAGE(AL1424:AM1424)</f>
        <v>1571572800</v>
      </c>
    </row>
    <row r="1425" spans="1:40" ht="15.75" customHeight="1" x14ac:dyDescent="0.2">
      <c r="A1425" s="279" t="s">
        <v>123</v>
      </c>
      <c r="B1425" s="14">
        <v>43752</v>
      </c>
      <c r="C1425" s="14">
        <v>43765</v>
      </c>
      <c r="D1425" s="13" t="s">
        <v>124</v>
      </c>
      <c r="E1425" s="324" t="s">
        <v>125</v>
      </c>
      <c r="F1425" s="13"/>
      <c r="G1425" s="13" t="s">
        <v>149</v>
      </c>
      <c r="H1425" s="372">
        <v>2300</v>
      </c>
      <c r="I1425" s="15">
        <v>52</v>
      </c>
      <c r="J1425" s="15"/>
      <c r="K1425" s="15">
        <v>9</v>
      </c>
      <c r="L1425" s="15">
        <v>3</v>
      </c>
      <c r="M1425" s="15">
        <v>11</v>
      </c>
      <c r="N1425" s="15"/>
      <c r="O1425" s="15"/>
      <c r="P1425" s="15">
        <v>13</v>
      </c>
      <c r="Q1425" s="15"/>
      <c r="R1425" s="15">
        <v>6</v>
      </c>
      <c r="S1425" s="15"/>
      <c r="T1425" s="15"/>
      <c r="U1425" s="15"/>
      <c r="V1425" s="15">
        <v>3</v>
      </c>
      <c r="W1425" s="15"/>
      <c r="X1425" s="15">
        <v>2</v>
      </c>
      <c r="Y1425" s="15"/>
      <c r="Z1425" s="15">
        <v>1</v>
      </c>
      <c r="AA1425" s="15">
        <v>0</v>
      </c>
      <c r="AB1425" s="16">
        <f>100/(SUM(I1425:Z1425))</f>
        <v>1</v>
      </c>
      <c r="AC1425" s="259">
        <f>SUM(I1425:AA1425)</f>
        <v>100</v>
      </c>
      <c r="AD1425" s="15"/>
      <c r="AE1425" s="15"/>
      <c r="AF1425" s="15"/>
      <c r="AG1425" s="17"/>
      <c r="AH1425" s="18" t="s">
        <v>2223</v>
      </c>
      <c r="AI1425" s="18" t="s">
        <v>1281</v>
      </c>
      <c r="AJ1425" s="18" t="s">
        <v>1282</v>
      </c>
      <c r="AK1425" s="13" t="s">
        <v>1254</v>
      </c>
      <c r="AL1425" s="17">
        <f>(B1425-DATE(1970,1,1))*86400</f>
        <v>1571011200</v>
      </c>
      <c r="AM1425" s="17">
        <f>(C1425-DATE(1970,1,1))*86400</f>
        <v>1572134400</v>
      </c>
      <c r="AN1425" s="17">
        <f>AVERAGE(AL1425:AM1425)</f>
        <v>1571572800</v>
      </c>
    </row>
    <row r="1426" spans="1:40" ht="15.75" customHeight="1" x14ac:dyDescent="0.2">
      <c r="A1426" s="281" t="s">
        <v>133</v>
      </c>
      <c r="B1426" s="54">
        <v>43755</v>
      </c>
      <c r="C1426" s="54">
        <v>43760</v>
      </c>
      <c r="D1426" s="53" t="s">
        <v>154</v>
      </c>
      <c r="E1426" s="323" t="s">
        <v>125</v>
      </c>
      <c r="F1426" s="53"/>
      <c r="G1426" s="53" t="s">
        <v>126</v>
      </c>
      <c r="H1426" s="323">
        <v>1001</v>
      </c>
      <c r="I1426" s="55">
        <v>29</v>
      </c>
      <c r="J1426" s="55"/>
      <c r="K1426" s="55">
        <v>6</v>
      </c>
      <c r="L1426" s="55">
        <v>1</v>
      </c>
      <c r="M1426" s="55">
        <v>8</v>
      </c>
      <c r="N1426" s="56"/>
      <c r="O1426" s="56"/>
      <c r="P1426" s="55">
        <v>8</v>
      </c>
      <c r="Q1426" s="55"/>
      <c r="R1426" s="55">
        <v>7</v>
      </c>
      <c r="S1426" s="55"/>
      <c r="T1426" s="55"/>
      <c r="U1426" s="55"/>
      <c r="V1426" s="55">
        <v>1</v>
      </c>
      <c r="W1426" s="55"/>
      <c r="X1426" s="55">
        <v>1</v>
      </c>
      <c r="Y1426" s="55"/>
      <c r="Z1426" s="55">
        <v>0</v>
      </c>
      <c r="AA1426" s="55">
        <v>39</v>
      </c>
      <c r="AB1426" s="57">
        <f>100/(SUM(I1426:Z1426))</f>
        <v>1.639344262295082</v>
      </c>
      <c r="AC1426" s="259">
        <f>SUM(I1426:AA1426)</f>
        <v>100</v>
      </c>
      <c r="AD1426" s="55"/>
      <c r="AE1426" s="55"/>
      <c r="AF1426" s="55"/>
      <c r="AG1426" s="58"/>
      <c r="AH1426" s="59" t="s">
        <v>1285</v>
      </c>
      <c r="AI1426" s="59" t="s">
        <v>1286</v>
      </c>
      <c r="AJ1426" s="59"/>
      <c r="AK1426" s="53"/>
      <c r="AL1426" s="58">
        <f>(B1426-DATE(1970,1,1))*86400</f>
        <v>1571270400</v>
      </c>
      <c r="AM1426" s="58">
        <f>(C1426-DATE(1970,1,1))*86400</f>
        <v>1571702400</v>
      </c>
      <c r="AN1426" s="58">
        <f>AVERAGE(AL1426:AM1426)</f>
        <v>1571486400</v>
      </c>
    </row>
    <row r="1427" spans="1:40" ht="15.75" customHeight="1" x14ac:dyDescent="0.2">
      <c r="A1427" s="281" t="s">
        <v>123</v>
      </c>
      <c r="B1427" s="54">
        <v>43755</v>
      </c>
      <c r="C1427" s="54">
        <v>43760</v>
      </c>
      <c r="D1427" s="53" t="s">
        <v>154</v>
      </c>
      <c r="E1427" s="323" t="s">
        <v>125</v>
      </c>
      <c r="F1427" s="53"/>
      <c r="G1427" s="53" t="s">
        <v>126</v>
      </c>
      <c r="H1427" s="323">
        <v>1001</v>
      </c>
      <c r="I1427" s="55">
        <v>38</v>
      </c>
      <c r="J1427" s="55"/>
      <c r="K1427" s="55">
        <v>8</v>
      </c>
      <c r="L1427" s="55">
        <v>1</v>
      </c>
      <c r="M1427" s="55">
        <v>10</v>
      </c>
      <c r="N1427" s="56"/>
      <c r="O1427" s="56"/>
      <c r="P1427" s="55">
        <v>10</v>
      </c>
      <c r="Q1427" s="55"/>
      <c r="R1427" s="55">
        <v>8</v>
      </c>
      <c r="S1427" s="55"/>
      <c r="T1427" s="55"/>
      <c r="U1427" s="55"/>
      <c r="V1427" s="55">
        <v>1</v>
      </c>
      <c r="W1427" s="55"/>
      <c r="X1427" s="55">
        <v>1</v>
      </c>
      <c r="Y1427" s="55"/>
      <c r="Z1427" s="55">
        <v>0</v>
      </c>
      <c r="AA1427" s="55">
        <v>23</v>
      </c>
      <c r="AB1427" s="57">
        <f>100/(SUM(I1427:Z1427))</f>
        <v>1.2987012987012987</v>
      </c>
      <c r="AC1427" s="259">
        <f>SUM(I1427:AA1427)</f>
        <v>100</v>
      </c>
      <c r="AD1427" s="55"/>
      <c r="AE1427" s="55"/>
      <c r="AF1427" s="55"/>
      <c r="AG1427" s="58"/>
      <c r="AH1427" s="59" t="s">
        <v>1285</v>
      </c>
      <c r="AI1427" s="59" t="s">
        <v>1286</v>
      </c>
      <c r="AJ1427" s="59"/>
      <c r="AK1427" s="53"/>
      <c r="AL1427" s="58">
        <f>(B1427-DATE(1970,1,1))*86400</f>
        <v>1571270400</v>
      </c>
      <c r="AM1427" s="58">
        <f>(C1427-DATE(1970,1,1))*86400</f>
        <v>1571702400</v>
      </c>
      <c r="AN1427" s="58">
        <f>AVERAGE(AL1427:AM1427)</f>
        <v>1571486400</v>
      </c>
    </row>
    <row r="1428" spans="1:40" ht="15.75" customHeight="1" x14ac:dyDescent="0.2">
      <c r="A1428" s="281" t="s">
        <v>123</v>
      </c>
      <c r="B1428" s="54">
        <v>43755</v>
      </c>
      <c r="C1428" s="54">
        <v>43760</v>
      </c>
      <c r="D1428" s="53" t="s">
        <v>154</v>
      </c>
      <c r="E1428" s="323" t="s">
        <v>125</v>
      </c>
      <c r="F1428" s="53"/>
      <c r="G1428" s="53" t="s">
        <v>126</v>
      </c>
      <c r="H1428" s="323">
        <v>1001</v>
      </c>
      <c r="I1428" s="55">
        <v>50</v>
      </c>
      <c r="J1428" s="55"/>
      <c r="K1428" s="55">
        <v>10</v>
      </c>
      <c r="L1428" s="55">
        <v>2</v>
      </c>
      <c r="M1428" s="55">
        <v>12</v>
      </c>
      <c r="N1428" s="56"/>
      <c r="O1428" s="56"/>
      <c r="P1428" s="55">
        <v>12</v>
      </c>
      <c r="Q1428" s="55"/>
      <c r="R1428" s="55">
        <v>10</v>
      </c>
      <c r="S1428" s="55"/>
      <c r="T1428" s="55"/>
      <c r="U1428" s="55"/>
      <c r="V1428" s="55">
        <v>2</v>
      </c>
      <c r="W1428" s="55"/>
      <c r="X1428" s="55">
        <v>2</v>
      </c>
      <c r="Y1428" s="55"/>
      <c r="Z1428" s="55">
        <v>0</v>
      </c>
      <c r="AA1428" s="55">
        <v>0</v>
      </c>
      <c r="AB1428" s="57">
        <f>100/(SUM(I1428:Z1428))</f>
        <v>1</v>
      </c>
      <c r="AC1428" s="259">
        <f>SUM(I1428:AA1428)</f>
        <v>100</v>
      </c>
      <c r="AD1428" s="55"/>
      <c r="AE1428" s="55"/>
      <c r="AF1428" s="55"/>
      <c r="AG1428" s="58"/>
      <c r="AH1428" s="59" t="s">
        <v>1285</v>
      </c>
      <c r="AI1428" s="59" t="s">
        <v>1286</v>
      </c>
      <c r="AJ1428" s="59"/>
      <c r="AK1428" s="53"/>
      <c r="AL1428" s="58">
        <f>(B1428-DATE(1970,1,1))*86400</f>
        <v>1571270400</v>
      </c>
      <c r="AM1428" s="58">
        <f>(C1428-DATE(1970,1,1))*86400</f>
        <v>1571702400</v>
      </c>
      <c r="AN1428" s="58">
        <f>AVERAGE(AL1428:AM1428)</f>
        <v>1571486400</v>
      </c>
    </row>
    <row r="1429" spans="1:40" ht="15.75" customHeight="1" x14ac:dyDescent="0.2">
      <c r="A1429" s="279" t="s">
        <v>123</v>
      </c>
      <c r="B1429" s="14">
        <v>43748</v>
      </c>
      <c r="C1429" s="14">
        <v>43748</v>
      </c>
      <c r="D1429" s="13" t="s">
        <v>124</v>
      </c>
      <c r="E1429" s="324" t="s">
        <v>125</v>
      </c>
      <c r="F1429" s="13" t="s">
        <v>2510</v>
      </c>
      <c r="G1429" s="13" t="s">
        <v>126</v>
      </c>
      <c r="H1429" s="372">
        <v>750</v>
      </c>
      <c r="I1429" s="15"/>
      <c r="J1429" s="15"/>
      <c r="K1429" s="15"/>
      <c r="L1429" s="15"/>
      <c r="M1429" s="15"/>
      <c r="N1429" s="15"/>
      <c r="O1429" s="15"/>
      <c r="P1429" s="15"/>
      <c r="Q1429" s="15"/>
      <c r="R1429" s="15"/>
      <c r="S1429" s="15"/>
      <c r="T1429" s="15"/>
      <c r="U1429" s="15"/>
      <c r="V1429" s="15"/>
      <c r="W1429" s="15"/>
      <c r="X1429" s="15"/>
      <c r="Y1429" s="15"/>
      <c r="Z1429" s="15"/>
      <c r="AA1429" s="15">
        <v>0</v>
      </c>
      <c r="AB1429" s="16" t="e">
        <f>100/(SUM(I1429:Z1429))</f>
        <v>#DIV/0!</v>
      </c>
      <c r="AC1429" s="259">
        <f>SUM(I1429:AA1429)</f>
        <v>0</v>
      </c>
      <c r="AD1429" s="15"/>
      <c r="AE1429" s="15"/>
      <c r="AF1429" s="15"/>
      <c r="AG1429" s="17"/>
      <c r="AH1429" s="201" t="s">
        <v>1828</v>
      </c>
      <c r="AI1429" s="18"/>
      <c r="AJ1429" s="18"/>
      <c r="AK1429" s="13"/>
      <c r="AL1429" s="17">
        <f>(B1429-DATE(1970,1,1))*86400</f>
        <v>1570665600</v>
      </c>
      <c r="AM1429" s="17">
        <f>(C1429-DATE(1970,1,1))*86400</f>
        <v>1570665600</v>
      </c>
      <c r="AN1429" s="17">
        <f>AVERAGE(AL1429:AM1429)</f>
        <v>1570665600</v>
      </c>
    </row>
    <row r="1430" spans="1:40" ht="15.75" customHeight="1" x14ac:dyDescent="0.2">
      <c r="A1430" s="280" t="s">
        <v>123</v>
      </c>
      <c r="B1430" s="108">
        <v>43748</v>
      </c>
      <c r="C1430" s="108">
        <v>43748</v>
      </c>
      <c r="D1430" s="76" t="s">
        <v>200</v>
      </c>
      <c r="E1430" s="320" t="s">
        <v>125</v>
      </c>
      <c r="F1430" s="76" t="s">
        <v>2510</v>
      </c>
      <c r="G1430" s="76" t="s">
        <v>1326</v>
      </c>
      <c r="H1430" s="380">
        <v>0</v>
      </c>
      <c r="I1430" s="78"/>
      <c r="J1430" s="78"/>
      <c r="K1430" s="78"/>
      <c r="L1430" s="78"/>
      <c r="M1430" s="78"/>
      <c r="N1430" s="78"/>
      <c r="O1430" s="78"/>
      <c r="P1430" s="78"/>
      <c r="Q1430" s="78"/>
      <c r="R1430" s="78"/>
      <c r="S1430" s="78"/>
      <c r="T1430" s="78"/>
      <c r="U1430" s="78"/>
      <c r="V1430" s="78"/>
      <c r="W1430" s="78"/>
      <c r="X1430" s="78"/>
      <c r="Y1430" s="78"/>
      <c r="Z1430" s="78"/>
      <c r="AA1430" s="78">
        <v>0</v>
      </c>
      <c r="AB1430" s="79" t="e">
        <f>100/(SUM(I1430:Z1430))</f>
        <v>#DIV/0!</v>
      </c>
      <c r="AC1430" s="259">
        <f>SUM(I1430:AA1430)</f>
        <v>0</v>
      </c>
      <c r="AD1430" s="78"/>
      <c r="AE1430" s="78"/>
      <c r="AF1430" s="78"/>
      <c r="AG1430" s="80"/>
      <c r="AH1430" s="195" t="s">
        <v>1828</v>
      </c>
      <c r="AI1430" s="76"/>
      <c r="AJ1430" s="76"/>
      <c r="AK1430" s="76" t="s">
        <v>1824</v>
      </c>
      <c r="AL1430" s="80">
        <f>(B1430-DATE(1970,1,1))*86400</f>
        <v>1570665600</v>
      </c>
      <c r="AM1430" s="80">
        <f>(C1430-DATE(1970,1,1))*86400</f>
        <v>1570665600</v>
      </c>
      <c r="AN1430" s="80">
        <f>AVERAGE(AL1430:AM1430)</f>
        <v>1570665600</v>
      </c>
    </row>
    <row r="1431" spans="1:40" ht="15.75" customHeight="1" x14ac:dyDescent="0.2">
      <c r="A1431" s="302" t="s">
        <v>123</v>
      </c>
      <c r="B1431" s="254">
        <v>43747</v>
      </c>
      <c r="C1431" s="254">
        <v>43747</v>
      </c>
      <c r="D1431" s="262" t="s">
        <v>2445</v>
      </c>
      <c r="E1431" s="322" t="s">
        <v>184</v>
      </c>
      <c r="F1431" s="121" t="s">
        <v>2007</v>
      </c>
      <c r="G1431" s="262" t="s">
        <v>244</v>
      </c>
      <c r="H1431" s="379">
        <v>500</v>
      </c>
      <c r="I1431" s="123">
        <v>55</v>
      </c>
      <c r="J1431" s="123">
        <v>7</v>
      </c>
      <c r="K1431" s="123">
        <v>9</v>
      </c>
      <c r="L1431" s="123">
        <v>3</v>
      </c>
      <c r="M1431" s="123">
        <v>11</v>
      </c>
      <c r="N1431" s="123"/>
      <c r="O1431" s="123"/>
      <c r="P1431" s="123">
        <v>7</v>
      </c>
      <c r="Q1431" s="123"/>
      <c r="R1431" s="124"/>
      <c r="S1431" s="123"/>
      <c r="T1431" s="123"/>
      <c r="U1431" s="123"/>
      <c r="V1431" s="123"/>
      <c r="W1431" s="123"/>
      <c r="X1431" s="123">
        <v>2</v>
      </c>
      <c r="Y1431" s="123"/>
      <c r="Z1431" s="123"/>
      <c r="AA1431" s="123">
        <v>0</v>
      </c>
      <c r="AB1431" s="125">
        <f>100/(SUM(I1431:Z1431))</f>
        <v>1.0638297872340425</v>
      </c>
      <c r="AC1431" s="259">
        <f>SUM(I1431:AA1431)</f>
        <v>94</v>
      </c>
      <c r="AD1431" s="123"/>
      <c r="AE1431" s="123"/>
      <c r="AF1431" s="123"/>
      <c r="AG1431" s="263" t="s">
        <v>719</v>
      </c>
      <c r="AH1431" s="253" t="s">
        <v>2001</v>
      </c>
      <c r="AI1431" s="253"/>
      <c r="AJ1431" s="127"/>
      <c r="AK1431" s="121" t="s">
        <v>2002</v>
      </c>
      <c r="AL1431" s="126">
        <f>(B1431-DATE(1970,1,1))*86400</f>
        <v>1570579200</v>
      </c>
      <c r="AM1431" s="126">
        <f>(C1431-DATE(1970,1,1))*86400</f>
        <v>1570579200</v>
      </c>
      <c r="AN1431" s="126">
        <f>AVERAGE(AL1431:AM1431)</f>
        <v>1570579200</v>
      </c>
    </row>
    <row r="1432" spans="1:40" ht="15.75" customHeight="1" x14ac:dyDescent="0.2">
      <c r="A1432" s="449" t="s">
        <v>123</v>
      </c>
      <c r="B1432" s="460">
        <v>43743</v>
      </c>
      <c r="C1432" s="460">
        <v>43747</v>
      </c>
      <c r="D1432" s="451" t="s">
        <v>143</v>
      </c>
      <c r="E1432" s="452" t="s">
        <v>125</v>
      </c>
      <c r="F1432" s="451" t="s">
        <v>2510</v>
      </c>
      <c r="G1432" s="451" t="s">
        <v>135</v>
      </c>
      <c r="H1432" s="454">
        <v>1000</v>
      </c>
      <c r="I1432" s="455"/>
      <c r="J1432" s="455"/>
      <c r="K1432" s="455"/>
      <c r="L1432" s="455"/>
      <c r="M1432" s="455"/>
      <c r="N1432" s="455"/>
      <c r="O1432" s="455"/>
      <c r="P1432" s="455"/>
      <c r="Q1432" s="455"/>
      <c r="R1432" s="456"/>
      <c r="S1432" s="455"/>
      <c r="T1432" s="455"/>
      <c r="U1432" s="455"/>
      <c r="V1432" s="455"/>
      <c r="W1432" s="455"/>
      <c r="X1432" s="455"/>
      <c r="Y1432" s="455"/>
      <c r="Z1432" s="455"/>
      <c r="AA1432" s="455">
        <v>0</v>
      </c>
      <c r="AB1432" s="457" t="e">
        <f>100/(SUM(I1432:Z1432))</f>
        <v>#DIV/0!</v>
      </c>
      <c r="AC1432" s="432">
        <f>SUM(I1432:AA1432)</f>
        <v>0</v>
      </c>
      <c r="AD1432" s="455"/>
      <c r="AE1432" s="455"/>
      <c r="AF1432" s="455"/>
      <c r="AG1432" s="459"/>
      <c r="AH1432" s="461" t="s">
        <v>1828</v>
      </c>
      <c r="AI1432" s="458"/>
      <c r="AJ1432" s="458"/>
      <c r="AK1432" s="451"/>
      <c r="AL1432" s="459">
        <f>(B1432-DATE(1970,1,1))*86400</f>
        <v>1570233600</v>
      </c>
      <c r="AM1432" s="459">
        <f>(C1432-DATE(1970,1,1))*86400</f>
        <v>1570579200</v>
      </c>
      <c r="AN1432" s="459">
        <f>AVERAGE(AL1432:AM1432)</f>
        <v>1570406400</v>
      </c>
    </row>
    <row r="1433" spans="1:40" ht="15.75" customHeight="1" x14ac:dyDescent="0.2">
      <c r="A1433" s="286" t="s">
        <v>123</v>
      </c>
      <c r="B1433" s="41">
        <v>43743</v>
      </c>
      <c r="C1433" s="41">
        <v>43747</v>
      </c>
      <c r="D1433" s="40" t="s">
        <v>148</v>
      </c>
      <c r="E1433" s="325" t="s">
        <v>125</v>
      </c>
      <c r="F1433" s="40" t="s">
        <v>2510</v>
      </c>
      <c r="G1433" s="40" t="s">
        <v>1025</v>
      </c>
      <c r="H1433" s="325">
        <v>1343</v>
      </c>
      <c r="I1433" s="42"/>
      <c r="J1433" s="42"/>
      <c r="K1433" s="42"/>
      <c r="L1433" s="42"/>
      <c r="M1433" s="42"/>
      <c r="N1433" s="42"/>
      <c r="O1433" s="42"/>
      <c r="P1433" s="42"/>
      <c r="Q1433" s="42"/>
      <c r="R1433" s="43"/>
      <c r="S1433" s="42"/>
      <c r="T1433" s="42"/>
      <c r="U1433" s="42"/>
      <c r="V1433" s="42"/>
      <c r="W1433" s="42"/>
      <c r="X1433" s="42"/>
      <c r="Y1433" s="42"/>
      <c r="Z1433" s="42"/>
      <c r="AA1433" s="42">
        <v>0</v>
      </c>
      <c r="AB1433" s="44" t="e">
        <f>100/(SUM(I1433:Z1433))</f>
        <v>#DIV/0!</v>
      </c>
      <c r="AC1433" s="259">
        <f>SUM(I1433:AA1433)</f>
        <v>0</v>
      </c>
      <c r="AD1433" s="42"/>
      <c r="AE1433" s="42"/>
      <c r="AF1433" s="42"/>
      <c r="AG1433" s="45"/>
      <c r="AH1433" s="220" t="s">
        <v>1828</v>
      </c>
      <c r="AI1433" s="132"/>
      <c r="AJ1433" s="132"/>
      <c r="AK1433" s="40"/>
      <c r="AL1433" s="45">
        <f>(B1433-DATE(1970,1,1))*86400</f>
        <v>1570233600</v>
      </c>
      <c r="AM1433" s="45">
        <f>(C1433-DATE(1970,1,1))*86400</f>
        <v>1570579200</v>
      </c>
      <c r="AN1433" s="45">
        <f>AVERAGE(AL1433:AM1433)</f>
        <v>1570406400</v>
      </c>
    </row>
    <row r="1434" spans="1:40" ht="15.75" customHeight="1" x14ac:dyDescent="0.2">
      <c r="A1434" s="281" t="s">
        <v>123</v>
      </c>
      <c r="B1434" s="54">
        <v>43741</v>
      </c>
      <c r="C1434" s="54">
        <v>43746</v>
      </c>
      <c r="D1434" s="53" t="s">
        <v>154</v>
      </c>
      <c r="E1434" s="323" t="s">
        <v>125</v>
      </c>
      <c r="F1434" s="53" t="s">
        <v>2510</v>
      </c>
      <c r="G1434" s="53" t="s">
        <v>126</v>
      </c>
      <c r="H1434" s="323">
        <v>606</v>
      </c>
      <c r="I1434" s="55"/>
      <c r="J1434" s="55"/>
      <c r="K1434" s="55"/>
      <c r="L1434" s="55"/>
      <c r="M1434" s="55"/>
      <c r="N1434" s="56"/>
      <c r="O1434" s="56"/>
      <c r="P1434" s="55"/>
      <c r="Q1434" s="55"/>
      <c r="R1434" s="55"/>
      <c r="S1434" s="55"/>
      <c r="T1434" s="55"/>
      <c r="U1434" s="55"/>
      <c r="V1434" s="55"/>
      <c r="W1434" s="55"/>
      <c r="X1434" s="55"/>
      <c r="Y1434" s="55"/>
      <c r="Z1434" s="55"/>
      <c r="AA1434" s="55">
        <v>0</v>
      </c>
      <c r="AB1434" s="57" t="e">
        <f>100/(SUM(I1434:Z1434))</f>
        <v>#DIV/0!</v>
      </c>
      <c r="AC1434" s="259">
        <f>SUM(I1434:AA1434)</f>
        <v>0</v>
      </c>
      <c r="AD1434" s="55"/>
      <c r="AE1434" s="55"/>
      <c r="AF1434" s="55"/>
      <c r="AG1434" s="58"/>
      <c r="AH1434" s="186" t="s">
        <v>1828</v>
      </c>
      <c r="AI1434" s="59"/>
      <c r="AJ1434" s="59"/>
      <c r="AK1434" s="53"/>
      <c r="AL1434" s="58">
        <f>(B1434-DATE(1970,1,1))*86400</f>
        <v>1570060800</v>
      </c>
      <c r="AM1434" s="58">
        <f>(C1434-DATE(1970,1,1))*86400</f>
        <v>1570492800</v>
      </c>
      <c r="AN1434" s="58">
        <f>AVERAGE(AL1434:AM1434)</f>
        <v>1570276800</v>
      </c>
    </row>
    <row r="1435" spans="1:40" ht="15.75" customHeight="1" x14ac:dyDescent="0.2">
      <c r="A1435" s="310" t="s">
        <v>123</v>
      </c>
      <c r="B1435" s="264">
        <v>43741</v>
      </c>
      <c r="C1435" s="264">
        <v>43745</v>
      </c>
      <c r="D1435" s="121" t="s">
        <v>718</v>
      </c>
      <c r="E1435" s="322" t="s">
        <v>125</v>
      </c>
      <c r="F1435" s="121" t="s">
        <v>2510</v>
      </c>
      <c r="G1435" s="121" t="s">
        <v>126</v>
      </c>
      <c r="H1435" s="369">
        <v>650</v>
      </c>
      <c r="I1435" s="123"/>
      <c r="J1435" s="123"/>
      <c r="K1435" s="123"/>
      <c r="L1435" s="123"/>
      <c r="M1435" s="123"/>
      <c r="N1435" s="123"/>
      <c r="O1435" s="123"/>
      <c r="P1435" s="123"/>
      <c r="Q1435" s="123"/>
      <c r="R1435" s="124"/>
      <c r="S1435" s="123"/>
      <c r="T1435" s="123"/>
      <c r="U1435" s="123"/>
      <c r="V1435" s="123"/>
      <c r="W1435" s="123"/>
      <c r="X1435" s="123"/>
      <c r="Y1435" s="123"/>
      <c r="Z1435" s="123"/>
      <c r="AA1435" s="123"/>
      <c r="AB1435" s="125" t="e">
        <f>100/(SUM(I1435:Z1435))</f>
        <v>#DIV/0!</v>
      </c>
      <c r="AC1435" s="259">
        <f>SUM(I1435:AA1435)</f>
        <v>0</v>
      </c>
      <c r="AD1435" s="123"/>
      <c r="AE1435" s="123"/>
      <c r="AF1435" s="123"/>
      <c r="AG1435" s="126"/>
      <c r="AH1435" s="253" t="s">
        <v>2015</v>
      </c>
      <c r="AI1435" s="127"/>
      <c r="AJ1435" s="127"/>
      <c r="AK1435" s="121" t="s">
        <v>2016</v>
      </c>
      <c r="AL1435" s="126">
        <f>(B1435-DATE(1970,1,1))*86400</f>
        <v>1570060800</v>
      </c>
      <c r="AM1435" s="126">
        <f>(C1435-DATE(1970,1,1))*86400</f>
        <v>1570406400</v>
      </c>
      <c r="AN1435" s="126">
        <f>AVERAGE(AL1435:AM1435)</f>
        <v>1570233600</v>
      </c>
    </row>
    <row r="1436" spans="1:40" ht="15.75" customHeight="1" x14ac:dyDescent="0.2">
      <c r="A1436" s="280" t="s">
        <v>133</v>
      </c>
      <c r="B1436" s="77">
        <v>43731</v>
      </c>
      <c r="C1436" s="77">
        <v>43733</v>
      </c>
      <c r="D1436" s="76" t="s">
        <v>200</v>
      </c>
      <c r="E1436" s="320" t="s">
        <v>125</v>
      </c>
      <c r="F1436" s="76"/>
      <c r="G1436" s="76" t="s">
        <v>126</v>
      </c>
      <c r="H1436" s="320">
        <v>1000</v>
      </c>
      <c r="I1436" s="78">
        <v>37</v>
      </c>
      <c r="J1436" s="78"/>
      <c r="K1436" s="78">
        <v>6</v>
      </c>
      <c r="L1436" s="78">
        <v>2</v>
      </c>
      <c r="M1436" s="78">
        <v>8</v>
      </c>
      <c r="N1436" s="78"/>
      <c r="O1436" s="78"/>
      <c r="P1436" s="78">
        <v>8</v>
      </c>
      <c r="Q1436" s="78"/>
      <c r="R1436" s="78">
        <v>5</v>
      </c>
      <c r="S1436" s="78"/>
      <c r="T1436" s="78"/>
      <c r="U1436" s="78"/>
      <c r="V1436" s="78"/>
      <c r="W1436" s="78"/>
      <c r="X1436" s="78">
        <v>2</v>
      </c>
      <c r="Y1436" s="78"/>
      <c r="Z1436" s="78">
        <v>3</v>
      </c>
      <c r="AA1436" s="78">
        <v>29</v>
      </c>
      <c r="AB1436" s="79">
        <f>100/(SUM(I1436:Z1436))</f>
        <v>1.408450704225352</v>
      </c>
      <c r="AC1436" s="259">
        <f>SUM(I1436:AA1436)</f>
        <v>100</v>
      </c>
      <c r="AD1436" s="78"/>
      <c r="AE1436" s="78"/>
      <c r="AF1436" s="78"/>
      <c r="AG1436" s="80"/>
      <c r="AH1436" s="81" t="s">
        <v>1287</v>
      </c>
      <c r="AI1436" s="156"/>
      <c r="AJ1436" s="76"/>
      <c r="AK1436" s="76" t="s">
        <v>1288</v>
      </c>
      <c r="AL1436" s="80">
        <f>(B1436-DATE(1970,1,1))*86400</f>
        <v>1569196800</v>
      </c>
      <c r="AM1436" s="80">
        <f>(C1436-DATE(1970,1,1))*86400</f>
        <v>1569369600</v>
      </c>
      <c r="AN1436" s="80">
        <f>AVERAGE(AL1436:AM1436)</f>
        <v>1569283200</v>
      </c>
    </row>
    <row r="1437" spans="1:40" ht="15.75" customHeight="1" x14ac:dyDescent="0.2">
      <c r="A1437" s="280" t="s">
        <v>123</v>
      </c>
      <c r="B1437" s="77">
        <v>43731</v>
      </c>
      <c r="C1437" s="77">
        <v>43733</v>
      </c>
      <c r="D1437" s="76" t="s">
        <v>200</v>
      </c>
      <c r="E1437" s="320" t="s">
        <v>125</v>
      </c>
      <c r="F1437" s="76"/>
      <c r="G1437" s="76" t="s">
        <v>126</v>
      </c>
      <c r="H1437" s="320">
        <v>1000</v>
      </c>
      <c r="I1437" s="78">
        <v>54</v>
      </c>
      <c r="J1437" s="78"/>
      <c r="K1437" s="78">
        <v>8</v>
      </c>
      <c r="L1437" s="78">
        <v>3</v>
      </c>
      <c r="M1437" s="78">
        <v>11</v>
      </c>
      <c r="N1437" s="78"/>
      <c r="O1437" s="78"/>
      <c r="P1437" s="78">
        <v>10</v>
      </c>
      <c r="Q1437" s="78"/>
      <c r="R1437" s="78">
        <v>7</v>
      </c>
      <c r="S1437" s="78"/>
      <c r="T1437" s="78"/>
      <c r="U1437" s="78"/>
      <c r="V1437" s="78"/>
      <c r="W1437" s="78"/>
      <c r="X1437" s="78">
        <v>3</v>
      </c>
      <c r="Y1437" s="78"/>
      <c r="Z1437" s="78">
        <v>4</v>
      </c>
      <c r="AA1437" s="78">
        <v>0</v>
      </c>
      <c r="AB1437" s="79">
        <f>100/(SUM(I1437:Z1437))</f>
        <v>1</v>
      </c>
      <c r="AC1437" s="259">
        <f>SUM(I1437:AA1437)</f>
        <v>100</v>
      </c>
      <c r="AD1437" s="78"/>
      <c r="AE1437" s="78"/>
      <c r="AF1437" s="78"/>
      <c r="AG1437" s="80"/>
      <c r="AH1437" s="81" t="s">
        <v>1287</v>
      </c>
      <c r="AI1437" s="76"/>
      <c r="AJ1437" s="76"/>
      <c r="AK1437" s="76"/>
      <c r="AL1437" s="80">
        <f>(B1437-DATE(1970,1,1))*86400</f>
        <v>1569196800</v>
      </c>
      <c r="AM1437" s="80">
        <f>(C1437-DATE(1970,1,1))*86400</f>
        <v>1569369600</v>
      </c>
      <c r="AN1437" s="80">
        <f>AVERAGE(AL1437:AM1437)</f>
        <v>1569283200</v>
      </c>
    </row>
    <row r="1438" spans="1:40" ht="15.75" customHeight="1" x14ac:dyDescent="0.2">
      <c r="A1438" s="449" t="s">
        <v>133</v>
      </c>
      <c r="B1438" s="460">
        <v>43728</v>
      </c>
      <c r="C1438" s="460">
        <v>43734</v>
      </c>
      <c r="D1438" s="451" t="s">
        <v>143</v>
      </c>
      <c r="E1438" s="452" t="s">
        <v>125</v>
      </c>
      <c r="F1438" s="451"/>
      <c r="G1438" s="451" t="s">
        <v>149</v>
      </c>
      <c r="H1438" s="454">
        <v>1200</v>
      </c>
      <c r="I1438" s="455">
        <v>42</v>
      </c>
      <c r="J1438" s="455"/>
      <c r="K1438" s="455">
        <v>7</v>
      </c>
      <c r="L1438" s="455">
        <v>2</v>
      </c>
      <c r="M1438" s="455">
        <v>10</v>
      </c>
      <c r="N1438" s="455"/>
      <c r="O1438" s="455"/>
      <c r="P1438" s="455">
        <v>4</v>
      </c>
      <c r="Q1438" s="455"/>
      <c r="R1438" s="456">
        <v>6</v>
      </c>
      <c r="S1438" s="455"/>
      <c r="T1438" s="455"/>
      <c r="U1438" s="455"/>
      <c r="V1438" s="455">
        <v>2</v>
      </c>
      <c r="W1438" s="455"/>
      <c r="X1438" s="455">
        <v>1</v>
      </c>
      <c r="Y1438" s="455"/>
      <c r="Z1438" s="456">
        <v>0</v>
      </c>
      <c r="AA1438" s="455">
        <v>26</v>
      </c>
      <c r="AB1438" s="457">
        <f>100/(SUM(I1438:Z1438))</f>
        <v>1.3513513513513513</v>
      </c>
      <c r="AC1438" s="432">
        <f>SUM(I1438:AA1438)</f>
        <v>100</v>
      </c>
      <c r="AD1438" s="455"/>
      <c r="AE1438" s="455"/>
      <c r="AF1438" s="455"/>
      <c r="AG1438" s="459"/>
      <c r="AH1438" s="451" t="s">
        <v>1183</v>
      </c>
      <c r="AI1438" s="458" t="s">
        <v>1289</v>
      </c>
      <c r="AJ1438" s="458"/>
      <c r="AK1438" s="451" t="s">
        <v>1290</v>
      </c>
      <c r="AL1438" s="459">
        <f>(B1438-DATE(1970,1,1))*86400</f>
        <v>1568937600</v>
      </c>
      <c r="AM1438" s="459">
        <f>(C1438-DATE(1970,1,1))*86400</f>
        <v>1569456000</v>
      </c>
      <c r="AN1438" s="459">
        <f>AVERAGE(AL1438:AM1438)</f>
        <v>1569196800</v>
      </c>
    </row>
    <row r="1439" spans="1:40" ht="15.75" customHeight="1" x14ac:dyDescent="0.2">
      <c r="A1439" s="449" t="s">
        <v>123</v>
      </c>
      <c r="B1439" s="460">
        <v>43728</v>
      </c>
      <c r="C1439" s="460">
        <v>43734</v>
      </c>
      <c r="D1439" s="451" t="s">
        <v>143</v>
      </c>
      <c r="E1439" s="452" t="s">
        <v>125</v>
      </c>
      <c r="F1439" s="451"/>
      <c r="G1439" s="451" t="s">
        <v>149</v>
      </c>
      <c r="H1439" s="454">
        <v>1200</v>
      </c>
      <c r="I1439" s="455">
        <v>62</v>
      </c>
      <c r="J1439" s="455"/>
      <c r="K1439" s="455">
        <v>7</v>
      </c>
      <c r="L1439" s="455">
        <v>1</v>
      </c>
      <c r="M1439" s="455">
        <v>13</v>
      </c>
      <c r="N1439" s="455"/>
      <c r="O1439" s="455"/>
      <c r="P1439" s="455">
        <v>5</v>
      </c>
      <c r="Q1439" s="455"/>
      <c r="R1439" s="456">
        <v>10</v>
      </c>
      <c r="S1439" s="455"/>
      <c r="T1439" s="455"/>
      <c r="U1439" s="455"/>
      <c r="V1439" s="455">
        <v>1</v>
      </c>
      <c r="W1439" s="455"/>
      <c r="X1439" s="455">
        <v>1</v>
      </c>
      <c r="Y1439" s="455"/>
      <c r="Z1439" s="455">
        <v>0</v>
      </c>
      <c r="AA1439" s="455">
        <v>0</v>
      </c>
      <c r="AB1439" s="457">
        <f>100/(SUM(I1439:Z1439))</f>
        <v>1</v>
      </c>
      <c r="AC1439" s="432">
        <f>SUM(I1439:AA1439)</f>
        <v>100</v>
      </c>
      <c r="AD1439" s="455"/>
      <c r="AE1439" s="455"/>
      <c r="AF1439" s="455"/>
      <c r="AG1439" s="459"/>
      <c r="AH1439" s="451" t="s">
        <v>1183</v>
      </c>
      <c r="AI1439" s="458" t="s">
        <v>1289</v>
      </c>
      <c r="AJ1439" s="458"/>
      <c r="AK1439" s="451"/>
      <c r="AL1439" s="459">
        <f>(B1439-DATE(1970,1,1))*86400</f>
        <v>1568937600</v>
      </c>
      <c r="AM1439" s="459">
        <f>(C1439-DATE(1970,1,1))*86400</f>
        <v>1569456000</v>
      </c>
      <c r="AN1439" s="459">
        <f>AVERAGE(AL1439:AM1439)</f>
        <v>1569196800</v>
      </c>
    </row>
    <row r="1440" spans="1:40" ht="15.75" customHeight="1" x14ac:dyDescent="0.2">
      <c r="A1440" s="284" t="s">
        <v>133</v>
      </c>
      <c r="B1440" s="20">
        <v>43728</v>
      </c>
      <c r="C1440" s="20">
        <v>43732</v>
      </c>
      <c r="D1440" s="19" t="s">
        <v>134</v>
      </c>
      <c r="E1440" s="332" t="s">
        <v>125</v>
      </c>
      <c r="F1440" s="19"/>
      <c r="G1440" s="19" t="s">
        <v>135</v>
      </c>
      <c r="H1440" s="332">
        <v>2000</v>
      </c>
      <c r="I1440" s="21">
        <v>31</v>
      </c>
      <c r="J1440" s="21"/>
      <c r="K1440" s="21">
        <v>7</v>
      </c>
      <c r="L1440" s="21">
        <v>2</v>
      </c>
      <c r="M1440" s="21">
        <v>9</v>
      </c>
      <c r="N1440" s="21"/>
      <c r="O1440" s="21"/>
      <c r="P1440" s="21">
        <v>5</v>
      </c>
      <c r="Q1440" s="21"/>
      <c r="R1440" s="22">
        <v>6</v>
      </c>
      <c r="S1440" s="21"/>
      <c r="T1440" s="21"/>
      <c r="U1440" s="21"/>
      <c r="V1440" s="21">
        <v>3</v>
      </c>
      <c r="W1440" s="21"/>
      <c r="X1440" s="21">
        <v>1</v>
      </c>
      <c r="Y1440" s="21"/>
      <c r="Z1440" s="21">
        <v>1</v>
      </c>
      <c r="AA1440" s="21">
        <v>35</v>
      </c>
      <c r="AB1440" s="23">
        <f>100/(SUM(I1440:Z1440))</f>
        <v>1.5384615384615385</v>
      </c>
      <c r="AC1440" s="259">
        <f>SUM(I1440:AA1440)</f>
        <v>100</v>
      </c>
      <c r="AD1440" s="21"/>
      <c r="AE1440" s="21"/>
      <c r="AF1440" s="21"/>
      <c r="AG1440" s="25"/>
      <c r="AH1440" s="83" t="s">
        <v>1291</v>
      </c>
      <c r="AI1440" s="83"/>
      <c r="AJ1440" s="19"/>
      <c r="AK1440" s="19"/>
      <c r="AL1440" s="25">
        <f>(B1440-DATE(1970,1,1))*86400</f>
        <v>1568937600</v>
      </c>
      <c r="AM1440" s="25">
        <f>(C1440-DATE(1970,1,1))*86400</f>
        <v>1569283200</v>
      </c>
      <c r="AN1440" s="25">
        <f>AVERAGE(AL1440:AM1440)</f>
        <v>1569110400</v>
      </c>
    </row>
    <row r="1441" spans="1:40" ht="15.75" customHeight="1" x14ac:dyDescent="0.2">
      <c r="A1441" s="284" t="s">
        <v>123</v>
      </c>
      <c r="B1441" s="20">
        <v>43728</v>
      </c>
      <c r="C1441" s="20">
        <v>43732</v>
      </c>
      <c r="D1441" s="19" t="s">
        <v>134</v>
      </c>
      <c r="E1441" s="332" t="s">
        <v>125</v>
      </c>
      <c r="F1441" s="19"/>
      <c r="G1441" s="19" t="s">
        <v>135</v>
      </c>
      <c r="H1441" s="332">
        <v>2000</v>
      </c>
      <c r="I1441" s="21">
        <v>50</v>
      </c>
      <c r="J1441" s="21"/>
      <c r="K1441" s="21">
        <v>8</v>
      </c>
      <c r="L1441" s="21">
        <v>2</v>
      </c>
      <c r="M1441" s="21">
        <v>16</v>
      </c>
      <c r="N1441" s="21"/>
      <c r="O1441" s="21"/>
      <c r="P1441" s="21">
        <v>9</v>
      </c>
      <c r="Q1441" s="21"/>
      <c r="R1441" s="22">
        <v>9</v>
      </c>
      <c r="S1441" s="21"/>
      <c r="T1441" s="21"/>
      <c r="U1441" s="21"/>
      <c r="V1441" s="21">
        <v>3</v>
      </c>
      <c r="W1441" s="21"/>
      <c r="X1441" s="21">
        <v>2</v>
      </c>
      <c r="Y1441" s="21"/>
      <c r="Z1441" s="21">
        <v>1</v>
      </c>
      <c r="AA1441" s="21">
        <v>0</v>
      </c>
      <c r="AB1441" s="23">
        <f>100/(SUM(I1441:Z1441))</f>
        <v>1</v>
      </c>
      <c r="AC1441" s="259">
        <f>SUM(I1441:AA1441)</f>
        <v>100</v>
      </c>
      <c r="AD1441" s="21"/>
      <c r="AE1441" s="21"/>
      <c r="AF1441" s="21"/>
      <c r="AG1441" s="25"/>
      <c r="AH1441" s="83" t="s">
        <v>1291</v>
      </c>
      <c r="AI1441" s="83"/>
      <c r="AJ1441" s="19"/>
      <c r="AK1441" s="19"/>
      <c r="AL1441" s="25">
        <f>(B1441-DATE(1970,1,1))*86400</f>
        <v>1568937600</v>
      </c>
      <c r="AM1441" s="25">
        <f>(C1441-DATE(1970,1,1))*86400</f>
        <v>1569283200</v>
      </c>
      <c r="AN1441" s="25">
        <f>AVERAGE(AL1441:AM1441)</f>
        <v>1569110400</v>
      </c>
    </row>
    <row r="1442" spans="1:40" ht="15.75" customHeight="1" x14ac:dyDescent="0.2">
      <c r="A1442" s="281" t="s">
        <v>133</v>
      </c>
      <c r="B1442" s="54">
        <v>43725</v>
      </c>
      <c r="C1442" s="54">
        <v>43731</v>
      </c>
      <c r="D1442" s="53" t="s">
        <v>154</v>
      </c>
      <c r="E1442" s="323" t="s">
        <v>125</v>
      </c>
      <c r="F1442" s="53" t="s">
        <v>2525</v>
      </c>
      <c r="G1442" s="53" t="s">
        <v>126</v>
      </c>
      <c r="H1442" s="351">
        <v>994</v>
      </c>
      <c r="I1442" s="55"/>
      <c r="J1442" s="55"/>
      <c r="K1442" s="55"/>
      <c r="L1442" s="55"/>
      <c r="M1442" s="55"/>
      <c r="N1442" s="55"/>
      <c r="O1442" s="55"/>
      <c r="P1442" s="55"/>
      <c r="Q1442" s="55"/>
      <c r="R1442" s="56"/>
      <c r="S1442" s="55"/>
      <c r="T1442" s="55"/>
      <c r="U1442" s="55"/>
      <c r="V1442" s="55"/>
      <c r="W1442" s="55"/>
      <c r="X1442" s="55"/>
      <c r="Y1442" s="55"/>
      <c r="Z1442" s="55"/>
      <c r="AA1442" s="55"/>
      <c r="AB1442" s="57" t="e">
        <f>100/(SUM(I1442:Z1442))</f>
        <v>#DIV/0!</v>
      </c>
      <c r="AC1442" s="259">
        <f>SUM(I1442:AA1442)</f>
        <v>0</v>
      </c>
      <c r="AD1442" s="55">
        <v>65</v>
      </c>
      <c r="AE1442" s="55"/>
      <c r="AF1442" s="55"/>
      <c r="AG1442" s="58"/>
      <c r="AH1442" s="186" t="s">
        <v>2072</v>
      </c>
      <c r="AI1442" s="59" t="s">
        <v>2071</v>
      </c>
      <c r="AJ1442" s="53"/>
      <c r="AK1442" s="53" t="s">
        <v>2073</v>
      </c>
      <c r="AL1442" s="58">
        <f>(B1442-DATE(1970,1,1))*86400</f>
        <v>1568678400</v>
      </c>
      <c r="AM1442" s="58">
        <f>(C1442-DATE(1970,1,1))*86400</f>
        <v>1569196800</v>
      </c>
      <c r="AN1442" s="58">
        <f>AVERAGE(AL1442:AM1442)</f>
        <v>1568937600</v>
      </c>
    </row>
    <row r="1443" spans="1:40" ht="15.75" customHeight="1" x14ac:dyDescent="0.2">
      <c r="A1443" s="280" t="s">
        <v>123</v>
      </c>
      <c r="B1443" s="108">
        <v>43709</v>
      </c>
      <c r="C1443" s="108">
        <v>43738</v>
      </c>
      <c r="D1443" s="76" t="s">
        <v>200</v>
      </c>
      <c r="E1443" s="320" t="s">
        <v>125</v>
      </c>
      <c r="F1443" s="76" t="s">
        <v>2531</v>
      </c>
      <c r="G1443" s="76" t="s">
        <v>126</v>
      </c>
      <c r="H1443" s="380">
        <v>800</v>
      </c>
      <c r="I1443" s="78"/>
      <c r="J1443" s="78"/>
      <c r="K1443" s="78"/>
      <c r="L1443" s="78"/>
      <c r="M1443" s="78"/>
      <c r="N1443" s="78"/>
      <c r="O1443" s="78"/>
      <c r="P1443" s="78"/>
      <c r="Q1443" s="78"/>
      <c r="R1443" s="78"/>
      <c r="S1443" s="78"/>
      <c r="T1443" s="78"/>
      <c r="U1443" s="78"/>
      <c r="V1443" s="78"/>
      <c r="W1443" s="78"/>
      <c r="X1443" s="78"/>
      <c r="Y1443" s="78"/>
      <c r="Z1443" s="78"/>
      <c r="AA1443" s="78">
        <v>0</v>
      </c>
      <c r="AB1443" s="79" t="e">
        <f>100/(SUM(I1443:Z1443))</f>
        <v>#DIV/0!</v>
      </c>
      <c r="AC1443" s="259">
        <f>SUM(I1443:AA1443)</f>
        <v>0</v>
      </c>
      <c r="AD1443" s="78"/>
      <c r="AE1443" s="78"/>
      <c r="AF1443" s="78"/>
      <c r="AG1443" s="80"/>
      <c r="AH1443" s="195" t="s">
        <v>1825</v>
      </c>
      <c r="AI1443" s="76"/>
      <c r="AJ1443" s="76"/>
      <c r="AK1443" s="76" t="s">
        <v>1824</v>
      </c>
      <c r="AL1443" s="80">
        <f>(B1443-DATE(1970,1,1))*86400</f>
        <v>1567296000</v>
      </c>
      <c r="AM1443" s="80">
        <f>(C1443-DATE(1970,1,1))*86400</f>
        <v>1569801600</v>
      </c>
      <c r="AN1443" s="80">
        <f>AVERAGE(AL1443:AM1443)</f>
        <v>1568548800</v>
      </c>
    </row>
    <row r="1444" spans="1:40" ht="15.75" customHeight="1" x14ac:dyDescent="0.2">
      <c r="A1444" s="280" t="s">
        <v>123</v>
      </c>
      <c r="B1444" s="108">
        <v>43709</v>
      </c>
      <c r="C1444" s="108">
        <v>43738</v>
      </c>
      <c r="D1444" s="76" t="s">
        <v>200</v>
      </c>
      <c r="E1444" s="320" t="s">
        <v>125</v>
      </c>
      <c r="F1444" s="76" t="s">
        <v>2532</v>
      </c>
      <c r="G1444" s="76" t="s">
        <v>126</v>
      </c>
      <c r="H1444" s="380">
        <v>800</v>
      </c>
      <c r="I1444" s="78"/>
      <c r="J1444" s="78"/>
      <c r="K1444" s="78"/>
      <c r="L1444" s="78"/>
      <c r="M1444" s="78"/>
      <c r="N1444" s="78"/>
      <c r="O1444" s="78"/>
      <c r="P1444" s="78"/>
      <c r="Q1444" s="78"/>
      <c r="R1444" s="78"/>
      <c r="S1444" s="78"/>
      <c r="T1444" s="78"/>
      <c r="U1444" s="78"/>
      <c r="V1444" s="78"/>
      <c r="W1444" s="78"/>
      <c r="X1444" s="78"/>
      <c r="Y1444" s="78"/>
      <c r="Z1444" s="78"/>
      <c r="AA1444" s="78">
        <v>0</v>
      </c>
      <c r="AB1444" s="79" t="e">
        <f>100/(SUM(I1444:Z1444))</f>
        <v>#DIV/0!</v>
      </c>
      <c r="AC1444" s="259">
        <f>SUM(I1444:AA1444)</f>
        <v>0</v>
      </c>
      <c r="AD1444" s="78"/>
      <c r="AE1444" s="78"/>
      <c r="AF1444" s="78"/>
      <c r="AG1444" s="80"/>
      <c r="AH1444" s="195" t="s">
        <v>1826</v>
      </c>
      <c r="AI1444" s="195" t="s">
        <v>1827</v>
      </c>
      <c r="AJ1444" s="76"/>
      <c r="AK1444" s="76" t="s">
        <v>1824</v>
      </c>
      <c r="AL1444" s="80">
        <f>(B1444-DATE(1970,1,1))*86400</f>
        <v>1567296000</v>
      </c>
      <c r="AM1444" s="80">
        <f>(C1444-DATE(1970,1,1))*86400</f>
        <v>1569801600</v>
      </c>
      <c r="AN1444" s="80">
        <f>AVERAGE(AL1444:AM1444)</f>
        <v>1568548800</v>
      </c>
    </row>
    <row r="1445" spans="1:40" ht="15.75" customHeight="1" x14ac:dyDescent="0.2">
      <c r="A1445" s="280" t="s">
        <v>123</v>
      </c>
      <c r="B1445" s="108">
        <v>43709</v>
      </c>
      <c r="C1445" s="108">
        <v>43738</v>
      </c>
      <c r="D1445" s="76" t="s">
        <v>200</v>
      </c>
      <c r="E1445" s="320" t="s">
        <v>125</v>
      </c>
      <c r="F1445" s="76" t="s">
        <v>2533</v>
      </c>
      <c r="G1445" s="76" t="s">
        <v>126</v>
      </c>
      <c r="H1445" s="380">
        <v>800</v>
      </c>
      <c r="I1445" s="78"/>
      <c r="J1445" s="78"/>
      <c r="K1445" s="78"/>
      <c r="L1445" s="78"/>
      <c r="M1445" s="78"/>
      <c r="N1445" s="78"/>
      <c r="O1445" s="78"/>
      <c r="P1445" s="78"/>
      <c r="Q1445" s="78"/>
      <c r="R1445" s="78"/>
      <c r="S1445" s="78"/>
      <c r="T1445" s="78"/>
      <c r="U1445" s="78"/>
      <c r="V1445" s="78"/>
      <c r="W1445" s="78"/>
      <c r="X1445" s="78"/>
      <c r="Y1445" s="78"/>
      <c r="Z1445" s="78"/>
      <c r="AA1445" s="78">
        <v>0</v>
      </c>
      <c r="AB1445" s="79" t="e">
        <f>100/(SUM(I1445:Z1445))</f>
        <v>#DIV/0!</v>
      </c>
      <c r="AC1445" s="259">
        <f>SUM(I1445:AA1445)</f>
        <v>0</v>
      </c>
      <c r="AD1445" s="78"/>
      <c r="AE1445" s="78"/>
      <c r="AF1445" s="78"/>
      <c r="AG1445" s="80"/>
      <c r="AH1445" s="195" t="s">
        <v>1825</v>
      </c>
      <c r="AI1445" s="76"/>
      <c r="AJ1445" s="76"/>
      <c r="AK1445" s="76" t="s">
        <v>1824</v>
      </c>
      <c r="AL1445" s="80">
        <f>(B1445-DATE(1970,1,1))*86400</f>
        <v>1567296000</v>
      </c>
      <c r="AM1445" s="80">
        <f>(C1445-DATE(1970,1,1))*86400</f>
        <v>1569801600</v>
      </c>
      <c r="AN1445" s="80">
        <f>AVERAGE(AL1445:AM1445)</f>
        <v>1568548800</v>
      </c>
    </row>
    <row r="1446" spans="1:40" ht="15.75" customHeight="1" x14ac:dyDescent="0.2">
      <c r="A1446" s="286" t="s">
        <v>133</v>
      </c>
      <c r="B1446" s="41">
        <v>43715</v>
      </c>
      <c r="C1446" s="41">
        <v>43723</v>
      </c>
      <c r="D1446" s="40" t="s">
        <v>148</v>
      </c>
      <c r="E1446" s="325" t="s">
        <v>125</v>
      </c>
      <c r="F1446" s="40"/>
      <c r="G1446" s="40" t="s">
        <v>149</v>
      </c>
      <c r="H1446" s="325">
        <v>1000</v>
      </c>
      <c r="I1446" s="42">
        <v>35</v>
      </c>
      <c r="J1446" s="42"/>
      <c r="K1446" s="42">
        <v>6</v>
      </c>
      <c r="L1446" s="42">
        <v>2</v>
      </c>
      <c r="M1446" s="42">
        <v>9</v>
      </c>
      <c r="N1446" s="42"/>
      <c r="O1446" s="42"/>
      <c r="P1446" s="42">
        <v>5</v>
      </c>
      <c r="Q1446" s="42"/>
      <c r="R1446" s="43">
        <v>7</v>
      </c>
      <c r="S1446" s="42"/>
      <c r="T1446" s="42"/>
      <c r="U1446" s="42"/>
      <c r="V1446" s="42">
        <v>2</v>
      </c>
      <c r="W1446" s="42"/>
      <c r="X1446" s="42">
        <v>2</v>
      </c>
      <c r="Y1446" s="42"/>
      <c r="Z1446" s="42">
        <v>1</v>
      </c>
      <c r="AA1446" s="42">
        <v>31</v>
      </c>
      <c r="AB1446" s="44">
        <f>100/(SUM(I1446:Z1446))</f>
        <v>1.4492753623188406</v>
      </c>
      <c r="AC1446" s="259">
        <f>SUM(I1446:AA1446)</f>
        <v>100</v>
      </c>
      <c r="AD1446" s="42"/>
      <c r="AE1446" s="42"/>
      <c r="AF1446" s="42"/>
      <c r="AG1446" s="45"/>
      <c r="AH1446" s="132" t="s">
        <v>1292</v>
      </c>
      <c r="AI1446" s="132" t="s">
        <v>1293</v>
      </c>
      <c r="AJ1446" s="132" t="s">
        <v>1294</v>
      </c>
      <c r="AK1446" s="40"/>
      <c r="AL1446" s="45">
        <f>(B1446-DATE(1970,1,1))*86400</f>
        <v>1567814400</v>
      </c>
      <c r="AM1446" s="45">
        <f>(C1446-DATE(1970,1,1))*86400</f>
        <v>1568505600</v>
      </c>
      <c r="AN1446" s="45">
        <f>AVERAGE(AL1446:AM1446)</f>
        <v>1568160000</v>
      </c>
    </row>
    <row r="1447" spans="1:40" ht="15.75" customHeight="1" x14ac:dyDescent="0.2">
      <c r="A1447" s="286" t="s">
        <v>123</v>
      </c>
      <c r="B1447" s="41">
        <v>43715</v>
      </c>
      <c r="C1447" s="41">
        <v>43723</v>
      </c>
      <c r="D1447" s="40" t="s">
        <v>148</v>
      </c>
      <c r="E1447" s="325" t="s">
        <v>125</v>
      </c>
      <c r="F1447" s="40"/>
      <c r="G1447" s="40" t="s">
        <v>149</v>
      </c>
      <c r="H1447" s="325">
        <v>1000</v>
      </c>
      <c r="I1447" s="42">
        <v>54</v>
      </c>
      <c r="J1447" s="42"/>
      <c r="K1447" s="42">
        <v>7</v>
      </c>
      <c r="L1447" s="42">
        <v>2</v>
      </c>
      <c r="M1447" s="42">
        <v>15</v>
      </c>
      <c r="N1447" s="42"/>
      <c r="O1447" s="42"/>
      <c r="P1447" s="42">
        <v>8</v>
      </c>
      <c r="Q1447" s="42"/>
      <c r="R1447" s="43">
        <v>9</v>
      </c>
      <c r="S1447" s="42"/>
      <c r="T1447" s="42"/>
      <c r="U1447" s="42"/>
      <c r="V1447" s="42">
        <v>1</v>
      </c>
      <c r="W1447" s="42"/>
      <c r="X1447" s="42">
        <v>3</v>
      </c>
      <c r="Y1447" s="42"/>
      <c r="Z1447" s="42">
        <v>1</v>
      </c>
      <c r="AA1447" s="42">
        <v>0</v>
      </c>
      <c r="AB1447" s="44">
        <f>100/(SUM(I1447:Z1447))</f>
        <v>1</v>
      </c>
      <c r="AC1447" s="259">
        <f>SUM(I1447:AA1447)</f>
        <v>100</v>
      </c>
      <c r="AD1447" s="42"/>
      <c r="AE1447" s="42"/>
      <c r="AF1447" s="42"/>
      <c r="AG1447" s="45"/>
      <c r="AH1447" s="132" t="s">
        <v>1292</v>
      </c>
      <c r="AI1447" s="132" t="s">
        <v>1293</v>
      </c>
      <c r="AJ1447" s="132" t="s">
        <v>1294</v>
      </c>
      <c r="AK1447" s="40"/>
      <c r="AL1447" s="45">
        <f>(B1447-DATE(1970,1,1))*86400</f>
        <v>1567814400</v>
      </c>
      <c r="AM1447" s="45">
        <f>(C1447-DATE(1970,1,1))*86400</f>
        <v>1568505600</v>
      </c>
      <c r="AN1447" s="45">
        <f>AVERAGE(AL1447:AM1447)</f>
        <v>1568160000</v>
      </c>
    </row>
    <row r="1448" spans="1:40" ht="15.75" customHeight="1" x14ac:dyDescent="0.2">
      <c r="A1448" s="281" t="s">
        <v>133</v>
      </c>
      <c r="B1448" s="54">
        <v>43713</v>
      </c>
      <c r="C1448" s="54">
        <v>43718</v>
      </c>
      <c r="D1448" s="53" t="s">
        <v>154</v>
      </c>
      <c r="E1448" s="323" t="s">
        <v>125</v>
      </c>
      <c r="F1448" s="53"/>
      <c r="G1448" s="53" t="s">
        <v>126</v>
      </c>
      <c r="H1448" s="378">
        <v>1004</v>
      </c>
      <c r="I1448" s="55">
        <v>31</v>
      </c>
      <c r="J1448" s="55"/>
      <c r="K1448" s="55">
        <v>7</v>
      </c>
      <c r="L1448" s="55">
        <v>1</v>
      </c>
      <c r="M1448" s="55">
        <v>7</v>
      </c>
      <c r="N1448" s="55"/>
      <c r="O1448" s="55"/>
      <c r="P1448" s="55">
        <v>7</v>
      </c>
      <c r="Q1448" s="55"/>
      <c r="R1448" s="56">
        <v>6</v>
      </c>
      <c r="S1448" s="55"/>
      <c r="T1448" s="55"/>
      <c r="U1448" s="55"/>
      <c r="V1448" s="55">
        <v>1</v>
      </c>
      <c r="W1448" s="55"/>
      <c r="X1448" s="55">
        <v>0</v>
      </c>
      <c r="Y1448" s="55"/>
      <c r="Z1448" s="55">
        <v>0</v>
      </c>
      <c r="AA1448" s="55">
        <v>40</v>
      </c>
      <c r="AB1448" s="57">
        <f>100/(SUM(I1448:Z1448))</f>
        <v>1.6666666666666667</v>
      </c>
      <c r="AC1448" s="259">
        <f>SUM(I1448:AA1448)</f>
        <v>100</v>
      </c>
      <c r="AD1448" s="55"/>
      <c r="AE1448" s="55"/>
      <c r="AF1448" s="55"/>
      <c r="AG1448" s="58"/>
      <c r="AH1448" s="59" t="s">
        <v>1257</v>
      </c>
      <c r="AI1448" s="59"/>
      <c r="AJ1448" s="59"/>
      <c r="AK1448" s="53" t="s">
        <v>1265</v>
      </c>
      <c r="AL1448" s="58">
        <f>(B1448-DATE(1970,1,1))*86400</f>
        <v>1567641600</v>
      </c>
      <c r="AM1448" s="58">
        <f>(C1448-DATE(1970,1,1))*86400</f>
        <v>1568073600</v>
      </c>
      <c r="AN1448" s="58">
        <f>AVERAGE(AL1448:AM1448)</f>
        <v>1567857600</v>
      </c>
    </row>
    <row r="1449" spans="1:40" ht="15.75" customHeight="1" x14ac:dyDescent="0.2">
      <c r="A1449" s="281" t="s">
        <v>123</v>
      </c>
      <c r="B1449" s="54">
        <v>43713</v>
      </c>
      <c r="C1449" s="54">
        <v>43718</v>
      </c>
      <c r="D1449" s="53" t="s">
        <v>154</v>
      </c>
      <c r="E1449" s="323" t="s">
        <v>125</v>
      </c>
      <c r="F1449" s="53"/>
      <c r="G1449" s="53" t="s">
        <v>126</v>
      </c>
      <c r="H1449" s="378">
        <v>1004</v>
      </c>
      <c r="I1449" s="55">
        <v>40</v>
      </c>
      <c r="J1449" s="55"/>
      <c r="K1449" s="55">
        <v>8</v>
      </c>
      <c r="L1449" s="55">
        <v>1</v>
      </c>
      <c r="M1449" s="55">
        <v>9</v>
      </c>
      <c r="N1449" s="55"/>
      <c r="O1449" s="55"/>
      <c r="P1449" s="55">
        <v>9</v>
      </c>
      <c r="Q1449" s="55"/>
      <c r="R1449" s="56">
        <v>7</v>
      </c>
      <c r="S1449" s="55"/>
      <c r="T1449" s="55"/>
      <c r="U1449" s="55"/>
      <c r="V1449" s="55">
        <v>1</v>
      </c>
      <c r="W1449" s="55"/>
      <c r="X1449" s="55">
        <v>1</v>
      </c>
      <c r="Y1449" s="55"/>
      <c r="Z1449" s="55">
        <v>0</v>
      </c>
      <c r="AA1449" s="55">
        <v>24</v>
      </c>
      <c r="AB1449" s="57">
        <f>100/(SUM(I1449:Z1449))</f>
        <v>1.3157894736842106</v>
      </c>
      <c r="AC1449" s="259">
        <f>SUM(I1449:AA1449)</f>
        <v>100</v>
      </c>
      <c r="AD1449" s="55"/>
      <c r="AE1449" s="55"/>
      <c r="AF1449" s="55"/>
      <c r="AG1449" s="58"/>
      <c r="AH1449" s="53" t="s">
        <v>1144</v>
      </c>
      <c r="AI1449" s="59"/>
      <c r="AJ1449" s="53"/>
      <c r="AK1449" s="53" t="s">
        <v>1266</v>
      </c>
      <c r="AL1449" s="58">
        <f>(B1449-DATE(1970,1,1))*86400</f>
        <v>1567641600</v>
      </c>
      <c r="AM1449" s="58">
        <f>(C1449-DATE(1970,1,1))*86400</f>
        <v>1568073600</v>
      </c>
      <c r="AN1449" s="58">
        <f>AVERAGE(AL1449:AM1449)</f>
        <v>1567857600</v>
      </c>
    </row>
    <row r="1450" spans="1:40" ht="15.75" customHeight="1" x14ac:dyDescent="0.2">
      <c r="A1450" s="281" t="s">
        <v>123</v>
      </c>
      <c r="B1450" s="54">
        <v>43713</v>
      </c>
      <c r="C1450" s="54">
        <v>43718</v>
      </c>
      <c r="D1450" s="53" t="s">
        <v>154</v>
      </c>
      <c r="E1450" s="323" t="s">
        <v>125</v>
      </c>
      <c r="F1450" s="53"/>
      <c r="G1450" s="53" t="s">
        <v>126</v>
      </c>
      <c r="H1450" s="378">
        <v>1004</v>
      </c>
      <c r="I1450" s="55">
        <v>53</v>
      </c>
      <c r="J1450" s="55"/>
      <c r="K1450" s="55">
        <v>9</v>
      </c>
      <c r="L1450" s="55">
        <v>2</v>
      </c>
      <c r="M1450" s="55">
        <v>11</v>
      </c>
      <c r="N1450" s="55"/>
      <c r="O1450" s="55"/>
      <c r="P1450" s="55">
        <v>11</v>
      </c>
      <c r="Q1450" s="55"/>
      <c r="R1450" s="56">
        <v>9</v>
      </c>
      <c r="S1450" s="55"/>
      <c r="T1450" s="55"/>
      <c r="U1450" s="55"/>
      <c r="V1450" s="55">
        <v>2</v>
      </c>
      <c r="W1450" s="55"/>
      <c r="X1450" s="55">
        <v>1</v>
      </c>
      <c r="Y1450" s="55"/>
      <c r="Z1450" s="55">
        <v>1</v>
      </c>
      <c r="AA1450" s="55">
        <v>0</v>
      </c>
      <c r="AB1450" s="57">
        <f>100/(SUM(I1450:Z1450))</f>
        <v>1.0101010101010102</v>
      </c>
      <c r="AC1450" s="259">
        <f>SUM(I1450:AA1450)</f>
        <v>99</v>
      </c>
      <c r="AD1450" s="55"/>
      <c r="AE1450" s="55"/>
      <c r="AF1450" s="55"/>
      <c r="AG1450" s="58"/>
      <c r="AH1450" s="53" t="s">
        <v>1144</v>
      </c>
      <c r="AI1450" s="59"/>
      <c r="AJ1450" s="53"/>
      <c r="AK1450" s="53" t="s">
        <v>1266</v>
      </c>
      <c r="AL1450" s="58">
        <f>(B1450-DATE(1970,1,1))*86400</f>
        <v>1567641600</v>
      </c>
      <c r="AM1450" s="58">
        <f>(C1450-DATE(1970,1,1))*86400</f>
        <v>1568073600</v>
      </c>
      <c r="AN1450" s="58">
        <f>AVERAGE(AL1450:AM1450)</f>
        <v>1567857600</v>
      </c>
    </row>
    <row r="1451" spans="1:40" ht="15.75" customHeight="1" x14ac:dyDescent="0.2">
      <c r="A1451" s="302" t="s">
        <v>123</v>
      </c>
      <c r="B1451" s="254">
        <v>43710</v>
      </c>
      <c r="C1451" s="254">
        <v>43710</v>
      </c>
      <c r="D1451" s="262" t="s">
        <v>2445</v>
      </c>
      <c r="E1451" s="322" t="s">
        <v>184</v>
      </c>
      <c r="F1451" s="121" t="s">
        <v>2007</v>
      </c>
      <c r="G1451" s="262" t="s">
        <v>244</v>
      </c>
      <c r="H1451" s="379">
        <v>500</v>
      </c>
      <c r="I1451" s="123">
        <v>51</v>
      </c>
      <c r="J1451" s="123">
        <v>10</v>
      </c>
      <c r="K1451" s="123">
        <v>7</v>
      </c>
      <c r="L1451" s="123">
        <v>2</v>
      </c>
      <c r="M1451" s="123">
        <v>11</v>
      </c>
      <c r="N1451" s="123"/>
      <c r="O1451" s="123"/>
      <c r="P1451" s="123">
        <v>14</v>
      </c>
      <c r="Q1451" s="123"/>
      <c r="R1451" s="124"/>
      <c r="S1451" s="123"/>
      <c r="T1451" s="123"/>
      <c r="U1451" s="123"/>
      <c r="V1451" s="123"/>
      <c r="W1451" s="123"/>
      <c r="X1451" s="123">
        <v>1</v>
      </c>
      <c r="Y1451" s="123"/>
      <c r="Z1451" s="123"/>
      <c r="AA1451" s="123">
        <v>0</v>
      </c>
      <c r="AB1451" s="125">
        <f>100/(SUM(I1451:Z1451))</f>
        <v>1.0416666666666667</v>
      </c>
      <c r="AC1451" s="259">
        <f>SUM(I1451:AA1451)</f>
        <v>96</v>
      </c>
      <c r="AD1451" s="123"/>
      <c r="AE1451" s="123"/>
      <c r="AF1451" s="123"/>
      <c r="AG1451" s="263" t="s">
        <v>719</v>
      </c>
      <c r="AH1451" s="253" t="s">
        <v>2001</v>
      </c>
      <c r="AI1451" s="253" t="s">
        <v>2006</v>
      </c>
      <c r="AJ1451" s="127"/>
      <c r="AK1451" s="121" t="s">
        <v>2002</v>
      </c>
      <c r="AL1451" s="126">
        <f>(B1451-DATE(1970,1,1))*86400</f>
        <v>1567382400</v>
      </c>
      <c r="AM1451" s="126">
        <f>(C1451-DATE(1970,1,1))*86400</f>
        <v>1567382400</v>
      </c>
      <c r="AN1451" s="126">
        <f>AVERAGE(AL1451:AM1451)</f>
        <v>1567382400</v>
      </c>
    </row>
    <row r="1452" spans="1:40" ht="15.75" customHeight="1" x14ac:dyDescent="0.2">
      <c r="A1452" s="281" t="s">
        <v>133</v>
      </c>
      <c r="B1452" s="54">
        <v>43689</v>
      </c>
      <c r="C1452" s="54">
        <v>43704</v>
      </c>
      <c r="D1452" s="53" t="s">
        <v>154</v>
      </c>
      <c r="E1452" s="323" t="s">
        <v>125</v>
      </c>
      <c r="F1452" s="53"/>
      <c r="G1452" s="53" t="s">
        <v>126</v>
      </c>
      <c r="H1452" s="323">
        <v>1001</v>
      </c>
      <c r="I1452" s="55">
        <v>30</v>
      </c>
      <c r="J1452" s="55"/>
      <c r="K1452" s="55">
        <v>7</v>
      </c>
      <c r="L1452" s="55">
        <v>1</v>
      </c>
      <c r="M1452" s="55">
        <v>8</v>
      </c>
      <c r="N1452" s="56"/>
      <c r="O1452" s="56"/>
      <c r="P1452" s="55">
        <v>7</v>
      </c>
      <c r="Q1452" s="55"/>
      <c r="R1452" s="55">
        <v>7</v>
      </c>
      <c r="S1452" s="55"/>
      <c r="T1452" s="55"/>
      <c r="U1452" s="55"/>
      <c r="V1452" s="55">
        <v>1</v>
      </c>
      <c r="W1452" s="55"/>
      <c r="X1452" s="55">
        <v>0</v>
      </c>
      <c r="Y1452" s="55"/>
      <c r="Z1452" s="55">
        <v>0</v>
      </c>
      <c r="AA1452" s="55">
        <v>39</v>
      </c>
      <c r="AB1452" s="57">
        <f>100/(SUM(I1452:Z1452))</f>
        <v>1.639344262295082</v>
      </c>
      <c r="AC1452" s="259">
        <f>SUM(I1452:AA1452)</f>
        <v>100</v>
      </c>
      <c r="AD1452" s="55"/>
      <c r="AE1452" s="55"/>
      <c r="AF1452" s="55"/>
      <c r="AG1452" s="58"/>
      <c r="AH1452" s="59" t="s">
        <v>1295</v>
      </c>
      <c r="AI1452" s="59"/>
      <c r="AJ1452" s="59"/>
      <c r="AK1452" s="53"/>
      <c r="AL1452" s="58">
        <f>(B1452-DATE(1970,1,1))*86400</f>
        <v>1565568000</v>
      </c>
      <c r="AM1452" s="58">
        <f>(C1452-DATE(1970,1,1))*86400</f>
        <v>1566864000</v>
      </c>
      <c r="AN1452" s="58">
        <f>AVERAGE(AL1452:AM1452)</f>
        <v>1566216000</v>
      </c>
    </row>
    <row r="1453" spans="1:40" ht="15.75" customHeight="1" x14ac:dyDescent="0.2">
      <c r="A1453" s="281" t="s">
        <v>123</v>
      </c>
      <c r="B1453" s="54">
        <v>43689</v>
      </c>
      <c r="C1453" s="54">
        <v>43704</v>
      </c>
      <c r="D1453" s="53" t="s">
        <v>154</v>
      </c>
      <c r="E1453" s="323" t="s">
        <v>125</v>
      </c>
      <c r="F1453" s="53"/>
      <c r="G1453" s="53" t="s">
        <v>126</v>
      </c>
      <c r="H1453" s="323">
        <v>1001</v>
      </c>
      <c r="I1453" s="55">
        <v>39</v>
      </c>
      <c r="J1453" s="55"/>
      <c r="K1453" s="55">
        <v>9</v>
      </c>
      <c r="L1453" s="55">
        <v>1</v>
      </c>
      <c r="M1453" s="55">
        <v>10</v>
      </c>
      <c r="N1453" s="56"/>
      <c r="O1453" s="56"/>
      <c r="P1453" s="55">
        <v>9</v>
      </c>
      <c r="Q1453" s="55"/>
      <c r="R1453" s="55">
        <v>8</v>
      </c>
      <c r="S1453" s="55"/>
      <c r="T1453" s="55"/>
      <c r="U1453" s="55"/>
      <c r="V1453" s="55">
        <v>1</v>
      </c>
      <c r="W1453" s="55"/>
      <c r="X1453" s="55">
        <v>1</v>
      </c>
      <c r="Y1453" s="55"/>
      <c r="Z1453" s="55">
        <v>0</v>
      </c>
      <c r="AA1453" s="55">
        <v>22</v>
      </c>
      <c r="AB1453" s="57">
        <f>100/(SUM(I1453:Z1453))</f>
        <v>1.2820512820512822</v>
      </c>
      <c r="AC1453" s="259">
        <f>SUM(I1453:AA1453)</f>
        <v>100</v>
      </c>
      <c r="AD1453" s="55"/>
      <c r="AE1453" s="55"/>
      <c r="AF1453" s="55"/>
      <c r="AG1453" s="58"/>
      <c r="AH1453" s="59" t="s">
        <v>1295</v>
      </c>
      <c r="AI1453" s="59"/>
      <c r="AJ1453" s="59"/>
      <c r="AK1453" s="53"/>
      <c r="AL1453" s="58">
        <f>(B1453-DATE(1970,1,1))*86400</f>
        <v>1565568000</v>
      </c>
      <c r="AM1453" s="58">
        <f>(C1453-DATE(1970,1,1))*86400</f>
        <v>1566864000</v>
      </c>
      <c r="AN1453" s="58">
        <f>AVERAGE(AL1453:AM1453)</f>
        <v>1566216000</v>
      </c>
    </row>
    <row r="1454" spans="1:40" ht="15.75" customHeight="1" x14ac:dyDescent="0.2">
      <c r="A1454" s="281" t="s">
        <v>123</v>
      </c>
      <c r="B1454" s="54">
        <v>43689</v>
      </c>
      <c r="C1454" s="54">
        <v>43704</v>
      </c>
      <c r="D1454" s="53" t="s">
        <v>154</v>
      </c>
      <c r="E1454" s="323" t="s">
        <v>125</v>
      </c>
      <c r="F1454" s="53"/>
      <c r="G1454" s="53" t="s">
        <v>126</v>
      </c>
      <c r="H1454" s="323">
        <v>1001</v>
      </c>
      <c r="I1454" s="55">
        <v>52</v>
      </c>
      <c r="J1454" s="55"/>
      <c r="K1454" s="55">
        <v>10</v>
      </c>
      <c r="L1454" s="55">
        <v>2</v>
      </c>
      <c r="M1454" s="55">
        <v>12</v>
      </c>
      <c r="N1454" s="56"/>
      <c r="O1454" s="56"/>
      <c r="P1454" s="55">
        <v>11</v>
      </c>
      <c r="Q1454" s="55"/>
      <c r="R1454" s="55">
        <v>10</v>
      </c>
      <c r="S1454" s="55"/>
      <c r="T1454" s="55"/>
      <c r="U1454" s="55"/>
      <c r="V1454" s="55">
        <v>2</v>
      </c>
      <c r="W1454" s="55"/>
      <c r="X1454" s="55">
        <v>1</v>
      </c>
      <c r="Y1454" s="55"/>
      <c r="Z1454" s="56">
        <v>0</v>
      </c>
      <c r="AA1454" s="55">
        <v>0</v>
      </c>
      <c r="AB1454" s="57">
        <f>100/(SUM(I1454:Z1454))</f>
        <v>1</v>
      </c>
      <c r="AC1454" s="259">
        <f>SUM(I1454:AA1454)</f>
        <v>100</v>
      </c>
      <c r="AD1454" s="55"/>
      <c r="AE1454" s="55"/>
      <c r="AF1454" s="55"/>
      <c r="AG1454" s="58"/>
      <c r="AH1454" s="59" t="s">
        <v>1295</v>
      </c>
      <c r="AI1454" s="59"/>
      <c r="AJ1454" s="59"/>
      <c r="AK1454" s="53"/>
      <c r="AL1454" s="58">
        <f>(B1454-DATE(1970,1,1))*86400</f>
        <v>1565568000</v>
      </c>
      <c r="AM1454" s="58">
        <f>(C1454-DATE(1970,1,1))*86400</f>
        <v>1566864000</v>
      </c>
      <c r="AN1454" s="58">
        <f>AVERAGE(AL1454:AM1454)</f>
        <v>1566216000</v>
      </c>
    </row>
    <row r="1455" spans="1:40" ht="15.75" customHeight="1" x14ac:dyDescent="0.2">
      <c r="A1455" s="279" t="s">
        <v>133</v>
      </c>
      <c r="B1455" s="14">
        <v>43678</v>
      </c>
      <c r="C1455" s="14">
        <v>43703</v>
      </c>
      <c r="D1455" s="13" t="s">
        <v>124</v>
      </c>
      <c r="E1455" s="324" t="s">
        <v>125</v>
      </c>
      <c r="F1455" s="13"/>
      <c r="G1455" s="13" t="s">
        <v>149</v>
      </c>
      <c r="H1455" s="372">
        <v>5000</v>
      </c>
      <c r="I1455" s="15">
        <v>41</v>
      </c>
      <c r="J1455" s="15"/>
      <c r="K1455" s="15">
        <v>6</v>
      </c>
      <c r="L1455" s="15">
        <v>2</v>
      </c>
      <c r="M1455" s="15">
        <v>7</v>
      </c>
      <c r="N1455" s="15"/>
      <c r="O1455" s="15"/>
      <c r="P1455" s="15">
        <v>7</v>
      </c>
      <c r="Q1455" s="15"/>
      <c r="R1455" s="15">
        <v>5</v>
      </c>
      <c r="S1455" s="15"/>
      <c r="T1455" s="15"/>
      <c r="U1455" s="15"/>
      <c r="V1455" s="15">
        <v>3</v>
      </c>
      <c r="W1455" s="15"/>
      <c r="X1455" s="15">
        <v>2</v>
      </c>
      <c r="Y1455" s="15"/>
      <c r="Z1455" s="15"/>
      <c r="AA1455" s="15">
        <v>27</v>
      </c>
      <c r="AB1455" s="16">
        <f>100/(SUM(I1455:Z1455))</f>
        <v>1.3698630136986301</v>
      </c>
      <c r="AC1455" s="259">
        <f>SUM(I1455:AA1455)</f>
        <v>100</v>
      </c>
      <c r="AD1455" s="15"/>
      <c r="AE1455" s="15"/>
      <c r="AF1455" s="15"/>
      <c r="AG1455" s="17"/>
      <c r="AH1455" s="18" t="s">
        <v>1296</v>
      </c>
      <c r="AI1455" s="18" t="s">
        <v>1297</v>
      </c>
      <c r="AJ1455" s="18"/>
      <c r="AK1455" s="13" t="s">
        <v>1298</v>
      </c>
      <c r="AL1455" s="17">
        <f>(B1455-DATE(1970,1,1))*86400</f>
        <v>1564617600</v>
      </c>
      <c r="AM1455" s="17">
        <f>(C1455-DATE(1970,1,1))*86400</f>
        <v>1566777600</v>
      </c>
      <c r="AN1455" s="17">
        <f>AVERAGE(AL1455:AM1455)</f>
        <v>1565697600</v>
      </c>
    </row>
    <row r="1456" spans="1:40" ht="15.75" customHeight="1" x14ac:dyDescent="0.2">
      <c r="A1456" s="279" t="s">
        <v>123</v>
      </c>
      <c r="B1456" s="14">
        <v>43678</v>
      </c>
      <c r="C1456" s="14">
        <v>43703</v>
      </c>
      <c r="D1456" s="13" t="s">
        <v>124</v>
      </c>
      <c r="E1456" s="324" t="s">
        <v>125</v>
      </c>
      <c r="F1456" s="13"/>
      <c r="G1456" s="13" t="s">
        <v>149</v>
      </c>
      <c r="H1456" s="372">
        <v>5000</v>
      </c>
      <c r="I1456" s="15">
        <v>53</v>
      </c>
      <c r="J1456" s="15"/>
      <c r="K1456" s="15">
        <v>8</v>
      </c>
      <c r="L1456" s="15">
        <v>3</v>
      </c>
      <c r="M1456" s="15">
        <v>11</v>
      </c>
      <c r="N1456" s="15"/>
      <c r="O1456" s="15"/>
      <c r="P1456" s="15">
        <v>11</v>
      </c>
      <c r="Q1456" s="15"/>
      <c r="R1456" s="15">
        <v>6</v>
      </c>
      <c r="S1456" s="15"/>
      <c r="T1456" s="15"/>
      <c r="U1456" s="15"/>
      <c r="V1456" s="15">
        <v>4</v>
      </c>
      <c r="W1456" s="15"/>
      <c r="X1456" s="15">
        <v>3</v>
      </c>
      <c r="Y1456" s="15"/>
      <c r="Z1456" s="15"/>
      <c r="AA1456" s="15">
        <v>0</v>
      </c>
      <c r="AB1456" s="16">
        <f>100/(SUM(I1456:Z1456))</f>
        <v>1.0101010101010102</v>
      </c>
      <c r="AC1456" s="259">
        <f>SUM(I1456:AA1456)</f>
        <v>99</v>
      </c>
      <c r="AD1456" s="15"/>
      <c r="AE1456" s="15"/>
      <c r="AF1456" s="15"/>
      <c r="AG1456" s="17"/>
      <c r="AH1456" s="18" t="s">
        <v>1296</v>
      </c>
      <c r="AI1456" s="18" t="s">
        <v>1297</v>
      </c>
      <c r="AJ1456" s="18"/>
      <c r="AK1456" s="13"/>
      <c r="AL1456" s="17">
        <f>(B1456-DATE(1970,1,1))*86400</f>
        <v>1564617600</v>
      </c>
      <c r="AM1456" s="17">
        <f>(C1456-DATE(1970,1,1))*86400</f>
        <v>1566777600</v>
      </c>
      <c r="AN1456" s="17">
        <f>AVERAGE(AL1456:AM1456)</f>
        <v>1565697600</v>
      </c>
    </row>
    <row r="1457" spans="1:40" ht="15.75" customHeight="1" x14ac:dyDescent="0.2">
      <c r="A1457" s="286" t="s">
        <v>133</v>
      </c>
      <c r="B1457" s="106">
        <v>43678</v>
      </c>
      <c r="C1457" s="106">
        <v>43692</v>
      </c>
      <c r="D1457" s="40" t="s">
        <v>148</v>
      </c>
      <c r="E1457" s="325" t="s">
        <v>125</v>
      </c>
      <c r="F1457" s="40"/>
      <c r="G1457" s="40" t="s">
        <v>149</v>
      </c>
      <c r="H1457" s="325">
        <v>1000</v>
      </c>
      <c r="I1457" s="42">
        <v>34</v>
      </c>
      <c r="J1457" s="42"/>
      <c r="K1457" s="42">
        <v>7</v>
      </c>
      <c r="L1457" s="42">
        <v>2</v>
      </c>
      <c r="M1457" s="42">
        <v>9</v>
      </c>
      <c r="N1457" s="42"/>
      <c r="O1457" s="42"/>
      <c r="P1457" s="42">
        <v>5</v>
      </c>
      <c r="Q1457" s="42"/>
      <c r="R1457" s="43">
        <v>7</v>
      </c>
      <c r="S1457" s="42"/>
      <c r="T1457" s="42"/>
      <c r="U1457" s="42"/>
      <c r="V1457" s="42">
        <v>2</v>
      </c>
      <c r="W1457" s="42"/>
      <c r="X1457" s="42">
        <v>2</v>
      </c>
      <c r="Y1457" s="42"/>
      <c r="Z1457" s="42">
        <v>2</v>
      </c>
      <c r="AA1457" s="42">
        <v>30</v>
      </c>
      <c r="AB1457" s="44">
        <f>100/(SUM(I1457:Z1457))</f>
        <v>1.4285714285714286</v>
      </c>
      <c r="AC1457" s="259">
        <f>SUM(I1457:AA1457)</f>
        <v>100</v>
      </c>
      <c r="AD1457" s="42"/>
      <c r="AE1457" s="42"/>
      <c r="AF1457" s="42"/>
      <c r="AG1457" s="45"/>
      <c r="AH1457" s="132"/>
      <c r="AI1457" s="132" t="s">
        <v>1299</v>
      </c>
      <c r="AJ1457" s="132" t="s">
        <v>1300</v>
      </c>
      <c r="AK1457" s="40" t="s">
        <v>1301</v>
      </c>
      <c r="AL1457" s="45">
        <f>(B1457-DATE(1970,1,1))*86400</f>
        <v>1564617600</v>
      </c>
      <c r="AM1457" s="45">
        <f>(C1457-DATE(1970,1,1))*86400</f>
        <v>1565827200</v>
      </c>
      <c r="AN1457" s="45">
        <f>AVERAGE(AL1457:AM1457)</f>
        <v>1565222400</v>
      </c>
    </row>
    <row r="1458" spans="1:40" ht="15.75" customHeight="1" x14ac:dyDescent="0.2">
      <c r="A1458" s="286" t="s">
        <v>123</v>
      </c>
      <c r="B1458" s="106">
        <v>43678</v>
      </c>
      <c r="C1458" s="106">
        <v>43692</v>
      </c>
      <c r="D1458" s="40" t="s">
        <v>148</v>
      </c>
      <c r="E1458" s="325" t="s">
        <v>125</v>
      </c>
      <c r="F1458" s="40"/>
      <c r="G1458" s="40" t="s">
        <v>149</v>
      </c>
      <c r="H1458" s="325">
        <v>1000</v>
      </c>
      <c r="I1458" s="42">
        <v>53</v>
      </c>
      <c r="J1458" s="42"/>
      <c r="K1458" s="42">
        <v>9</v>
      </c>
      <c r="L1458" s="42">
        <v>2</v>
      </c>
      <c r="M1458" s="42">
        <v>14</v>
      </c>
      <c r="N1458" s="42"/>
      <c r="O1458" s="42"/>
      <c r="P1458" s="42">
        <v>7</v>
      </c>
      <c r="Q1458" s="42"/>
      <c r="R1458" s="43">
        <v>8</v>
      </c>
      <c r="S1458" s="42"/>
      <c r="T1458" s="42"/>
      <c r="U1458" s="42"/>
      <c r="V1458" s="42">
        <v>2</v>
      </c>
      <c r="W1458" s="42"/>
      <c r="X1458" s="42">
        <v>3</v>
      </c>
      <c r="Y1458" s="42"/>
      <c r="Z1458" s="42">
        <v>2</v>
      </c>
      <c r="AA1458" s="42">
        <v>0</v>
      </c>
      <c r="AB1458" s="44">
        <f>100/(SUM(I1458:Z1458))</f>
        <v>1</v>
      </c>
      <c r="AC1458" s="259">
        <f>SUM(I1458:AA1458)</f>
        <v>100</v>
      </c>
      <c r="AD1458" s="42"/>
      <c r="AE1458" s="42"/>
      <c r="AF1458" s="42"/>
      <c r="AG1458" s="45"/>
      <c r="AH1458" s="132"/>
      <c r="AI1458" s="132" t="s">
        <v>1299</v>
      </c>
      <c r="AJ1458" s="132" t="s">
        <v>1300</v>
      </c>
      <c r="AK1458" s="40"/>
      <c r="AL1458" s="45">
        <f>(B1458-DATE(1970,1,1))*86400</f>
        <v>1564617600</v>
      </c>
      <c r="AM1458" s="45">
        <f>(C1458-DATE(1970,1,1))*86400</f>
        <v>1565827200</v>
      </c>
      <c r="AN1458" s="45">
        <f>AVERAGE(AL1458:AM1458)</f>
        <v>1565222400</v>
      </c>
    </row>
    <row r="1459" spans="1:40" ht="15.75" customHeight="1" x14ac:dyDescent="0.2">
      <c r="A1459" s="302" t="s">
        <v>123</v>
      </c>
      <c r="B1459" s="254">
        <v>43684</v>
      </c>
      <c r="C1459" s="254">
        <v>43684</v>
      </c>
      <c r="D1459" s="262" t="s">
        <v>2445</v>
      </c>
      <c r="E1459" s="322" t="s">
        <v>184</v>
      </c>
      <c r="F1459" s="121" t="s">
        <v>2007</v>
      </c>
      <c r="G1459" s="262" t="s">
        <v>244</v>
      </c>
      <c r="H1459" s="379">
        <v>500</v>
      </c>
      <c r="I1459" s="123">
        <v>52</v>
      </c>
      <c r="J1459" s="123">
        <v>10</v>
      </c>
      <c r="K1459" s="123">
        <v>9</v>
      </c>
      <c r="L1459" s="123">
        <v>6</v>
      </c>
      <c r="M1459" s="123">
        <v>7</v>
      </c>
      <c r="N1459" s="123"/>
      <c r="O1459" s="123"/>
      <c r="P1459" s="123">
        <v>7</v>
      </c>
      <c r="Q1459" s="123"/>
      <c r="R1459" s="124"/>
      <c r="S1459" s="123"/>
      <c r="T1459" s="123"/>
      <c r="U1459" s="123"/>
      <c r="V1459" s="123"/>
      <c r="W1459" s="123"/>
      <c r="X1459" s="123">
        <v>2</v>
      </c>
      <c r="Y1459" s="123"/>
      <c r="Z1459" s="123"/>
      <c r="AA1459" s="123">
        <v>0</v>
      </c>
      <c r="AB1459" s="125">
        <f>100/(SUM(I1459:Z1459))</f>
        <v>1.075268817204301</v>
      </c>
      <c r="AC1459" s="259">
        <f>SUM(I1459:AA1459)</f>
        <v>93</v>
      </c>
      <c r="AD1459" s="123"/>
      <c r="AE1459" s="123"/>
      <c r="AF1459" s="123"/>
      <c r="AG1459" s="263" t="s">
        <v>719</v>
      </c>
      <c r="AH1459" s="253" t="s">
        <v>2001</v>
      </c>
      <c r="AI1459" s="253"/>
      <c r="AJ1459" s="127"/>
      <c r="AK1459" s="121" t="s">
        <v>2002</v>
      </c>
      <c r="AL1459" s="126">
        <f>(B1459-DATE(1970,1,1))*86400</f>
        <v>1565136000</v>
      </c>
      <c r="AM1459" s="126">
        <f>(C1459-DATE(1970,1,1))*86400</f>
        <v>1565136000</v>
      </c>
      <c r="AN1459" s="126">
        <f>AVERAGE(AL1459:AM1459)</f>
        <v>1565136000</v>
      </c>
    </row>
    <row r="1460" spans="1:40" ht="15.75" customHeight="1" x14ac:dyDescent="0.2">
      <c r="A1460" s="284" t="s">
        <v>133</v>
      </c>
      <c r="B1460" s="20">
        <v>43669</v>
      </c>
      <c r="C1460" s="20">
        <v>43672</v>
      </c>
      <c r="D1460" s="19" t="s">
        <v>134</v>
      </c>
      <c r="E1460" s="332" t="s">
        <v>125</v>
      </c>
      <c r="F1460" s="19"/>
      <c r="G1460" s="19" t="s">
        <v>135</v>
      </c>
      <c r="H1460" s="332">
        <v>2000</v>
      </c>
      <c r="I1460" s="21">
        <v>31</v>
      </c>
      <c r="J1460" s="21"/>
      <c r="K1460" s="21">
        <v>7</v>
      </c>
      <c r="L1460" s="21">
        <v>2</v>
      </c>
      <c r="M1460" s="21">
        <v>10</v>
      </c>
      <c r="N1460" s="21"/>
      <c r="O1460" s="21"/>
      <c r="P1460" s="21">
        <v>5</v>
      </c>
      <c r="Q1460" s="21"/>
      <c r="R1460" s="22">
        <v>6</v>
      </c>
      <c r="S1460" s="21"/>
      <c r="T1460" s="21"/>
      <c r="U1460" s="21"/>
      <c r="V1460" s="21">
        <v>3</v>
      </c>
      <c r="W1460" s="21"/>
      <c r="X1460" s="21">
        <v>1</v>
      </c>
      <c r="Y1460" s="21"/>
      <c r="Z1460" s="21">
        <v>1</v>
      </c>
      <c r="AA1460" s="21">
        <v>34</v>
      </c>
      <c r="AB1460" s="23">
        <f>100/(SUM(I1460:Z1460))</f>
        <v>1.5151515151515151</v>
      </c>
      <c r="AC1460" s="259">
        <f>SUM(I1460:AA1460)</f>
        <v>100</v>
      </c>
      <c r="AD1460" s="21"/>
      <c r="AE1460" s="21"/>
      <c r="AF1460" s="21"/>
      <c r="AG1460" s="25"/>
      <c r="AH1460" s="83" t="s">
        <v>1302</v>
      </c>
      <c r="AI1460" s="83" t="s">
        <v>1303</v>
      </c>
      <c r="AJ1460" s="19"/>
      <c r="AK1460" s="19"/>
      <c r="AL1460" s="25">
        <f>(B1460-DATE(1970,1,1))*86400</f>
        <v>1563840000</v>
      </c>
      <c r="AM1460" s="25">
        <f>(C1460-DATE(1970,1,1))*86400</f>
        <v>1564099200</v>
      </c>
      <c r="AN1460" s="25">
        <f>AVERAGE(AL1460:AM1460)</f>
        <v>1563969600</v>
      </c>
    </row>
    <row r="1461" spans="1:40" ht="15.75" customHeight="1" x14ac:dyDescent="0.2">
      <c r="A1461" s="284" t="s">
        <v>123</v>
      </c>
      <c r="B1461" s="20">
        <v>43669</v>
      </c>
      <c r="C1461" s="20">
        <v>43672</v>
      </c>
      <c r="D1461" s="19" t="s">
        <v>134</v>
      </c>
      <c r="E1461" s="332" t="s">
        <v>125</v>
      </c>
      <c r="F1461" s="19"/>
      <c r="G1461" s="19" t="s">
        <v>135</v>
      </c>
      <c r="H1461" s="332">
        <v>2000</v>
      </c>
      <c r="I1461" s="21">
        <v>48</v>
      </c>
      <c r="J1461" s="21"/>
      <c r="K1461" s="21">
        <v>9</v>
      </c>
      <c r="L1461" s="21">
        <v>3</v>
      </c>
      <c r="M1461" s="21">
        <v>18</v>
      </c>
      <c r="N1461" s="21"/>
      <c r="O1461" s="21"/>
      <c r="P1461" s="21">
        <v>8</v>
      </c>
      <c r="Q1461" s="21"/>
      <c r="R1461" s="22">
        <v>7</v>
      </c>
      <c r="S1461" s="21"/>
      <c r="T1461" s="21"/>
      <c r="U1461" s="21"/>
      <c r="V1461" s="21">
        <v>4</v>
      </c>
      <c r="W1461" s="21"/>
      <c r="X1461" s="21">
        <v>2</v>
      </c>
      <c r="Y1461" s="21"/>
      <c r="Z1461" s="21">
        <v>1</v>
      </c>
      <c r="AA1461" s="21">
        <v>0</v>
      </c>
      <c r="AB1461" s="23">
        <f>100/(SUM(I1461:Z1461))</f>
        <v>1</v>
      </c>
      <c r="AC1461" s="259">
        <f>SUM(I1461:AA1461)</f>
        <v>100</v>
      </c>
      <c r="AD1461" s="21"/>
      <c r="AE1461" s="21"/>
      <c r="AF1461" s="21"/>
      <c r="AG1461" s="25"/>
      <c r="AH1461" s="83" t="s">
        <v>1302</v>
      </c>
      <c r="AI1461" s="83" t="s">
        <v>1303</v>
      </c>
      <c r="AJ1461" s="19"/>
      <c r="AK1461" s="19"/>
      <c r="AL1461" s="25">
        <f>(B1461-DATE(1970,1,1))*86400</f>
        <v>1563840000</v>
      </c>
      <c r="AM1461" s="25">
        <f>(C1461-DATE(1970,1,1))*86400</f>
        <v>1564099200</v>
      </c>
      <c r="AN1461" s="25">
        <f>AVERAGE(AL1461:AM1461)</f>
        <v>1563969600</v>
      </c>
    </row>
    <row r="1462" spans="1:40" ht="15.75" customHeight="1" x14ac:dyDescent="0.2">
      <c r="A1462" s="281" t="s">
        <v>133</v>
      </c>
      <c r="B1462" s="54">
        <v>43662</v>
      </c>
      <c r="C1462" s="54">
        <v>43669</v>
      </c>
      <c r="D1462" s="53" t="s">
        <v>154</v>
      </c>
      <c r="E1462" s="323" t="s">
        <v>125</v>
      </c>
      <c r="F1462" s="53"/>
      <c r="G1462" s="53" t="s">
        <v>126</v>
      </c>
      <c r="H1462" s="323">
        <v>1007</v>
      </c>
      <c r="I1462" s="55">
        <v>29</v>
      </c>
      <c r="J1462" s="55"/>
      <c r="K1462" s="55">
        <v>8</v>
      </c>
      <c r="L1462" s="55">
        <v>1</v>
      </c>
      <c r="M1462" s="55">
        <v>8</v>
      </c>
      <c r="N1462" s="56"/>
      <c r="O1462" s="56"/>
      <c r="P1462" s="55">
        <v>7</v>
      </c>
      <c r="Q1462" s="55"/>
      <c r="R1462" s="55">
        <v>7</v>
      </c>
      <c r="S1462" s="55"/>
      <c r="T1462" s="55"/>
      <c r="U1462" s="55"/>
      <c r="V1462" s="55">
        <v>0</v>
      </c>
      <c r="W1462" s="55"/>
      <c r="X1462" s="55">
        <v>1</v>
      </c>
      <c r="Y1462" s="55"/>
      <c r="Z1462" s="55">
        <v>0</v>
      </c>
      <c r="AA1462" s="55">
        <v>39</v>
      </c>
      <c r="AB1462" s="57">
        <f>100/(SUM(I1462:Z1462))</f>
        <v>1.639344262295082</v>
      </c>
      <c r="AC1462" s="259">
        <f>SUM(I1462:AA1462)</f>
        <v>100</v>
      </c>
      <c r="AD1462" s="55"/>
      <c r="AE1462" s="55"/>
      <c r="AF1462" s="55"/>
      <c r="AG1462" s="58"/>
      <c r="AH1462" s="59" t="s">
        <v>1304</v>
      </c>
      <c r="AI1462" s="59" t="s">
        <v>1305</v>
      </c>
      <c r="AJ1462" s="59"/>
      <c r="AK1462" s="53"/>
      <c r="AL1462" s="58">
        <f>(B1462-DATE(1970,1,1))*86400</f>
        <v>1563235200</v>
      </c>
      <c r="AM1462" s="58">
        <f>(C1462-DATE(1970,1,1))*86400</f>
        <v>1563840000</v>
      </c>
      <c r="AN1462" s="58">
        <f>AVERAGE(AL1462:AM1462)</f>
        <v>1563537600</v>
      </c>
    </row>
    <row r="1463" spans="1:40" ht="15.75" customHeight="1" x14ac:dyDescent="0.2">
      <c r="A1463" s="281" t="s">
        <v>123</v>
      </c>
      <c r="B1463" s="54">
        <v>43662</v>
      </c>
      <c r="C1463" s="54">
        <v>43669</v>
      </c>
      <c r="D1463" s="53" t="s">
        <v>154</v>
      </c>
      <c r="E1463" s="323" t="s">
        <v>125</v>
      </c>
      <c r="F1463" s="53"/>
      <c r="G1463" s="53" t="s">
        <v>126</v>
      </c>
      <c r="H1463" s="323">
        <v>1007</v>
      </c>
      <c r="I1463" s="55">
        <v>37</v>
      </c>
      <c r="J1463" s="55"/>
      <c r="K1463" s="55">
        <v>9</v>
      </c>
      <c r="L1463" s="55">
        <v>1</v>
      </c>
      <c r="M1463" s="55">
        <v>10</v>
      </c>
      <c r="N1463" s="56"/>
      <c r="O1463" s="56"/>
      <c r="P1463" s="55">
        <v>9</v>
      </c>
      <c r="Q1463" s="55"/>
      <c r="R1463" s="55">
        <v>9</v>
      </c>
      <c r="S1463" s="55"/>
      <c r="T1463" s="55"/>
      <c r="U1463" s="55"/>
      <c r="V1463" s="55">
        <v>1</v>
      </c>
      <c r="W1463" s="55"/>
      <c r="X1463" s="55">
        <v>1</v>
      </c>
      <c r="Y1463" s="55"/>
      <c r="Z1463" s="55">
        <v>0</v>
      </c>
      <c r="AA1463" s="55">
        <v>24</v>
      </c>
      <c r="AB1463" s="57">
        <f>100/(SUM(I1463:Z1463))</f>
        <v>1.2987012987012987</v>
      </c>
      <c r="AC1463" s="259">
        <f>SUM(I1463:AA1463)</f>
        <v>101</v>
      </c>
      <c r="AD1463" s="55"/>
      <c r="AE1463" s="55"/>
      <c r="AF1463" s="55"/>
      <c r="AG1463" s="58"/>
      <c r="AH1463" s="59" t="s">
        <v>1304</v>
      </c>
      <c r="AI1463" s="59" t="s">
        <v>1305</v>
      </c>
      <c r="AJ1463" s="59"/>
      <c r="AK1463" s="53" t="s">
        <v>1306</v>
      </c>
      <c r="AL1463" s="58">
        <f>(B1463-DATE(1970,1,1))*86400</f>
        <v>1563235200</v>
      </c>
      <c r="AM1463" s="58">
        <f>(C1463-DATE(1970,1,1))*86400</f>
        <v>1563840000</v>
      </c>
      <c r="AN1463" s="58">
        <f>AVERAGE(AL1463:AM1463)</f>
        <v>1563537600</v>
      </c>
    </row>
    <row r="1464" spans="1:40" ht="15.75" customHeight="1" x14ac:dyDescent="0.2">
      <c r="A1464" s="281" t="s">
        <v>123</v>
      </c>
      <c r="B1464" s="54">
        <v>43662</v>
      </c>
      <c r="C1464" s="54">
        <v>43669</v>
      </c>
      <c r="D1464" s="53" t="s">
        <v>154</v>
      </c>
      <c r="E1464" s="323" t="s">
        <v>125</v>
      </c>
      <c r="F1464" s="53"/>
      <c r="G1464" s="53" t="s">
        <v>126</v>
      </c>
      <c r="H1464" s="323">
        <v>1007</v>
      </c>
      <c r="I1464" s="55">
        <v>51</v>
      </c>
      <c r="J1464" s="55"/>
      <c r="K1464" s="55">
        <v>10</v>
      </c>
      <c r="L1464" s="55">
        <v>2</v>
      </c>
      <c r="M1464" s="55">
        <v>11</v>
      </c>
      <c r="N1464" s="56"/>
      <c r="O1464" s="56"/>
      <c r="P1464" s="55">
        <v>10</v>
      </c>
      <c r="Q1464" s="55"/>
      <c r="R1464" s="55">
        <v>10</v>
      </c>
      <c r="S1464" s="55"/>
      <c r="T1464" s="55"/>
      <c r="U1464" s="55"/>
      <c r="V1464" s="55">
        <v>2</v>
      </c>
      <c r="W1464" s="55"/>
      <c r="X1464" s="55">
        <v>2</v>
      </c>
      <c r="Y1464" s="55"/>
      <c r="Z1464" s="55">
        <v>1</v>
      </c>
      <c r="AA1464" s="55">
        <v>0</v>
      </c>
      <c r="AB1464" s="57">
        <f>100/(SUM(I1464:Z1464))</f>
        <v>1.0101010101010102</v>
      </c>
      <c r="AC1464" s="259">
        <f>SUM(I1464:AA1464)</f>
        <v>99</v>
      </c>
      <c r="AD1464" s="55"/>
      <c r="AE1464" s="55"/>
      <c r="AF1464" s="55"/>
      <c r="AG1464" s="58"/>
      <c r="AH1464" s="59" t="s">
        <v>1304</v>
      </c>
      <c r="AI1464" s="59" t="s">
        <v>1305</v>
      </c>
      <c r="AJ1464" s="59"/>
      <c r="AK1464" s="53"/>
      <c r="AL1464" s="58">
        <f>(B1464-DATE(1970,1,1))*86400</f>
        <v>1563235200</v>
      </c>
      <c r="AM1464" s="58">
        <f>(C1464-DATE(1970,1,1))*86400</f>
        <v>1563840000</v>
      </c>
      <c r="AN1464" s="58">
        <f>AVERAGE(AL1464:AM1464)</f>
        <v>1563537600</v>
      </c>
    </row>
    <row r="1465" spans="1:40" ht="15.75" customHeight="1" x14ac:dyDescent="0.2">
      <c r="A1465" s="279" t="s">
        <v>133</v>
      </c>
      <c r="B1465" s="14">
        <v>43648</v>
      </c>
      <c r="C1465" s="14">
        <v>43674</v>
      </c>
      <c r="D1465" s="13" t="s">
        <v>124</v>
      </c>
      <c r="E1465" s="324" t="s">
        <v>125</v>
      </c>
      <c r="F1465" s="13"/>
      <c r="G1465" s="13" t="s">
        <v>149</v>
      </c>
      <c r="H1465" s="372">
        <v>5000</v>
      </c>
      <c r="I1465" s="15">
        <v>41</v>
      </c>
      <c r="J1465" s="15"/>
      <c r="K1465" s="15">
        <v>7</v>
      </c>
      <c r="L1465" s="15">
        <v>2</v>
      </c>
      <c r="M1465" s="15">
        <v>7</v>
      </c>
      <c r="N1465" s="15"/>
      <c r="O1465" s="15"/>
      <c r="P1465" s="15">
        <v>6</v>
      </c>
      <c r="Q1465" s="15"/>
      <c r="R1465" s="15">
        <v>5</v>
      </c>
      <c r="S1465" s="15"/>
      <c r="T1465" s="15"/>
      <c r="U1465" s="15"/>
      <c r="V1465" s="15">
        <v>3</v>
      </c>
      <c r="W1465" s="15"/>
      <c r="X1465" s="15">
        <v>2</v>
      </c>
      <c r="Y1465" s="15"/>
      <c r="Z1465" s="15"/>
      <c r="AA1465" s="15">
        <v>27</v>
      </c>
      <c r="AB1465" s="16">
        <f>100/(SUM(I1465:Z1465))</f>
        <v>1.3698630136986301</v>
      </c>
      <c r="AC1465" s="259">
        <f>SUM(I1465:AA1465)</f>
        <v>100</v>
      </c>
      <c r="AD1465" s="15"/>
      <c r="AE1465" s="15"/>
      <c r="AF1465" s="15"/>
      <c r="AG1465" s="17"/>
      <c r="AH1465" s="18" t="s">
        <v>1307</v>
      </c>
      <c r="AI1465" s="18" t="s">
        <v>1308</v>
      </c>
      <c r="AJ1465" s="18"/>
      <c r="AK1465" s="13" t="s">
        <v>1298</v>
      </c>
      <c r="AL1465" s="17">
        <f>(B1465-DATE(1970,1,1))*86400</f>
        <v>1562025600</v>
      </c>
      <c r="AM1465" s="17">
        <f>(C1465-DATE(1970,1,1))*86400</f>
        <v>1564272000</v>
      </c>
      <c r="AN1465" s="17">
        <f>AVERAGE(AL1465:AM1465)</f>
        <v>1563148800</v>
      </c>
    </row>
    <row r="1466" spans="1:40" ht="15.75" customHeight="1" x14ac:dyDescent="0.2">
      <c r="A1466" s="279" t="s">
        <v>123</v>
      </c>
      <c r="B1466" s="14">
        <v>43648</v>
      </c>
      <c r="C1466" s="14">
        <v>43674</v>
      </c>
      <c r="D1466" s="13" t="s">
        <v>124</v>
      </c>
      <c r="E1466" s="324" t="s">
        <v>125</v>
      </c>
      <c r="F1466" s="13"/>
      <c r="G1466" s="13" t="s">
        <v>149</v>
      </c>
      <c r="H1466" s="372">
        <v>5000</v>
      </c>
      <c r="I1466" s="15">
        <v>52</v>
      </c>
      <c r="J1466" s="15"/>
      <c r="K1466" s="15">
        <v>9</v>
      </c>
      <c r="L1466" s="15">
        <v>3</v>
      </c>
      <c r="M1466" s="15">
        <v>11</v>
      </c>
      <c r="N1466" s="15"/>
      <c r="O1466" s="15"/>
      <c r="P1466" s="15">
        <v>11</v>
      </c>
      <c r="Q1466" s="15"/>
      <c r="R1466" s="15">
        <v>7</v>
      </c>
      <c r="S1466" s="15"/>
      <c r="T1466" s="15"/>
      <c r="U1466" s="15"/>
      <c r="V1466" s="15">
        <v>4</v>
      </c>
      <c r="W1466" s="15"/>
      <c r="X1466" s="15">
        <v>3</v>
      </c>
      <c r="Y1466" s="15"/>
      <c r="Z1466" s="15"/>
      <c r="AA1466" s="15">
        <v>0</v>
      </c>
      <c r="AB1466" s="16">
        <f>100/(SUM(I1466:Z1466))</f>
        <v>1</v>
      </c>
      <c r="AC1466" s="259">
        <f>SUM(I1466:AA1466)</f>
        <v>100</v>
      </c>
      <c r="AD1466" s="15"/>
      <c r="AE1466" s="15"/>
      <c r="AF1466" s="15"/>
      <c r="AG1466" s="17"/>
      <c r="AH1466" s="18" t="s">
        <v>1307</v>
      </c>
      <c r="AI1466" s="18" t="s">
        <v>1308</v>
      </c>
      <c r="AJ1466" s="18"/>
      <c r="AK1466" s="13"/>
      <c r="AL1466" s="17">
        <f>(B1466-DATE(1970,1,1))*86400</f>
        <v>1562025600</v>
      </c>
      <c r="AM1466" s="17">
        <f>(C1466-DATE(1970,1,1))*86400</f>
        <v>1564272000</v>
      </c>
      <c r="AN1466" s="17">
        <f>AVERAGE(AL1466:AM1466)</f>
        <v>1563148800</v>
      </c>
    </row>
    <row r="1467" spans="1:40" ht="15.75" customHeight="1" x14ac:dyDescent="0.2">
      <c r="A1467" s="286" t="s">
        <v>133</v>
      </c>
      <c r="B1467" s="41">
        <v>43650</v>
      </c>
      <c r="C1467" s="41">
        <v>43659</v>
      </c>
      <c r="D1467" s="40" t="s">
        <v>148</v>
      </c>
      <c r="E1467" s="325" t="s">
        <v>125</v>
      </c>
      <c r="F1467" s="40"/>
      <c r="G1467" s="40" t="s">
        <v>149</v>
      </c>
      <c r="H1467" s="325">
        <v>1000</v>
      </c>
      <c r="I1467" s="42">
        <v>32</v>
      </c>
      <c r="J1467" s="42"/>
      <c r="K1467" s="42">
        <v>6</v>
      </c>
      <c r="L1467" s="42">
        <v>2</v>
      </c>
      <c r="M1467" s="42">
        <v>10</v>
      </c>
      <c r="N1467" s="42"/>
      <c r="O1467" s="42"/>
      <c r="P1467" s="42">
        <v>5</v>
      </c>
      <c r="Q1467" s="42"/>
      <c r="R1467" s="43">
        <v>6</v>
      </c>
      <c r="S1467" s="42"/>
      <c r="T1467" s="42"/>
      <c r="U1467" s="42"/>
      <c r="V1467" s="42">
        <v>2</v>
      </c>
      <c r="W1467" s="42"/>
      <c r="X1467" s="42">
        <v>2</v>
      </c>
      <c r="Y1467" s="42"/>
      <c r="Z1467" s="42">
        <v>1</v>
      </c>
      <c r="AA1467" s="42">
        <v>34</v>
      </c>
      <c r="AB1467" s="44">
        <f>100/(SUM(I1467:Z1467))</f>
        <v>1.5151515151515151</v>
      </c>
      <c r="AC1467" s="259">
        <f>SUM(I1467:AA1467)</f>
        <v>100</v>
      </c>
      <c r="AD1467" s="42"/>
      <c r="AE1467" s="42"/>
      <c r="AF1467" s="42"/>
      <c r="AG1467" s="45"/>
      <c r="AH1467" s="132" t="s">
        <v>1309</v>
      </c>
      <c r="AI1467" s="132" t="s">
        <v>1310</v>
      </c>
      <c r="AJ1467" s="132" t="s">
        <v>1311</v>
      </c>
      <c r="AK1467" s="40"/>
      <c r="AL1467" s="45">
        <f>(B1467-DATE(1970,1,1))*86400</f>
        <v>1562198400</v>
      </c>
      <c r="AM1467" s="45">
        <f>(C1467-DATE(1970,1,1))*86400</f>
        <v>1562976000</v>
      </c>
      <c r="AN1467" s="45">
        <f>AVERAGE(AL1467:AM1467)</f>
        <v>1562587200</v>
      </c>
    </row>
    <row r="1468" spans="1:40" ht="15.75" customHeight="1" x14ac:dyDescent="0.2">
      <c r="A1468" s="286" t="s">
        <v>123</v>
      </c>
      <c r="B1468" s="41">
        <v>43650</v>
      </c>
      <c r="C1468" s="41">
        <v>43659</v>
      </c>
      <c r="D1468" s="40" t="s">
        <v>148</v>
      </c>
      <c r="E1468" s="325" t="s">
        <v>125</v>
      </c>
      <c r="F1468" s="40"/>
      <c r="G1468" s="40" t="s">
        <v>149</v>
      </c>
      <c r="H1468" s="325">
        <v>1000</v>
      </c>
      <c r="I1468" s="42">
        <v>51</v>
      </c>
      <c r="J1468" s="42"/>
      <c r="K1468" s="42">
        <v>8</v>
      </c>
      <c r="L1468" s="42">
        <v>2</v>
      </c>
      <c r="M1468" s="42">
        <v>17</v>
      </c>
      <c r="N1468" s="42"/>
      <c r="O1468" s="42"/>
      <c r="P1468" s="42">
        <v>7</v>
      </c>
      <c r="Q1468" s="42"/>
      <c r="R1468" s="43">
        <v>8</v>
      </c>
      <c r="S1468" s="42"/>
      <c r="T1468" s="42"/>
      <c r="U1468" s="42"/>
      <c r="V1468" s="42">
        <v>3</v>
      </c>
      <c r="W1468" s="42"/>
      <c r="X1468" s="42">
        <v>3</v>
      </c>
      <c r="Y1468" s="42"/>
      <c r="Z1468" s="42">
        <v>1</v>
      </c>
      <c r="AA1468" s="42">
        <v>0</v>
      </c>
      <c r="AB1468" s="44">
        <f>100/(SUM(I1468:Z1468))</f>
        <v>1</v>
      </c>
      <c r="AC1468" s="259">
        <f>SUM(I1468:AA1468)</f>
        <v>100</v>
      </c>
      <c r="AD1468" s="42"/>
      <c r="AE1468" s="42"/>
      <c r="AF1468" s="42"/>
      <c r="AG1468" s="45"/>
      <c r="AH1468" s="132" t="s">
        <v>1309</v>
      </c>
      <c r="AI1468" s="132" t="s">
        <v>1310</v>
      </c>
      <c r="AJ1468" s="132" t="s">
        <v>1311</v>
      </c>
      <c r="AK1468" s="40"/>
      <c r="AL1468" s="45">
        <f>(B1468-DATE(1970,1,1))*86400</f>
        <v>1562198400</v>
      </c>
      <c r="AM1468" s="45">
        <f>(C1468-DATE(1970,1,1))*86400</f>
        <v>1562976000</v>
      </c>
      <c r="AN1468" s="45">
        <f>AVERAGE(AL1468:AM1468)</f>
        <v>1562587200</v>
      </c>
    </row>
    <row r="1469" spans="1:40" ht="15.75" customHeight="1" x14ac:dyDescent="0.2">
      <c r="A1469" s="302" t="s">
        <v>123</v>
      </c>
      <c r="B1469" s="254">
        <v>43649</v>
      </c>
      <c r="C1469" s="254">
        <v>43649</v>
      </c>
      <c r="D1469" s="262" t="s">
        <v>2445</v>
      </c>
      <c r="E1469" s="322" t="s">
        <v>184</v>
      </c>
      <c r="F1469" s="121" t="s">
        <v>2007</v>
      </c>
      <c r="G1469" s="262" t="s">
        <v>244</v>
      </c>
      <c r="H1469" s="379">
        <v>500</v>
      </c>
      <c r="I1469" s="123">
        <v>51</v>
      </c>
      <c r="J1469" s="123">
        <v>9</v>
      </c>
      <c r="K1469" s="123">
        <v>9</v>
      </c>
      <c r="L1469" s="123">
        <v>3</v>
      </c>
      <c r="M1469" s="123">
        <v>11</v>
      </c>
      <c r="N1469" s="123"/>
      <c r="O1469" s="123"/>
      <c r="P1469" s="123">
        <v>5</v>
      </c>
      <c r="Q1469" s="123"/>
      <c r="R1469" s="124"/>
      <c r="S1469" s="123"/>
      <c r="T1469" s="123"/>
      <c r="U1469" s="123"/>
      <c r="V1469" s="123"/>
      <c r="W1469" s="123"/>
      <c r="X1469" s="123">
        <v>3</v>
      </c>
      <c r="Y1469" s="123"/>
      <c r="Z1469" s="123"/>
      <c r="AA1469" s="123">
        <v>0</v>
      </c>
      <c r="AB1469" s="125">
        <f>100/(SUM(I1469:Z1469))</f>
        <v>1.098901098901099</v>
      </c>
      <c r="AC1469" s="259">
        <f>SUM(I1469:AA1469)</f>
        <v>91</v>
      </c>
      <c r="AD1469" s="123"/>
      <c r="AE1469" s="123"/>
      <c r="AF1469" s="123"/>
      <c r="AG1469" s="263" t="s">
        <v>719</v>
      </c>
      <c r="AH1469" s="253" t="s">
        <v>2001</v>
      </c>
      <c r="AI1469" s="253" t="s">
        <v>2006</v>
      </c>
      <c r="AJ1469" s="127"/>
      <c r="AK1469" s="121" t="s">
        <v>2002</v>
      </c>
      <c r="AL1469" s="126">
        <f>(B1469-DATE(1970,1,1))*86400</f>
        <v>1562112000</v>
      </c>
      <c r="AM1469" s="126">
        <f>(C1469-DATE(1970,1,1))*86400</f>
        <v>1562112000</v>
      </c>
      <c r="AN1469" s="126">
        <f>AVERAGE(AL1469:AM1469)</f>
        <v>1562112000</v>
      </c>
    </row>
    <row r="1470" spans="1:40" ht="15.75" customHeight="1" x14ac:dyDescent="0.2">
      <c r="A1470" s="449" t="s">
        <v>133</v>
      </c>
      <c r="B1470" s="460">
        <v>43644</v>
      </c>
      <c r="C1470" s="460">
        <v>43648</v>
      </c>
      <c r="D1470" s="451" t="s">
        <v>143</v>
      </c>
      <c r="E1470" s="452" t="s">
        <v>125</v>
      </c>
      <c r="F1470" s="451"/>
      <c r="G1470" s="451" t="s">
        <v>149</v>
      </c>
      <c r="H1470" s="454">
        <v>1200</v>
      </c>
      <c r="I1470" s="455">
        <v>40</v>
      </c>
      <c r="J1470" s="455"/>
      <c r="K1470" s="455">
        <v>6</v>
      </c>
      <c r="L1470" s="455">
        <v>3</v>
      </c>
      <c r="M1470" s="455">
        <v>11</v>
      </c>
      <c r="N1470" s="455"/>
      <c r="O1470" s="455"/>
      <c r="P1470" s="455">
        <v>5</v>
      </c>
      <c r="Q1470" s="455"/>
      <c r="R1470" s="456">
        <v>7</v>
      </c>
      <c r="S1470" s="455"/>
      <c r="T1470" s="455"/>
      <c r="U1470" s="455"/>
      <c r="V1470" s="455">
        <v>1</v>
      </c>
      <c r="W1470" s="455"/>
      <c r="X1470" s="455">
        <v>1</v>
      </c>
      <c r="Y1470" s="455"/>
      <c r="Z1470" s="455">
        <v>0</v>
      </c>
      <c r="AA1470" s="455">
        <v>26</v>
      </c>
      <c r="AB1470" s="457">
        <f>100/(SUM(I1470:Z1470))</f>
        <v>1.3513513513513513</v>
      </c>
      <c r="AC1470" s="432">
        <f>SUM(I1470:AA1470)</f>
        <v>100</v>
      </c>
      <c r="AD1470" s="455"/>
      <c r="AE1470" s="455"/>
      <c r="AF1470" s="455"/>
      <c r="AG1470" s="459"/>
      <c r="AH1470" s="451" t="s">
        <v>1183</v>
      </c>
      <c r="AI1470" s="458" t="s">
        <v>1312</v>
      </c>
      <c r="AJ1470" s="458" t="s">
        <v>1313</v>
      </c>
      <c r="AK1470" s="451" t="s">
        <v>1126</v>
      </c>
      <c r="AL1470" s="459">
        <f>(B1470-DATE(1970,1,1))*86400</f>
        <v>1561680000</v>
      </c>
      <c r="AM1470" s="459">
        <f>(C1470-DATE(1970,1,1))*86400</f>
        <v>1562025600</v>
      </c>
      <c r="AN1470" s="459">
        <f>AVERAGE(AL1470:AM1470)</f>
        <v>1561852800</v>
      </c>
    </row>
    <row r="1471" spans="1:40" ht="15.75" customHeight="1" x14ac:dyDescent="0.2">
      <c r="A1471" s="449" t="s">
        <v>133</v>
      </c>
      <c r="B1471" s="460">
        <v>43644</v>
      </c>
      <c r="C1471" s="460">
        <v>43648</v>
      </c>
      <c r="D1471" s="451" t="s">
        <v>143</v>
      </c>
      <c r="E1471" s="452" t="s">
        <v>125</v>
      </c>
      <c r="F1471" s="451"/>
      <c r="G1471" s="451" t="s">
        <v>149</v>
      </c>
      <c r="H1471" s="454">
        <v>1200</v>
      </c>
      <c r="I1471" s="455">
        <v>53</v>
      </c>
      <c r="J1471" s="455"/>
      <c r="K1471" s="455">
        <v>8</v>
      </c>
      <c r="L1471" s="455">
        <v>4</v>
      </c>
      <c r="M1471" s="455">
        <v>15</v>
      </c>
      <c r="N1471" s="455"/>
      <c r="O1471" s="455"/>
      <c r="P1471" s="455">
        <v>7</v>
      </c>
      <c r="Q1471" s="455"/>
      <c r="R1471" s="456">
        <v>9</v>
      </c>
      <c r="S1471" s="455"/>
      <c r="T1471" s="455"/>
      <c r="U1471" s="455"/>
      <c r="V1471" s="455">
        <v>2</v>
      </c>
      <c r="W1471" s="455"/>
      <c r="X1471" s="455">
        <v>2</v>
      </c>
      <c r="Y1471" s="455"/>
      <c r="Z1471" s="455">
        <v>0</v>
      </c>
      <c r="AA1471" s="455">
        <v>0</v>
      </c>
      <c r="AB1471" s="457">
        <f>100/(SUM(I1471:Z1471))</f>
        <v>1</v>
      </c>
      <c r="AC1471" s="432">
        <f>SUM(I1471:AA1471)</f>
        <v>100</v>
      </c>
      <c r="AD1471" s="455"/>
      <c r="AE1471" s="455"/>
      <c r="AF1471" s="455"/>
      <c r="AG1471" s="459"/>
      <c r="AH1471" s="451" t="s">
        <v>1183</v>
      </c>
      <c r="AI1471" s="458"/>
      <c r="AJ1471" s="451"/>
      <c r="AK1471" s="451" t="s">
        <v>1126</v>
      </c>
      <c r="AL1471" s="459">
        <f>(B1471-DATE(1970,1,1))*86400</f>
        <v>1561680000</v>
      </c>
      <c r="AM1471" s="459">
        <f>(C1471-DATE(1970,1,1))*86400</f>
        <v>1562025600</v>
      </c>
      <c r="AN1471" s="459">
        <f>AVERAGE(AL1471:AM1471)</f>
        <v>1561852800</v>
      </c>
    </row>
    <row r="1472" spans="1:40" ht="15.75" customHeight="1" x14ac:dyDescent="0.2">
      <c r="A1472" s="449" t="s">
        <v>123</v>
      </c>
      <c r="B1472" s="460">
        <v>43644</v>
      </c>
      <c r="C1472" s="460">
        <v>43648</v>
      </c>
      <c r="D1472" s="451" t="s">
        <v>143</v>
      </c>
      <c r="E1472" s="452" t="s">
        <v>125</v>
      </c>
      <c r="F1472" s="451"/>
      <c r="G1472" s="451" t="s">
        <v>149</v>
      </c>
      <c r="H1472" s="454">
        <v>1200</v>
      </c>
      <c r="I1472" s="455">
        <v>57</v>
      </c>
      <c r="J1472" s="455"/>
      <c r="K1472" s="455">
        <v>8</v>
      </c>
      <c r="L1472" s="455">
        <v>2</v>
      </c>
      <c r="M1472" s="455">
        <v>17</v>
      </c>
      <c r="N1472" s="455"/>
      <c r="O1472" s="455"/>
      <c r="P1472" s="455">
        <v>6</v>
      </c>
      <c r="Q1472" s="455"/>
      <c r="R1472" s="456">
        <v>8</v>
      </c>
      <c r="S1472" s="455"/>
      <c r="T1472" s="455"/>
      <c r="U1472" s="455"/>
      <c r="V1472" s="455">
        <v>1</v>
      </c>
      <c r="W1472" s="455"/>
      <c r="X1472" s="455">
        <v>1</v>
      </c>
      <c r="Y1472" s="455"/>
      <c r="Z1472" s="455">
        <v>0</v>
      </c>
      <c r="AA1472" s="455">
        <v>0</v>
      </c>
      <c r="AB1472" s="457">
        <f>100/(SUM(I1472:Z1472))</f>
        <v>1</v>
      </c>
      <c r="AC1472" s="432">
        <f>SUM(I1472:AA1472)</f>
        <v>100</v>
      </c>
      <c r="AD1472" s="455"/>
      <c r="AE1472" s="455"/>
      <c r="AF1472" s="455"/>
      <c r="AG1472" s="459"/>
      <c r="AH1472" s="451" t="s">
        <v>1183</v>
      </c>
      <c r="AI1472" s="458"/>
      <c r="AJ1472" s="458"/>
      <c r="AK1472" s="451" t="s">
        <v>1126</v>
      </c>
      <c r="AL1472" s="459">
        <f>(B1472-DATE(1970,1,1))*86400</f>
        <v>1561680000</v>
      </c>
      <c r="AM1472" s="459">
        <f>(C1472-DATE(1970,1,1))*86400</f>
        <v>1562025600</v>
      </c>
      <c r="AN1472" s="459">
        <f>AVERAGE(AL1472:AM1472)</f>
        <v>1561852800</v>
      </c>
    </row>
    <row r="1473" spans="1:65" ht="15.75" customHeight="1" x14ac:dyDescent="0.2">
      <c r="A1473" s="281" t="s">
        <v>133</v>
      </c>
      <c r="B1473" s="54">
        <v>43637</v>
      </c>
      <c r="C1473" s="54">
        <v>43643</v>
      </c>
      <c r="D1473" s="53" t="s">
        <v>154</v>
      </c>
      <c r="E1473" s="323" t="s">
        <v>125</v>
      </c>
      <c r="F1473" s="53"/>
      <c r="G1473" s="53" t="s">
        <v>126</v>
      </c>
      <c r="H1473" s="323">
        <v>1001</v>
      </c>
      <c r="I1473" s="55">
        <v>31</v>
      </c>
      <c r="J1473" s="55"/>
      <c r="K1473" s="55">
        <v>7</v>
      </c>
      <c r="L1473" s="55">
        <v>2</v>
      </c>
      <c r="M1473" s="55">
        <v>7</v>
      </c>
      <c r="N1473" s="56"/>
      <c r="O1473" s="56"/>
      <c r="P1473" s="55">
        <v>7</v>
      </c>
      <c r="Q1473" s="55"/>
      <c r="R1473" s="55">
        <v>7</v>
      </c>
      <c r="S1473" s="55"/>
      <c r="T1473" s="55"/>
      <c r="U1473" s="55"/>
      <c r="V1473" s="55">
        <v>1</v>
      </c>
      <c r="W1473" s="55"/>
      <c r="X1473" s="55">
        <v>1</v>
      </c>
      <c r="Y1473" s="55"/>
      <c r="Z1473" s="55">
        <v>0</v>
      </c>
      <c r="AA1473" s="55">
        <v>37</v>
      </c>
      <c r="AB1473" s="57">
        <f>100/(SUM(I1473:Z1473))</f>
        <v>1.5873015873015872</v>
      </c>
      <c r="AC1473" s="259">
        <f>SUM(I1473:AA1473)</f>
        <v>100</v>
      </c>
      <c r="AD1473" s="55"/>
      <c r="AE1473" s="55"/>
      <c r="AF1473" s="55"/>
      <c r="AG1473" s="58"/>
      <c r="AH1473" s="59" t="s">
        <v>1314</v>
      </c>
      <c r="AI1473" s="59"/>
      <c r="AJ1473" s="59"/>
      <c r="AK1473" s="53"/>
      <c r="AL1473" s="58">
        <f>(B1473-DATE(1970,1,1))*86400</f>
        <v>1561075200</v>
      </c>
      <c r="AM1473" s="58">
        <f>(C1473-DATE(1970,1,1))*86400</f>
        <v>1561593600</v>
      </c>
      <c r="AN1473" s="58">
        <f>AVERAGE(AL1473:AM1473)</f>
        <v>1561334400</v>
      </c>
    </row>
    <row r="1474" spans="1:65" ht="15.75" customHeight="1" x14ac:dyDescent="0.2">
      <c r="A1474" s="281" t="s">
        <v>123</v>
      </c>
      <c r="B1474" s="54">
        <v>43637</v>
      </c>
      <c r="C1474" s="54">
        <v>43643</v>
      </c>
      <c r="D1474" s="53" t="s">
        <v>154</v>
      </c>
      <c r="E1474" s="323" t="s">
        <v>125</v>
      </c>
      <c r="F1474" s="53"/>
      <c r="G1474" s="53" t="s">
        <v>126</v>
      </c>
      <c r="H1474" s="323">
        <v>1001</v>
      </c>
      <c r="I1474" s="55">
        <v>38</v>
      </c>
      <c r="J1474" s="55"/>
      <c r="K1474" s="55">
        <v>9</v>
      </c>
      <c r="L1474" s="55">
        <v>3</v>
      </c>
      <c r="M1474" s="55">
        <v>10</v>
      </c>
      <c r="N1474" s="56"/>
      <c r="O1474" s="56"/>
      <c r="P1474" s="55">
        <v>9</v>
      </c>
      <c r="Q1474" s="55"/>
      <c r="R1474" s="55">
        <v>9</v>
      </c>
      <c r="S1474" s="55"/>
      <c r="T1474" s="55"/>
      <c r="U1474" s="55"/>
      <c r="V1474" s="55">
        <v>1</v>
      </c>
      <c r="W1474" s="55"/>
      <c r="X1474" s="55">
        <v>1</v>
      </c>
      <c r="Y1474" s="55"/>
      <c r="Z1474" s="55">
        <v>0</v>
      </c>
      <c r="AA1474" s="55">
        <v>20</v>
      </c>
      <c r="AB1474" s="57">
        <f>100/(SUM(I1474:Z1474))</f>
        <v>1.25</v>
      </c>
      <c r="AC1474" s="259">
        <f>SUM(I1474:AA1474)</f>
        <v>100</v>
      </c>
      <c r="AD1474" s="55"/>
      <c r="AE1474" s="55"/>
      <c r="AF1474" s="55"/>
      <c r="AG1474" s="58"/>
      <c r="AH1474" s="59" t="s">
        <v>1314</v>
      </c>
      <c r="AI1474" s="59"/>
      <c r="AJ1474" s="59"/>
      <c r="AK1474" s="53"/>
      <c r="AL1474" s="58">
        <f>(B1474-DATE(1970,1,1))*86400</f>
        <v>1561075200</v>
      </c>
      <c r="AM1474" s="58">
        <f>(C1474-DATE(1970,1,1))*86400</f>
        <v>1561593600</v>
      </c>
      <c r="AN1474" s="58">
        <f>AVERAGE(AL1474:AM1474)</f>
        <v>1561334400</v>
      </c>
    </row>
    <row r="1475" spans="1:65" s="505" customFormat="1" ht="15.75" customHeight="1" x14ac:dyDescent="0.2">
      <c r="A1475" s="281" t="s">
        <v>123</v>
      </c>
      <c r="B1475" s="54">
        <v>43637</v>
      </c>
      <c r="C1475" s="54">
        <v>43643</v>
      </c>
      <c r="D1475" s="53" t="s">
        <v>154</v>
      </c>
      <c r="E1475" s="323" t="s">
        <v>125</v>
      </c>
      <c r="F1475" s="53"/>
      <c r="G1475" s="53" t="s">
        <v>126</v>
      </c>
      <c r="H1475" s="323">
        <v>1001</v>
      </c>
      <c r="I1475" s="55">
        <v>52</v>
      </c>
      <c r="J1475" s="55"/>
      <c r="K1475" s="55">
        <v>10</v>
      </c>
      <c r="L1475" s="55">
        <v>3</v>
      </c>
      <c r="M1475" s="55">
        <v>12</v>
      </c>
      <c r="N1475" s="56"/>
      <c r="O1475" s="56"/>
      <c r="P1475" s="55">
        <v>11</v>
      </c>
      <c r="Q1475" s="55"/>
      <c r="R1475" s="55">
        <v>10</v>
      </c>
      <c r="S1475" s="55"/>
      <c r="T1475" s="55"/>
      <c r="U1475" s="55"/>
      <c r="V1475" s="55">
        <v>1</v>
      </c>
      <c r="W1475" s="55"/>
      <c r="X1475" s="55">
        <v>1</v>
      </c>
      <c r="Y1475" s="55"/>
      <c r="Z1475" s="55">
        <v>0</v>
      </c>
      <c r="AA1475" s="55">
        <v>0</v>
      </c>
      <c r="AB1475" s="57">
        <f>100/(SUM(I1475:Z1475))</f>
        <v>1</v>
      </c>
      <c r="AC1475" s="259">
        <f>SUM(I1475:AA1475)</f>
        <v>100</v>
      </c>
      <c r="AD1475" s="55"/>
      <c r="AE1475" s="55"/>
      <c r="AF1475" s="55"/>
      <c r="AG1475" s="58"/>
      <c r="AH1475" s="59" t="s">
        <v>1314</v>
      </c>
      <c r="AI1475" s="59"/>
      <c r="AJ1475" s="59"/>
      <c r="AK1475" s="53"/>
      <c r="AL1475" s="58">
        <f>(B1475-DATE(1970,1,1))*86400</f>
        <v>1561075200</v>
      </c>
      <c r="AM1475" s="58">
        <f>(C1475-DATE(1970,1,1))*86400</f>
        <v>1561593600</v>
      </c>
      <c r="AN1475" s="58">
        <f>AVERAGE(AL1475:AM1475)</f>
        <v>1561334400</v>
      </c>
      <c r="AO1475"/>
      <c r="AP1475"/>
      <c r="AQ1475"/>
      <c r="AR1475"/>
      <c r="AS1475"/>
      <c r="AT1475"/>
      <c r="AU1475"/>
      <c r="AV1475"/>
      <c r="AW1475"/>
      <c r="AX1475"/>
      <c r="AY1475"/>
      <c r="AZ1475"/>
      <c r="BA1475"/>
      <c r="BB1475"/>
      <c r="BC1475"/>
      <c r="BD1475"/>
      <c r="BE1475"/>
      <c r="BF1475"/>
      <c r="BG1475"/>
      <c r="BH1475"/>
      <c r="BI1475"/>
      <c r="BJ1475"/>
      <c r="BK1475"/>
      <c r="BL1475"/>
      <c r="BM1475"/>
    </row>
    <row r="1476" spans="1:65" s="505" customFormat="1" ht="15.75" customHeight="1" x14ac:dyDescent="0.2">
      <c r="A1476" s="279" t="s">
        <v>133</v>
      </c>
      <c r="B1476" s="14">
        <v>43616</v>
      </c>
      <c r="C1476" s="14">
        <v>43642</v>
      </c>
      <c r="D1476" s="13" t="s">
        <v>124</v>
      </c>
      <c r="E1476" s="324" t="s">
        <v>125</v>
      </c>
      <c r="F1476" s="13"/>
      <c r="G1476" s="13" t="s">
        <v>149</v>
      </c>
      <c r="H1476" s="372">
        <v>5000</v>
      </c>
      <c r="I1476" s="15">
        <v>41</v>
      </c>
      <c r="J1476" s="15"/>
      <c r="K1476" s="15">
        <v>7</v>
      </c>
      <c r="L1476" s="15">
        <v>3</v>
      </c>
      <c r="M1476" s="15">
        <v>8</v>
      </c>
      <c r="N1476" s="15"/>
      <c r="O1476" s="15"/>
      <c r="P1476" s="15">
        <v>7</v>
      </c>
      <c r="Q1476" s="15"/>
      <c r="R1476" s="15">
        <v>3</v>
      </c>
      <c r="S1476" s="15"/>
      <c r="T1476" s="15"/>
      <c r="U1476" s="15"/>
      <c r="V1476" s="15">
        <v>3</v>
      </c>
      <c r="W1476" s="15"/>
      <c r="X1476" s="15">
        <v>2</v>
      </c>
      <c r="Y1476" s="15"/>
      <c r="Z1476" s="15"/>
      <c r="AA1476" s="15">
        <v>26</v>
      </c>
      <c r="AB1476" s="16">
        <f>100/(SUM(I1476:Z1476))</f>
        <v>1.3513513513513513</v>
      </c>
      <c r="AC1476" s="259">
        <f>SUM(I1476:AA1476)</f>
        <v>100</v>
      </c>
      <c r="AD1476" s="15"/>
      <c r="AE1476" s="15"/>
      <c r="AF1476" s="15"/>
      <c r="AG1476" s="17"/>
      <c r="AH1476" s="18" t="s">
        <v>1315</v>
      </c>
      <c r="AI1476" s="18" t="s">
        <v>1316</v>
      </c>
      <c r="AJ1476" s="18"/>
      <c r="AK1476" s="13" t="s">
        <v>1298</v>
      </c>
      <c r="AL1476" s="17">
        <f>(B1476-DATE(1970,1,1))*86400</f>
        <v>1559260800</v>
      </c>
      <c r="AM1476" s="17">
        <f>(C1476-DATE(1970,1,1))*86400</f>
        <v>1561507200</v>
      </c>
      <c r="AN1476" s="17">
        <f>AVERAGE(AL1476:AM1476)</f>
        <v>1560384000</v>
      </c>
      <c r="AO1476"/>
      <c r="AP1476"/>
      <c r="AQ1476"/>
      <c r="AR1476"/>
      <c r="AS1476"/>
      <c r="AT1476"/>
      <c r="AU1476"/>
      <c r="AV1476"/>
      <c r="AW1476"/>
      <c r="AX1476"/>
      <c r="AY1476"/>
      <c r="AZ1476"/>
      <c r="BA1476"/>
      <c r="BB1476"/>
      <c r="BC1476"/>
      <c r="BD1476"/>
      <c r="BE1476"/>
      <c r="BF1476"/>
      <c r="BG1476"/>
      <c r="BH1476"/>
      <c r="BI1476"/>
      <c r="BJ1476"/>
      <c r="BK1476"/>
      <c r="BL1476"/>
      <c r="BM1476"/>
    </row>
    <row r="1477" spans="1:65" s="505" customFormat="1" ht="15.75" customHeight="1" x14ac:dyDescent="0.2">
      <c r="A1477" s="279" t="s">
        <v>123</v>
      </c>
      <c r="B1477" s="14">
        <v>43616</v>
      </c>
      <c r="C1477" s="14">
        <v>43642</v>
      </c>
      <c r="D1477" s="13" t="s">
        <v>124</v>
      </c>
      <c r="E1477" s="324" t="s">
        <v>125</v>
      </c>
      <c r="F1477" s="13"/>
      <c r="G1477" s="13" t="s">
        <v>149</v>
      </c>
      <c r="H1477" s="372">
        <v>5000</v>
      </c>
      <c r="I1477" s="15">
        <v>53</v>
      </c>
      <c r="J1477" s="15"/>
      <c r="K1477" s="15">
        <v>8</v>
      </c>
      <c r="L1477" s="15">
        <v>3</v>
      </c>
      <c r="M1477" s="15">
        <v>12</v>
      </c>
      <c r="N1477" s="15"/>
      <c r="O1477" s="15"/>
      <c r="P1477" s="15">
        <v>10</v>
      </c>
      <c r="Q1477" s="15"/>
      <c r="R1477" s="15">
        <v>6</v>
      </c>
      <c r="S1477" s="15"/>
      <c r="T1477" s="15"/>
      <c r="U1477" s="15"/>
      <c r="V1477" s="15">
        <v>5</v>
      </c>
      <c r="W1477" s="15"/>
      <c r="X1477" s="15">
        <v>2</v>
      </c>
      <c r="Y1477" s="15"/>
      <c r="Z1477" s="15"/>
      <c r="AA1477" s="15">
        <v>0</v>
      </c>
      <c r="AB1477" s="16">
        <f>100/(SUM(I1477:Z1477))</f>
        <v>1.0101010101010102</v>
      </c>
      <c r="AC1477" s="259">
        <f>SUM(I1477:AA1477)</f>
        <v>99</v>
      </c>
      <c r="AD1477" s="15"/>
      <c r="AE1477" s="15"/>
      <c r="AF1477" s="15"/>
      <c r="AG1477" s="17"/>
      <c r="AH1477" s="18" t="s">
        <v>1315</v>
      </c>
      <c r="AI1477" s="18" t="s">
        <v>1316</v>
      </c>
      <c r="AJ1477" s="18"/>
      <c r="AK1477" s="13"/>
      <c r="AL1477" s="17">
        <f>(B1477-DATE(1970,1,1))*86400</f>
        <v>1559260800</v>
      </c>
      <c r="AM1477" s="17">
        <f>(C1477-DATE(1970,1,1))*86400</f>
        <v>1561507200</v>
      </c>
      <c r="AN1477" s="17">
        <f>AVERAGE(AL1477:AM1477)</f>
        <v>1560384000</v>
      </c>
      <c r="AO1477"/>
      <c r="AP1477"/>
      <c r="AQ1477"/>
      <c r="AR1477"/>
      <c r="AS1477"/>
      <c r="AT1477"/>
      <c r="AU1477"/>
      <c r="AV1477"/>
      <c r="AW1477"/>
      <c r="AX1477"/>
      <c r="AY1477"/>
      <c r="AZ1477"/>
      <c r="BA1477"/>
      <c r="BB1477"/>
      <c r="BC1477"/>
      <c r="BD1477"/>
      <c r="BE1477"/>
      <c r="BF1477"/>
      <c r="BG1477"/>
      <c r="BH1477"/>
      <c r="BI1477"/>
      <c r="BJ1477"/>
      <c r="BK1477"/>
      <c r="BL1477"/>
      <c r="BM1477"/>
    </row>
    <row r="1478" spans="1:65" s="505" customFormat="1" ht="15.75" customHeight="1" x14ac:dyDescent="0.2">
      <c r="A1478" s="286" t="s">
        <v>133</v>
      </c>
      <c r="B1478" s="41">
        <v>43620</v>
      </c>
      <c r="C1478" s="41">
        <v>43630</v>
      </c>
      <c r="D1478" s="40" t="s">
        <v>148</v>
      </c>
      <c r="E1478" s="325" t="s">
        <v>125</v>
      </c>
      <c r="F1478" s="40"/>
      <c r="G1478" s="40" t="s">
        <v>149</v>
      </c>
      <c r="H1478" s="325">
        <v>1000</v>
      </c>
      <c r="I1478" s="42">
        <v>34</v>
      </c>
      <c r="J1478" s="42"/>
      <c r="K1478" s="42">
        <v>6</v>
      </c>
      <c r="L1478" s="42">
        <v>2</v>
      </c>
      <c r="M1478" s="42">
        <v>11</v>
      </c>
      <c r="N1478" s="42"/>
      <c r="O1478" s="42"/>
      <c r="P1478" s="42">
        <v>6</v>
      </c>
      <c r="Q1478" s="42"/>
      <c r="R1478" s="43">
        <v>7</v>
      </c>
      <c r="S1478" s="42"/>
      <c r="T1478" s="42"/>
      <c r="U1478" s="42"/>
      <c r="V1478" s="42">
        <v>1</v>
      </c>
      <c r="W1478" s="42"/>
      <c r="X1478" s="42">
        <v>2</v>
      </c>
      <c r="Y1478" s="42"/>
      <c r="Z1478" s="42">
        <v>1</v>
      </c>
      <c r="AA1478" s="42">
        <v>30</v>
      </c>
      <c r="AB1478" s="44">
        <f>100/(SUM(I1478:Z1478))</f>
        <v>1.4285714285714286</v>
      </c>
      <c r="AC1478" s="259">
        <f>SUM(I1478:AA1478)</f>
        <v>100</v>
      </c>
      <c r="AD1478" s="42"/>
      <c r="AE1478" s="42"/>
      <c r="AF1478" s="42"/>
      <c r="AG1478" s="45"/>
      <c r="AH1478" s="132" t="s">
        <v>1317</v>
      </c>
      <c r="AI1478" s="132" t="s">
        <v>1318</v>
      </c>
      <c r="AJ1478" s="132" t="s">
        <v>1319</v>
      </c>
      <c r="AK1478" s="40"/>
      <c r="AL1478" s="45">
        <f>(B1478-DATE(1970,1,1))*86400</f>
        <v>1559606400</v>
      </c>
      <c r="AM1478" s="45">
        <f>(C1478-DATE(1970,1,1))*86400</f>
        <v>1560470400</v>
      </c>
      <c r="AN1478" s="45">
        <f>AVERAGE(AL1478:AM1478)</f>
        <v>1560038400</v>
      </c>
      <c r="AO1478"/>
      <c r="AP1478"/>
      <c r="AQ1478"/>
      <c r="AR1478"/>
      <c r="AS1478"/>
      <c r="AT1478"/>
      <c r="AU1478"/>
      <c r="AV1478"/>
      <c r="AW1478"/>
      <c r="AX1478"/>
      <c r="AY1478"/>
      <c r="AZ1478"/>
      <c r="BA1478"/>
      <c r="BB1478"/>
      <c r="BC1478"/>
      <c r="BD1478"/>
      <c r="BE1478"/>
      <c r="BF1478"/>
      <c r="BG1478"/>
      <c r="BH1478"/>
      <c r="BI1478"/>
      <c r="BJ1478"/>
      <c r="BK1478"/>
      <c r="BL1478"/>
      <c r="BM1478"/>
    </row>
    <row r="1479" spans="1:65" s="505" customFormat="1" ht="15.75" customHeight="1" x14ac:dyDescent="0.2">
      <c r="A1479" s="286" t="s">
        <v>123</v>
      </c>
      <c r="B1479" s="41">
        <v>43620</v>
      </c>
      <c r="C1479" s="41">
        <v>43630</v>
      </c>
      <c r="D1479" s="40" t="s">
        <v>148</v>
      </c>
      <c r="E1479" s="325" t="s">
        <v>125</v>
      </c>
      <c r="F1479" s="40"/>
      <c r="G1479" s="40" t="s">
        <v>149</v>
      </c>
      <c r="H1479" s="325">
        <v>1000</v>
      </c>
      <c r="I1479" s="42">
        <v>53</v>
      </c>
      <c r="J1479" s="42"/>
      <c r="K1479" s="42">
        <v>7</v>
      </c>
      <c r="L1479" s="42">
        <v>2</v>
      </c>
      <c r="M1479" s="42">
        <v>17</v>
      </c>
      <c r="N1479" s="42"/>
      <c r="O1479" s="42"/>
      <c r="P1479" s="42">
        <v>9</v>
      </c>
      <c r="Q1479" s="42"/>
      <c r="R1479" s="43">
        <v>8</v>
      </c>
      <c r="S1479" s="42"/>
      <c r="T1479" s="42"/>
      <c r="U1479" s="42"/>
      <c r="V1479" s="42">
        <v>2</v>
      </c>
      <c r="W1479" s="42"/>
      <c r="X1479" s="42">
        <v>3</v>
      </c>
      <c r="Y1479" s="42"/>
      <c r="Z1479" s="42">
        <v>0</v>
      </c>
      <c r="AA1479" s="42">
        <v>0</v>
      </c>
      <c r="AB1479" s="44">
        <f>100/(SUM(I1479:Z1479))</f>
        <v>0.99009900990099009</v>
      </c>
      <c r="AC1479" s="259">
        <f>SUM(I1479:AA1479)</f>
        <v>101</v>
      </c>
      <c r="AD1479" s="42"/>
      <c r="AE1479" s="42"/>
      <c r="AF1479" s="42"/>
      <c r="AG1479" s="45"/>
      <c r="AH1479" s="132" t="s">
        <v>1317</v>
      </c>
      <c r="AI1479" s="132" t="s">
        <v>1318</v>
      </c>
      <c r="AJ1479" s="40"/>
      <c r="AK1479" s="40" t="s">
        <v>1320</v>
      </c>
      <c r="AL1479" s="45">
        <f>(B1479-DATE(1970,1,1))*86400</f>
        <v>1559606400</v>
      </c>
      <c r="AM1479" s="45">
        <f>(C1479-DATE(1970,1,1))*86400</f>
        <v>1560470400</v>
      </c>
      <c r="AN1479" s="45">
        <f>AVERAGE(AL1479:AM1479)</f>
        <v>1560038400</v>
      </c>
      <c r="AO1479"/>
      <c r="AP1479"/>
      <c r="AQ1479"/>
      <c r="AR1479"/>
      <c r="AS1479"/>
      <c r="AT1479"/>
      <c r="AU1479"/>
      <c r="AV1479"/>
      <c r="AW1479"/>
      <c r="AX1479"/>
      <c r="AY1479"/>
      <c r="AZ1479"/>
      <c r="BA1479"/>
      <c r="BB1479"/>
      <c r="BC1479"/>
      <c r="BD1479"/>
      <c r="BE1479"/>
      <c r="BF1479"/>
      <c r="BG1479"/>
      <c r="BH1479"/>
      <c r="BI1479"/>
      <c r="BJ1479"/>
      <c r="BK1479"/>
      <c r="BL1479"/>
      <c r="BM1479"/>
    </row>
    <row r="1480" spans="1:65" s="505" customFormat="1" ht="15.75" customHeight="1" x14ac:dyDescent="0.2">
      <c r="A1480" s="284" t="s">
        <v>133</v>
      </c>
      <c r="B1480" s="20">
        <v>43621</v>
      </c>
      <c r="C1480" s="20">
        <v>43625</v>
      </c>
      <c r="D1480" s="19" t="s">
        <v>134</v>
      </c>
      <c r="E1480" s="332" t="s">
        <v>125</v>
      </c>
      <c r="F1480" s="19"/>
      <c r="G1480" s="19" t="s">
        <v>135</v>
      </c>
      <c r="H1480" s="332">
        <v>2000</v>
      </c>
      <c r="I1480" s="21">
        <v>32</v>
      </c>
      <c r="J1480" s="21"/>
      <c r="K1480" s="21">
        <v>7</v>
      </c>
      <c r="L1480" s="21">
        <v>2</v>
      </c>
      <c r="M1480" s="21">
        <v>8</v>
      </c>
      <c r="N1480" s="21"/>
      <c r="O1480" s="21"/>
      <c r="P1480" s="21">
        <v>5</v>
      </c>
      <c r="Q1480" s="21"/>
      <c r="R1480" s="22">
        <v>6</v>
      </c>
      <c r="S1480" s="21"/>
      <c r="T1480" s="21"/>
      <c r="U1480" s="21"/>
      <c r="V1480" s="21">
        <v>3</v>
      </c>
      <c r="W1480" s="21"/>
      <c r="X1480" s="21">
        <v>2</v>
      </c>
      <c r="Y1480" s="21"/>
      <c r="Z1480" s="21">
        <v>1</v>
      </c>
      <c r="AA1480" s="21">
        <v>34</v>
      </c>
      <c r="AB1480" s="23">
        <f>100/(SUM(I1480:Z1480))</f>
        <v>1.5151515151515151</v>
      </c>
      <c r="AC1480" s="259">
        <f>SUM(I1480:AA1480)</f>
        <v>100</v>
      </c>
      <c r="AD1480" s="21"/>
      <c r="AE1480" s="21"/>
      <c r="AF1480" s="21"/>
      <c r="AG1480" s="25"/>
      <c r="AH1480" s="83" t="s">
        <v>1321</v>
      </c>
      <c r="AI1480" s="83" t="s">
        <v>1322</v>
      </c>
      <c r="AJ1480" s="19"/>
      <c r="AK1480" s="19"/>
      <c r="AL1480" s="25">
        <f>(B1480-DATE(1970,1,1))*86400</f>
        <v>1559692800</v>
      </c>
      <c r="AM1480" s="25">
        <f>(C1480-DATE(1970,1,1))*86400</f>
        <v>1560038400</v>
      </c>
      <c r="AN1480" s="25">
        <f>AVERAGE(AL1480:AM1480)</f>
        <v>1559865600</v>
      </c>
      <c r="AO1480"/>
      <c r="AP1480"/>
      <c r="AQ1480"/>
      <c r="AR1480"/>
      <c r="AS1480"/>
      <c r="AT1480"/>
      <c r="AU1480"/>
      <c r="AV1480"/>
      <c r="AW1480"/>
      <c r="AX1480"/>
      <c r="AY1480"/>
      <c r="AZ1480"/>
      <c r="BA1480"/>
      <c r="BB1480"/>
      <c r="BC1480"/>
      <c r="BD1480"/>
      <c r="BE1480"/>
      <c r="BF1480"/>
      <c r="BG1480"/>
      <c r="BH1480"/>
      <c r="BI1480"/>
      <c r="BJ1480"/>
      <c r="BK1480"/>
      <c r="BL1480"/>
      <c r="BM1480"/>
    </row>
    <row r="1481" spans="1:65" ht="15.75" customHeight="1" x14ac:dyDescent="0.2">
      <c r="A1481" s="284" t="s">
        <v>133</v>
      </c>
      <c r="B1481" s="20">
        <v>43621</v>
      </c>
      <c r="C1481" s="20">
        <v>43625</v>
      </c>
      <c r="D1481" s="19" t="s">
        <v>134</v>
      </c>
      <c r="E1481" s="332" t="s">
        <v>125</v>
      </c>
      <c r="F1481" s="19"/>
      <c r="G1481" s="19" t="s">
        <v>135</v>
      </c>
      <c r="H1481" s="332">
        <v>2000</v>
      </c>
      <c r="I1481" s="21">
        <v>32</v>
      </c>
      <c r="J1481" s="21"/>
      <c r="K1481" s="21">
        <v>7</v>
      </c>
      <c r="L1481" s="21">
        <v>2</v>
      </c>
      <c r="M1481" s="21">
        <v>8</v>
      </c>
      <c r="N1481" s="21"/>
      <c r="O1481" s="21"/>
      <c r="P1481" s="21">
        <v>5</v>
      </c>
      <c r="Q1481" s="21"/>
      <c r="R1481" s="22">
        <v>6</v>
      </c>
      <c r="S1481" s="21"/>
      <c r="T1481" s="21"/>
      <c r="U1481" s="21"/>
      <c r="V1481" s="21">
        <v>3</v>
      </c>
      <c r="W1481" s="21"/>
      <c r="X1481" s="21">
        <v>2</v>
      </c>
      <c r="Y1481" s="21"/>
      <c r="Z1481" s="21">
        <v>1</v>
      </c>
      <c r="AA1481" s="21">
        <v>34</v>
      </c>
      <c r="AB1481" s="23">
        <f>100/(SUM(I1481:Z1481))</f>
        <v>1.5151515151515151</v>
      </c>
      <c r="AC1481" s="259">
        <f>SUM(I1481:AA1481)</f>
        <v>100</v>
      </c>
      <c r="AD1481" s="21"/>
      <c r="AE1481" s="21"/>
      <c r="AF1481" s="21"/>
      <c r="AG1481" s="25"/>
      <c r="AH1481" s="83" t="s">
        <v>1323</v>
      </c>
      <c r="AI1481" s="83"/>
      <c r="AJ1481" s="19"/>
      <c r="AK1481" s="19" t="s">
        <v>1134</v>
      </c>
      <c r="AL1481" s="25">
        <f>(B1481-DATE(1970,1,1))*86400</f>
        <v>1559692800</v>
      </c>
      <c r="AM1481" s="25">
        <f>(C1481-DATE(1970,1,1))*86400</f>
        <v>1560038400</v>
      </c>
      <c r="AN1481" s="25">
        <f>AVERAGE(AL1481:AM1481)</f>
        <v>1559865600</v>
      </c>
    </row>
    <row r="1482" spans="1:65" ht="15.75" customHeight="1" x14ac:dyDescent="0.2">
      <c r="A1482" s="284" t="s">
        <v>123</v>
      </c>
      <c r="B1482" s="20">
        <v>43621</v>
      </c>
      <c r="C1482" s="20">
        <v>43625</v>
      </c>
      <c r="D1482" s="19" t="s">
        <v>134</v>
      </c>
      <c r="E1482" s="332" t="s">
        <v>125</v>
      </c>
      <c r="F1482" s="19"/>
      <c r="G1482" s="19" t="s">
        <v>135</v>
      </c>
      <c r="H1482" s="332">
        <v>2000</v>
      </c>
      <c r="I1482" s="21">
        <v>49</v>
      </c>
      <c r="J1482" s="21"/>
      <c r="K1482" s="21">
        <v>9</v>
      </c>
      <c r="L1482" s="21">
        <v>2</v>
      </c>
      <c r="M1482" s="21">
        <v>15</v>
      </c>
      <c r="N1482" s="21"/>
      <c r="O1482" s="21"/>
      <c r="P1482" s="21">
        <v>9</v>
      </c>
      <c r="Q1482" s="21"/>
      <c r="R1482" s="22">
        <v>10</v>
      </c>
      <c r="S1482" s="21"/>
      <c r="T1482" s="21"/>
      <c r="U1482" s="21"/>
      <c r="V1482" s="21">
        <v>3</v>
      </c>
      <c r="W1482" s="21"/>
      <c r="X1482" s="21">
        <v>2</v>
      </c>
      <c r="Y1482" s="21"/>
      <c r="Z1482" s="21">
        <v>1</v>
      </c>
      <c r="AA1482" s="21">
        <v>0</v>
      </c>
      <c r="AB1482" s="23">
        <f>100/(SUM(I1482:Z1482))</f>
        <v>1</v>
      </c>
      <c r="AC1482" s="259">
        <f>SUM(I1482:AA1482)</f>
        <v>100</v>
      </c>
      <c r="AD1482" s="21"/>
      <c r="AE1482" s="21"/>
      <c r="AF1482" s="21"/>
      <c r="AG1482" s="25"/>
      <c r="AH1482" s="83" t="s">
        <v>1323</v>
      </c>
      <c r="AI1482" s="83"/>
      <c r="AJ1482" s="19"/>
      <c r="AK1482" s="19" t="s">
        <v>885</v>
      </c>
      <c r="AL1482" s="25">
        <f>(B1482-DATE(1970,1,1))*86400</f>
        <v>1559692800</v>
      </c>
      <c r="AM1482" s="25">
        <f>(C1482-DATE(1970,1,1))*86400</f>
        <v>1560038400</v>
      </c>
      <c r="AN1482" s="25">
        <f>AVERAGE(AL1482:AM1482)</f>
        <v>1559865600</v>
      </c>
    </row>
    <row r="1483" spans="1:65" ht="15.75" customHeight="1" x14ac:dyDescent="0.2">
      <c r="A1483" s="302" t="s">
        <v>133</v>
      </c>
      <c r="B1483" s="254">
        <v>43621</v>
      </c>
      <c r="C1483" s="254">
        <v>43621</v>
      </c>
      <c r="D1483" s="262" t="s">
        <v>2445</v>
      </c>
      <c r="E1483" s="322" t="s">
        <v>184</v>
      </c>
      <c r="F1483" s="121"/>
      <c r="G1483" s="262" t="s">
        <v>244</v>
      </c>
      <c r="H1483" s="379">
        <v>500</v>
      </c>
      <c r="I1483" s="123">
        <v>34</v>
      </c>
      <c r="J1483" s="123">
        <v>5</v>
      </c>
      <c r="K1483" s="123">
        <v>7</v>
      </c>
      <c r="L1483" s="123">
        <v>2</v>
      </c>
      <c r="M1483" s="123">
        <v>7</v>
      </c>
      <c r="N1483" s="123"/>
      <c r="O1483" s="123">
        <v>4</v>
      </c>
      <c r="P1483" s="123">
        <v>4</v>
      </c>
      <c r="Q1483" s="123"/>
      <c r="R1483" s="124"/>
      <c r="S1483" s="123"/>
      <c r="T1483" s="123"/>
      <c r="U1483" s="123"/>
      <c r="V1483" s="123">
        <v>2</v>
      </c>
      <c r="W1483" s="123"/>
      <c r="X1483" s="123">
        <v>3</v>
      </c>
      <c r="Y1483" s="123"/>
      <c r="Z1483" s="123"/>
      <c r="AA1483" s="123">
        <v>32</v>
      </c>
      <c r="AB1483" s="125">
        <f>100/(SUM(I1483:Z1483))</f>
        <v>1.4705882352941178</v>
      </c>
      <c r="AC1483" s="259">
        <f>SUM(I1483:AA1483)</f>
        <v>100</v>
      </c>
      <c r="AD1483" s="123"/>
      <c r="AE1483" s="123"/>
      <c r="AF1483" s="123"/>
      <c r="AG1483" s="263" t="s">
        <v>719</v>
      </c>
      <c r="AH1483" s="253" t="s">
        <v>2008</v>
      </c>
      <c r="AI1483" s="253" t="s">
        <v>2006</v>
      </c>
      <c r="AJ1483" s="127"/>
      <c r="AK1483" s="121"/>
      <c r="AL1483" s="126">
        <f>(B1483-DATE(1970,1,1))*86400</f>
        <v>1559692800</v>
      </c>
      <c r="AM1483" s="126">
        <f>(C1483-DATE(1970,1,1))*86400</f>
        <v>1559692800</v>
      </c>
      <c r="AN1483" s="126">
        <f>AVERAGE(AL1483:AM1483)</f>
        <v>1559692800</v>
      </c>
    </row>
    <row r="1484" spans="1:65" ht="15.75" customHeight="1" x14ac:dyDescent="0.2">
      <c r="A1484" s="302" t="s">
        <v>123</v>
      </c>
      <c r="B1484" s="254">
        <v>43621</v>
      </c>
      <c r="C1484" s="254">
        <v>43621</v>
      </c>
      <c r="D1484" s="262" t="s">
        <v>2445</v>
      </c>
      <c r="E1484" s="322" t="s">
        <v>184</v>
      </c>
      <c r="F1484" s="121"/>
      <c r="G1484" s="262" t="s">
        <v>244</v>
      </c>
      <c r="H1484" s="379">
        <v>500</v>
      </c>
      <c r="I1484" s="123">
        <v>51</v>
      </c>
      <c r="J1484" s="123">
        <v>7</v>
      </c>
      <c r="K1484" s="123">
        <v>10</v>
      </c>
      <c r="L1484" s="123">
        <v>3</v>
      </c>
      <c r="M1484" s="123">
        <v>11</v>
      </c>
      <c r="N1484" s="123"/>
      <c r="O1484" s="123">
        <v>6</v>
      </c>
      <c r="P1484" s="123">
        <v>6</v>
      </c>
      <c r="Q1484" s="123"/>
      <c r="R1484" s="124"/>
      <c r="S1484" s="123"/>
      <c r="T1484" s="123"/>
      <c r="U1484" s="123"/>
      <c r="V1484" s="123">
        <v>2</v>
      </c>
      <c r="W1484" s="123"/>
      <c r="X1484" s="123">
        <v>4</v>
      </c>
      <c r="Y1484" s="123"/>
      <c r="Z1484" s="123"/>
      <c r="AA1484" s="123">
        <v>0</v>
      </c>
      <c r="AB1484" s="125">
        <f>100/(SUM(I1484:Z1484))</f>
        <v>1</v>
      </c>
      <c r="AC1484" s="259">
        <f>SUM(I1484:AA1484)</f>
        <v>100</v>
      </c>
      <c r="AD1484" s="123"/>
      <c r="AE1484" s="123"/>
      <c r="AF1484" s="123"/>
      <c r="AG1484" s="263" t="s">
        <v>719</v>
      </c>
      <c r="AH1484" s="253" t="s">
        <v>2008</v>
      </c>
      <c r="AI1484" s="253" t="s">
        <v>2006</v>
      </c>
      <c r="AJ1484" s="127"/>
      <c r="AK1484" s="121"/>
      <c r="AL1484" s="126">
        <f>(B1484-DATE(1970,1,1))*86400</f>
        <v>1559692800</v>
      </c>
      <c r="AM1484" s="126">
        <f>(C1484-DATE(1970,1,1))*86400</f>
        <v>1559692800</v>
      </c>
      <c r="AN1484" s="126">
        <f>AVERAGE(AL1484:AM1484)</f>
        <v>1559692800</v>
      </c>
    </row>
    <row r="1485" spans="1:65" ht="15.75" customHeight="1" x14ac:dyDescent="0.2">
      <c r="A1485" s="279" t="s">
        <v>123</v>
      </c>
      <c r="B1485" s="14">
        <v>43610</v>
      </c>
      <c r="C1485" s="14">
        <v>43611</v>
      </c>
      <c r="D1485" s="13" t="s">
        <v>124</v>
      </c>
      <c r="E1485" s="324" t="s">
        <v>125</v>
      </c>
      <c r="F1485" s="13" t="s">
        <v>195</v>
      </c>
      <c r="G1485" s="13" t="s">
        <v>126</v>
      </c>
      <c r="H1485" s="324">
        <v>1000</v>
      </c>
      <c r="I1485" s="15">
        <v>56</v>
      </c>
      <c r="J1485" s="15"/>
      <c r="K1485" s="15">
        <v>9</v>
      </c>
      <c r="L1485" s="15">
        <v>3</v>
      </c>
      <c r="M1485" s="15">
        <v>10</v>
      </c>
      <c r="N1485" s="15"/>
      <c r="O1485" s="15"/>
      <c r="P1485" s="15">
        <v>7</v>
      </c>
      <c r="Q1485" s="15"/>
      <c r="R1485" s="15">
        <v>10</v>
      </c>
      <c r="S1485" s="15"/>
      <c r="T1485" s="15"/>
      <c r="U1485" s="15"/>
      <c r="V1485" s="15">
        <v>2</v>
      </c>
      <c r="W1485" s="15"/>
      <c r="X1485" s="15">
        <v>3</v>
      </c>
      <c r="Y1485" s="15"/>
      <c r="Z1485" s="15"/>
      <c r="AA1485" s="15">
        <v>0</v>
      </c>
      <c r="AB1485" s="16">
        <f>100/(SUM(I1485:Z1485))</f>
        <v>1</v>
      </c>
      <c r="AC1485" s="259">
        <f>SUM(I1485:AA1485)</f>
        <v>100</v>
      </c>
      <c r="AD1485" s="15"/>
      <c r="AE1485" s="15"/>
      <c r="AF1485" s="15"/>
      <c r="AG1485" s="15"/>
      <c r="AH1485" s="17" t="s">
        <v>1324</v>
      </c>
      <c r="AI1485" s="13"/>
      <c r="AJ1485" s="13"/>
      <c r="AK1485" s="13" t="s">
        <v>1325</v>
      </c>
      <c r="AL1485" s="17">
        <f>(B1485-DATE(1970,1,1))*86400</f>
        <v>1558742400</v>
      </c>
      <c r="AM1485" s="17">
        <f>(C1485-DATE(1970,1,1))*86400</f>
        <v>1558828800</v>
      </c>
      <c r="AN1485" s="17">
        <f>AVERAGE(AL1485:AM1485)</f>
        <v>1558785600</v>
      </c>
    </row>
    <row r="1486" spans="1:65" ht="15.75" customHeight="1" x14ac:dyDescent="0.2">
      <c r="A1486" s="279" t="s">
        <v>1326</v>
      </c>
      <c r="B1486" s="14">
        <v>43610</v>
      </c>
      <c r="C1486" s="14">
        <v>43610</v>
      </c>
      <c r="D1486" s="13" t="s">
        <v>124</v>
      </c>
      <c r="E1486" s="324" t="s">
        <v>125</v>
      </c>
      <c r="F1486" s="13" t="s">
        <v>1326</v>
      </c>
      <c r="G1486" s="13" t="s">
        <v>1326</v>
      </c>
      <c r="H1486" s="372">
        <v>0</v>
      </c>
      <c r="I1486" s="15">
        <v>55</v>
      </c>
      <c r="J1486" s="15"/>
      <c r="K1486" s="15">
        <v>9</v>
      </c>
      <c r="L1486" s="15">
        <v>3</v>
      </c>
      <c r="M1486" s="15">
        <v>11</v>
      </c>
      <c r="N1486" s="15"/>
      <c r="O1486" s="15"/>
      <c r="P1486" s="15">
        <v>7</v>
      </c>
      <c r="Q1486" s="15"/>
      <c r="R1486" s="15">
        <v>10</v>
      </c>
      <c r="S1486" s="15"/>
      <c r="T1486" s="15"/>
      <c r="U1486" s="15"/>
      <c r="V1486" s="15">
        <v>3</v>
      </c>
      <c r="W1486" s="15"/>
      <c r="X1486" s="15">
        <v>2</v>
      </c>
      <c r="Y1486" s="15"/>
      <c r="Z1486" s="15">
        <v>0</v>
      </c>
      <c r="AA1486" s="15">
        <v>0</v>
      </c>
      <c r="AB1486" s="16">
        <f>100/(SUM(I1486:Z1486))</f>
        <v>1</v>
      </c>
      <c r="AC1486" s="259">
        <f>SUM(I1486:AA1486)</f>
        <v>100</v>
      </c>
      <c r="AD1486" s="15">
        <v>39</v>
      </c>
      <c r="AE1486" s="15"/>
      <c r="AF1486" s="15"/>
      <c r="AG1486" s="157"/>
      <c r="AH1486" s="157" t="s">
        <v>1327</v>
      </c>
      <c r="AI1486" s="18"/>
      <c r="AJ1486" s="18"/>
      <c r="AK1486" s="13"/>
      <c r="AL1486" s="17">
        <f>(B1486-DATE(1970,1,1))*86400</f>
        <v>1558742400</v>
      </c>
      <c r="AM1486" s="17">
        <f>(C1486-DATE(1970,1,1))*86400</f>
        <v>1558742400</v>
      </c>
      <c r="AN1486" s="17">
        <f>AVERAGE(AL1486:AM1486)</f>
        <v>1558742400</v>
      </c>
    </row>
    <row r="1487" spans="1:65" ht="15.75" customHeight="1" x14ac:dyDescent="0.2">
      <c r="A1487" s="449" t="s">
        <v>1326</v>
      </c>
      <c r="B1487" s="460">
        <v>43608</v>
      </c>
      <c r="C1487" s="460">
        <v>43608</v>
      </c>
      <c r="D1487" s="451" t="s">
        <v>143</v>
      </c>
      <c r="E1487" s="452" t="s">
        <v>125</v>
      </c>
      <c r="F1487" s="451" t="s">
        <v>1326</v>
      </c>
      <c r="G1487" s="451" t="s">
        <v>1326</v>
      </c>
      <c r="H1487" s="454">
        <v>0</v>
      </c>
      <c r="I1487" s="455">
        <v>52</v>
      </c>
      <c r="J1487" s="455"/>
      <c r="K1487" s="455">
        <v>11.5</v>
      </c>
      <c r="L1487" s="455">
        <v>4</v>
      </c>
      <c r="M1487" s="455">
        <v>10</v>
      </c>
      <c r="N1487" s="455"/>
      <c r="O1487" s="455"/>
      <c r="P1487" s="455">
        <v>5.5</v>
      </c>
      <c r="Q1487" s="455"/>
      <c r="R1487" s="455">
        <v>10.5</v>
      </c>
      <c r="S1487" s="455"/>
      <c r="T1487" s="455"/>
      <c r="U1487" s="455"/>
      <c r="V1487" s="455">
        <v>3</v>
      </c>
      <c r="W1487" s="455"/>
      <c r="X1487" s="455">
        <v>3</v>
      </c>
      <c r="Y1487" s="455"/>
      <c r="Z1487" s="455">
        <v>0.5</v>
      </c>
      <c r="AA1487" s="455">
        <v>0</v>
      </c>
      <c r="AB1487" s="457">
        <f>100/(SUM(I1487:Z1487))</f>
        <v>1</v>
      </c>
      <c r="AC1487" s="432">
        <f>SUM(I1487:AA1487)</f>
        <v>100</v>
      </c>
      <c r="AD1487" s="455">
        <v>35</v>
      </c>
      <c r="AE1487" s="455"/>
      <c r="AF1487" s="455"/>
      <c r="AG1487" s="459"/>
      <c r="AH1487" s="451" t="s">
        <v>1183</v>
      </c>
      <c r="AI1487" s="458" t="s">
        <v>1328</v>
      </c>
      <c r="AJ1487" s="458" t="s">
        <v>1329</v>
      </c>
      <c r="AK1487" s="451" t="s">
        <v>1330</v>
      </c>
      <c r="AL1487" s="459">
        <f>(B1487-DATE(1970,1,1))*86400</f>
        <v>1558569600</v>
      </c>
      <c r="AM1487" s="459">
        <f>(C1487-DATE(1970,1,1))*86400</f>
        <v>1558569600</v>
      </c>
      <c r="AN1487" s="459">
        <f>AVERAGE(AL1487:AM1487)</f>
        <v>1558569600</v>
      </c>
    </row>
    <row r="1488" spans="1:65" ht="15.75" customHeight="1" x14ac:dyDescent="0.2">
      <c r="A1488" s="311" t="s">
        <v>123</v>
      </c>
      <c r="B1488" s="54">
        <v>43602</v>
      </c>
      <c r="C1488" s="54">
        <v>43608</v>
      </c>
      <c r="D1488" s="53" t="s">
        <v>154</v>
      </c>
      <c r="E1488" s="323" t="s">
        <v>125</v>
      </c>
      <c r="F1488" s="53" t="s">
        <v>2044</v>
      </c>
      <c r="G1488" s="53" t="s">
        <v>126</v>
      </c>
      <c r="H1488" s="323">
        <v>1010</v>
      </c>
      <c r="I1488" s="55">
        <v>52</v>
      </c>
      <c r="J1488" s="55"/>
      <c r="K1488" s="55">
        <v>15</v>
      </c>
      <c r="L1488" s="55">
        <v>4</v>
      </c>
      <c r="M1488" s="55">
        <v>7</v>
      </c>
      <c r="N1488" s="56"/>
      <c r="O1488" s="56"/>
      <c r="P1488" s="55">
        <v>6</v>
      </c>
      <c r="Q1488" s="55"/>
      <c r="R1488" s="55">
        <v>16</v>
      </c>
      <c r="S1488" s="55"/>
      <c r="T1488" s="55"/>
      <c r="U1488" s="55"/>
      <c r="V1488" s="55">
        <v>0</v>
      </c>
      <c r="W1488" s="55"/>
      <c r="X1488" s="55">
        <v>0</v>
      </c>
      <c r="Y1488" s="55"/>
      <c r="Z1488" s="55">
        <v>0</v>
      </c>
      <c r="AA1488" s="55">
        <v>0</v>
      </c>
      <c r="AB1488" s="57">
        <f>100/(SUM(I1488:Z1488))</f>
        <v>1</v>
      </c>
      <c r="AC1488" s="259">
        <f>SUM(I1488:AA1488)</f>
        <v>100</v>
      </c>
      <c r="AD1488" s="55"/>
      <c r="AE1488" s="55"/>
      <c r="AF1488" s="55"/>
      <c r="AG1488" s="58"/>
      <c r="AH1488" s="186" t="s">
        <v>1331</v>
      </c>
      <c r="AI1488" s="59"/>
      <c r="AJ1488" s="59"/>
      <c r="AK1488" s="53" t="s">
        <v>2045</v>
      </c>
      <c r="AL1488" s="58">
        <f>(B1488-DATE(1970,1,1))*86400</f>
        <v>1558051200</v>
      </c>
      <c r="AM1488" s="58">
        <f>(C1488-DATE(1970,1,1))*86400</f>
        <v>1558569600</v>
      </c>
      <c r="AN1488" s="58">
        <f>AVERAGE(AL1488:AM1488)</f>
        <v>1558310400</v>
      </c>
    </row>
    <row r="1489" spans="1:65" ht="15.75" customHeight="1" x14ac:dyDescent="0.2">
      <c r="A1489" s="281" t="s">
        <v>133</v>
      </c>
      <c r="B1489" s="54">
        <v>43601</v>
      </c>
      <c r="C1489" s="54">
        <v>43607</v>
      </c>
      <c r="D1489" s="53" t="s">
        <v>154</v>
      </c>
      <c r="E1489" s="323" t="s">
        <v>125</v>
      </c>
      <c r="F1489" s="53"/>
      <c r="G1489" s="53" t="s">
        <v>126</v>
      </c>
      <c r="H1489" s="323">
        <v>999</v>
      </c>
      <c r="I1489" s="55">
        <v>29</v>
      </c>
      <c r="J1489" s="55"/>
      <c r="K1489" s="55">
        <v>10</v>
      </c>
      <c r="L1489" s="55">
        <v>2</v>
      </c>
      <c r="M1489" s="55">
        <v>4</v>
      </c>
      <c r="N1489" s="56"/>
      <c r="O1489" s="56"/>
      <c r="P1489" s="55">
        <v>2</v>
      </c>
      <c r="Q1489" s="55"/>
      <c r="R1489" s="55">
        <v>11</v>
      </c>
      <c r="S1489" s="55"/>
      <c r="T1489" s="55"/>
      <c r="U1489" s="55"/>
      <c r="V1489" s="55">
        <v>1</v>
      </c>
      <c r="W1489" s="55"/>
      <c r="X1489" s="55">
        <v>0</v>
      </c>
      <c r="Y1489" s="55"/>
      <c r="Z1489" s="55">
        <v>1</v>
      </c>
      <c r="AA1489" s="55">
        <v>39</v>
      </c>
      <c r="AB1489" s="57">
        <f>100/(SUM(I1489:Z1489))</f>
        <v>1.6666666666666667</v>
      </c>
      <c r="AC1489" s="259">
        <f>SUM(I1489:AA1489)</f>
        <v>99</v>
      </c>
      <c r="AD1489" s="55"/>
      <c r="AE1489" s="55"/>
      <c r="AF1489" s="55"/>
      <c r="AG1489" s="58"/>
      <c r="AH1489" s="59" t="s">
        <v>1332</v>
      </c>
      <c r="AI1489" s="59"/>
      <c r="AJ1489" s="59"/>
      <c r="AK1489" s="53"/>
      <c r="AL1489" s="58">
        <f>(B1489-DATE(1970,1,1))*86400</f>
        <v>1557964800</v>
      </c>
      <c r="AM1489" s="58">
        <f>(C1489-DATE(1970,1,1))*86400</f>
        <v>1558483200</v>
      </c>
      <c r="AN1489" s="58">
        <f>AVERAGE(AL1489:AM1489)</f>
        <v>1558224000</v>
      </c>
    </row>
    <row r="1490" spans="1:65" ht="15.75" customHeight="1" x14ac:dyDescent="0.2">
      <c r="A1490" s="281" t="s">
        <v>133</v>
      </c>
      <c r="B1490" s="54">
        <v>43601</v>
      </c>
      <c r="C1490" s="54">
        <v>43607</v>
      </c>
      <c r="D1490" s="53" t="s">
        <v>154</v>
      </c>
      <c r="E1490" s="323" t="s">
        <v>125</v>
      </c>
      <c r="F1490" s="53" t="s">
        <v>195</v>
      </c>
      <c r="G1490" s="53" t="s">
        <v>126</v>
      </c>
      <c r="H1490" s="323">
        <v>999</v>
      </c>
      <c r="I1490" s="55">
        <v>29</v>
      </c>
      <c r="J1490" s="55"/>
      <c r="K1490" s="55">
        <v>10</v>
      </c>
      <c r="L1490" s="55">
        <v>2</v>
      </c>
      <c r="M1490" s="55">
        <v>7</v>
      </c>
      <c r="N1490" s="56"/>
      <c r="O1490" s="56"/>
      <c r="P1490" s="55">
        <v>4</v>
      </c>
      <c r="Q1490" s="55"/>
      <c r="R1490" s="55">
        <v>10</v>
      </c>
      <c r="S1490" s="55"/>
      <c r="T1490" s="55"/>
      <c r="U1490" s="55"/>
      <c r="V1490" s="55">
        <v>1</v>
      </c>
      <c r="W1490" s="55"/>
      <c r="X1490" s="55">
        <v>1</v>
      </c>
      <c r="Y1490" s="55"/>
      <c r="Z1490" s="55"/>
      <c r="AA1490" s="55">
        <v>36</v>
      </c>
      <c r="AB1490" s="57">
        <f>100/(SUM(I1490:Z1490))</f>
        <v>1.5625</v>
      </c>
      <c r="AC1490" s="259">
        <f>SUM(I1490:AA1490)</f>
        <v>100</v>
      </c>
      <c r="AD1490" s="55"/>
      <c r="AE1490" s="55"/>
      <c r="AF1490" s="55"/>
      <c r="AG1490" s="58"/>
      <c r="AH1490" s="59" t="s">
        <v>1332</v>
      </c>
      <c r="AI1490" s="59"/>
      <c r="AJ1490" s="59"/>
      <c r="AK1490" s="53" t="s">
        <v>1333</v>
      </c>
      <c r="AL1490" s="58">
        <f>(B1490-DATE(1970,1,1))*86400</f>
        <v>1557964800</v>
      </c>
      <c r="AM1490" s="58">
        <f>(C1490-DATE(1970,1,1))*86400</f>
        <v>1558483200</v>
      </c>
      <c r="AN1490" s="58">
        <f>AVERAGE(AL1490:AM1490)</f>
        <v>1558224000</v>
      </c>
    </row>
    <row r="1491" spans="1:65" ht="15.75" customHeight="1" x14ac:dyDescent="0.2">
      <c r="A1491" s="281" t="s">
        <v>123</v>
      </c>
      <c r="B1491" s="54">
        <v>43601</v>
      </c>
      <c r="C1491" s="54">
        <v>43607</v>
      </c>
      <c r="D1491" s="53" t="s">
        <v>154</v>
      </c>
      <c r="E1491" s="323" t="s">
        <v>125</v>
      </c>
      <c r="F1491" s="53"/>
      <c r="G1491" s="53" t="s">
        <v>126</v>
      </c>
      <c r="H1491" s="323">
        <v>999</v>
      </c>
      <c r="I1491" s="55">
        <v>37</v>
      </c>
      <c r="J1491" s="55"/>
      <c r="K1491" s="55">
        <v>12</v>
      </c>
      <c r="L1491" s="55">
        <v>3</v>
      </c>
      <c r="M1491" s="55">
        <v>5</v>
      </c>
      <c r="N1491" s="56"/>
      <c r="O1491" s="56"/>
      <c r="P1491" s="55">
        <v>3</v>
      </c>
      <c r="Q1491" s="55"/>
      <c r="R1491" s="55">
        <v>13</v>
      </c>
      <c r="S1491" s="55"/>
      <c r="T1491" s="55"/>
      <c r="U1491" s="55"/>
      <c r="V1491" s="55">
        <v>1</v>
      </c>
      <c r="W1491" s="55"/>
      <c r="X1491" s="55">
        <v>1</v>
      </c>
      <c r="Y1491" s="55"/>
      <c r="Z1491" s="55">
        <v>2</v>
      </c>
      <c r="AA1491" s="55">
        <v>23</v>
      </c>
      <c r="AB1491" s="57">
        <f>100/(SUM(I1491:Z1491))</f>
        <v>1.2987012987012987</v>
      </c>
      <c r="AC1491" s="259">
        <f>SUM(I1491:AA1491)</f>
        <v>100</v>
      </c>
      <c r="AD1491" s="55"/>
      <c r="AE1491" s="55"/>
      <c r="AF1491" s="55"/>
      <c r="AG1491" s="58"/>
      <c r="AH1491" s="59" t="s">
        <v>1332</v>
      </c>
      <c r="AI1491" s="59"/>
      <c r="AJ1491" s="59"/>
      <c r="AK1491" s="53"/>
      <c r="AL1491" s="58">
        <f>(B1491-DATE(1970,1,1))*86400</f>
        <v>1557964800</v>
      </c>
      <c r="AM1491" s="58">
        <f>(C1491-DATE(1970,1,1))*86400</f>
        <v>1558483200</v>
      </c>
      <c r="AN1491" s="58">
        <f>AVERAGE(AL1491:AM1491)</f>
        <v>1558224000</v>
      </c>
    </row>
    <row r="1492" spans="1:65" ht="15.75" customHeight="1" x14ac:dyDescent="0.2">
      <c r="A1492" s="281" t="s">
        <v>123</v>
      </c>
      <c r="B1492" s="54">
        <v>43601</v>
      </c>
      <c r="C1492" s="54">
        <v>43607</v>
      </c>
      <c r="D1492" s="53" t="s">
        <v>154</v>
      </c>
      <c r="E1492" s="323" t="s">
        <v>125</v>
      </c>
      <c r="F1492" s="53" t="s">
        <v>195</v>
      </c>
      <c r="G1492" s="53" t="s">
        <v>126</v>
      </c>
      <c r="H1492" s="323">
        <v>999</v>
      </c>
      <c r="I1492" s="55">
        <v>39</v>
      </c>
      <c r="J1492" s="55"/>
      <c r="K1492" s="55">
        <v>12</v>
      </c>
      <c r="L1492" s="55">
        <v>3</v>
      </c>
      <c r="M1492" s="55">
        <v>9</v>
      </c>
      <c r="N1492" s="56"/>
      <c r="O1492" s="56"/>
      <c r="P1492" s="55">
        <v>5</v>
      </c>
      <c r="Q1492" s="55"/>
      <c r="R1492" s="55">
        <v>11</v>
      </c>
      <c r="S1492" s="55"/>
      <c r="T1492" s="55"/>
      <c r="U1492" s="55"/>
      <c r="V1492" s="55">
        <v>1</v>
      </c>
      <c r="W1492" s="55"/>
      <c r="X1492" s="55">
        <v>1</v>
      </c>
      <c r="Y1492" s="55"/>
      <c r="Z1492" s="55"/>
      <c r="AA1492" s="55">
        <v>19</v>
      </c>
      <c r="AB1492" s="57">
        <f>100/(SUM(I1492:Z1492))</f>
        <v>1.2345679012345678</v>
      </c>
      <c r="AC1492" s="259">
        <f>SUM(I1492:AA1492)</f>
        <v>100</v>
      </c>
      <c r="AD1492" s="55"/>
      <c r="AE1492" s="55"/>
      <c r="AF1492" s="55"/>
      <c r="AG1492" s="58"/>
      <c r="AH1492" s="59" t="s">
        <v>1332</v>
      </c>
      <c r="AI1492" s="59"/>
      <c r="AJ1492" s="59"/>
      <c r="AK1492" s="53" t="s">
        <v>1333</v>
      </c>
      <c r="AL1492" s="58">
        <f>(B1492-DATE(1970,1,1))*86400</f>
        <v>1557964800</v>
      </c>
      <c r="AM1492" s="58">
        <f>(C1492-DATE(1970,1,1))*86400</f>
        <v>1558483200</v>
      </c>
      <c r="AN1492" s="58">
        <f>AVERAGE(AL1492:AM1492)</f>
        <v>1558224000</v>
      </c>
    </row>
    <row r="1493" spans="1:65" ht="15.75" customHeight="1" x14ac:dyDescent="0.2">
      <c r="A1493" s="281" t="s">
        <v>123</v>
      </c>
      <c r="B1493" s="54">
        <v>43601</v>
      </c>
      <c r="C1493" s="54">
        <v>43607</v>
      </c>
      <c r="D1493" s="53" t="s">
        <v>154</v>
      </c>
      <c r="E1493" s="323" t="s">
        <v>125</v>
      </c>
      <c r="F1493" s="53" t="s">
        <v>195</v>
      </c>
      <c r="G1493" s="53" t="s">
        <v>126</v>
      </c>
      <c r="H1493" s="323">
        <v>999</v>
      </c>
      <c r="I1493" s="55">
        <v>52</v>
      </c>
      <c r="J1493" s="55"/>
      <c r="K1493" s="55">
        <v>13</v>
      </c>
      <c r="L1493" s="55">
        <v>4</v>
      </c>
      <c r="M1493" s="55">
        <v>11</v>
      </c>
      <c r="N1493" s="56"/>
      <c r="O1493" s="56"/>
      <c r="P1493" s="55">
        <v>6</v>
      </c>
      <c r="Q1493" s="55"/>
      <c r="R1493" s="55">
        <v>13</v>
      </c>
      <c r="S1493" s="55"/>
      <c r="T1493" s="55"/>
      <c r="U1493" s="55"/>
      <c r="V1493" s="55">
        <v>1</v>
      </c>
      <c r="W1493" s="55"/>
      <c r="X1493" s="55">
        <v>1</v>
      </c>
      <c r="Y1493" s="55"/>
      <c r="Z1493" s="55"/>
      <c r="AA1493" s="55">
        <v>0</v>
      </c>
      <c r="AB1493" s="57">
        <f>100/(SUM(I1493:Z1493))</f>
        <v>0.99009900990099009</v>
      </c>
      <c r="AC1493" s="259">
        <f>SUM(I1493:AA1493)</f>
        <v>101</v>
      </c>
      <c r="AD1493" s="55"/>
      <c r="AE1493" s="55"/>
      <c r="AF1493" s="55"/>
      <c r="AG1493" s="58"/>
      <c r="AH1493" s="59" t="s">
        <v>1332</v>
      </c>
      <c r="AI1493" s="59"/>
      <c r="AJ1493" s="59"/>
      <c r="AK1493" s="53" t="s">
        <v>1333</v>
      </c>
      <c r="AL1493" s="58">
        <f>(B1493-DATE(1970,1,1))*86400</f>
        <v>1557964800</v>
      </c>
      <c r="AM1493" s="58">
        <f>(C1493-DATE(1970,1,1))*86400</f>
        <v>1558483200</v>
      </c>
      <c r="AN1493" s="58">
        <f>AVERAGE(AL1493:AM1493)</f>
        <v>1558224000</v>
      </c>
    </row>
    <row r="1494" spans="1:65" ht="15.75" customHeight="1" x14ac:dyDescent="0.2">
      <c r="A1494" s="281" t="s">
        <v>123</v>
      </c>
      <c r="B1494" s="54">
        <v>43601</v>
      </c>
      <c r="C1494" s="54">
        <v>43607</v>
      </c>
      <c r="D1494" s="53" t="s">
        <v>154</v>
      </c>
      <c r="E1494" s="323" t="s">
        <v>125</v>
      </c>
      <c r="F1494" s="53"/>
      <c r="G1494" s="53" t="s">
        <v>126</v>
      </c>
      <c r="H1494" s="323">
        <v>999</v>
      </c>
      <c r="I1494" s="55">
        <v>52</v>
      </c>
      <c r="J1494" s="55"/>
      <c r="K1494" s="55">
        <v>14</v>
      </c>
      <c r="L1494" s="55">
        <v>4</v>
      </c>
      <c r="M1494" s="55">
        <v>7</v>
      </c>
      <c r="N1494" s="55"/>
      <c r="O1494" s="55"/>
      <c r="P1494" s="55">
        <v>4</v>
      </c>
      <c r="Q1494" s="55"/>
      <c r="R1494" s="55">
        <v>15</v>
      </c>
      <c r="S1494" s="55"/>
      <c r="T1494" s="55"/>
      <c r="U1494" s="55"/>
      <c r="V1494" s="55">
        <v>2</v>
      </c>
      <c r="W1494" s="55"/>
      <c r="X1494" s="55">
        <v>1</v>
      </c>
      <c r="Y1494" s="55"/>
      <c r="Z1494" s="55">
        <v>1</v>
      </c>
      <c r="AA1494" s="55">
        <v>0</v>
      </c>
      <c r="AB1494" s="57">
        <f>100/(SUM(I1494:Z1494))</f>
        <v>1</v>
      </c>
      <c r="AC1494" s="259">
        <f>SUM(I1494:AA1494)</f>
        <v>100</v>
      </c>
      <c r="AD1494" s="55"/>
      <c r="AE1494" s="55"/>
      <c r="AF1494" s="55"/>
      <c r="AG1494" s="58"/>
      <c r="AH1494" s="59" t="s">
        <v>1332</v>
      </c>
      <c r="AI1494" s="59"/>
      <c r="AJ1494" s="59"/>
      <c r="AK1494" s="53"/>
      <c r="AL1494" s="58">
        <f>(B1494-DATE(1970,1,1))*86400</f>
        <v>1557964800</v>
      </c>
      <c r="AM1494" s="58">
        <f>(C1494-DATE(1970,1,1))*86400</f>
        <v>1558483200</v>
      </c>
      <c r="AN1494" s="58">
        <f>AVERAGE(AL1494:AM1494)</f>
        <v>1558224000</v>
      </c>
    </row>
    <row r="1495" spans="1:65" ht="15.75" customHeight="1" x14ac:dyDescent="0.2">
      <c r="A1495" s="449" t="s">
        <v>133</v>
      </c>
      <c r="B1495" s="460">
        <v>43600</v>
      </c>
      <c r="C1495" s="460">
        <v>43603</v>
      </c>
      <c r="D1495" s="451" t="s">
        <v>143</v>
      </c>
      <c r="E1495" s="452" t="s">
        <v>125</v>
      </c>
      <c r="F1495" s="451" t="s">
        <v>195</v>
      </c>
      <c r="G1495" s="451" t="s">
        <v>149</v>
      </c>
      <c r="H1495" s="454">
        <v>1200</v>
      </c>
      <c r="I1495" s="455">
        <v>39</v>
      </c>
      <c r="J1495" s="455"/>
      <c r="K1495" s="455">
        <v>8</v>
      </c>
      <c r="L1495" s="455">
        <v>3</v>
      </c>
      <c r="M1495" s="455">
        <v>7</v>
      </c>
      <c r="N1495" s="455"/>
      <c r="O1495" s="455"/>
      <c r="P1495" s="455">
        <v>4</v>
      </c>
      <c r="Q1495" s="455"/>
      <c r="R1495" s="455">
        <v>8</v>
      </c>
      <c r="S1495" s="455"/>
      <c r="T1495" s="455"/>
      <c r="U1495" s="455"/>
      <c r="V1495" s="455">
        <v>1</v>
      </c>
      <c r="W1495" s="455"/>
      <c r="X1495" s="455">
        <v>1</v>
      </c>
      <c r="Y1495" s="455"/>
      <c r="Z1495" s="455">
        <v>0</v>
      </c>
      <c r="AA1495" s="455">
        <v>29</v>
      </c>
      <c r="AB1495" s="457">
        <f>100/(SUM(I1495:Z1495))</f>
        <v>1.408450704225352</v>
      </c>
      <c r="AC1495" s="432">
        <f>SUM(I1495:AA1495)</f>
        <v>100</v>
      </c>
      <c r="AD1495" s="455">
        <v>51</v>
      </c>
      <c r="AE1495" s="455"/>
      <c r="AF1495" s="455"/>
      <c r="AG1495" s="459"/>
      <c r="AH1495" s="451" t="s">
        <v>1183</v>
      </c>
      <c r="AI1495" s="458" t="s">
        <v>1334</v>
      </c>
      <c r="AJ1495" s="451"/>
      <c r="AK1495" s="576" t="s">
        <v>1335</v>
      </c>
      <c r="AL1495" s="459">
        <f>(B1495-DATE(1970,1,1))*86400</f>
        <v>1557878400</v>
      </c>
      <c r="AM1495" s="459">
        <f>(C1495-DATE(1970,1,1))*86400</f>
        <v>1558137600</v>
      </c>
      <c r="AN1495" s="459">
        <f>AVERAGE(AL1495:AM1495)</f>
        <v>1558008000</v>
      </c>
    </row>
    <row r="1496" spans="1:65" ht="15.75" customHeight="1" x14ac:dyDescent="0.2">
      <c r="A1496" s="449" t="s">
        <v>133</v>
      </c>
      <c r="B1496" s="460">
        <v>43600</v>
      </c>
      <c r="C1496" s="460">
        <v>43603</v>
      </c>
      <c r="D1496" s="451" t="s">
        <v>143</v>
      </c>
      <c r="E1496" s="452" t="s">
        <v>125</v>
      </c>
      <c r="F1496" s="451" t="s">
        <v>195</v>
      </c>
      <c r="G1496" s="451" t="s">
        <v>149</v>
      </c>
      <c r="H1496" s="454">
        <v>1200</v>
      </c>
      <c r="I1496" s="455">
        <v>54</v>
      </c>
      <c r="J1496" s="455"/>
      <c r="K1496" s="455">
        <v>12</v>
      </c>
      <c r="L1496" s="455">
        <v>4</v>
      </c>
      <c r="M1496" s="455">
        <v>9</v>
      </c>
      <c r="N1496" s="455"/>
      <c r="O1496" s="455"/>
      <c r="P1496" s="455">
        <v>5</v>
      </c>
      <c r="Q1496" s="455"/>
      <c r="R1496" s="455">
        <v>11</v>
      </c>
      <c r="S1496" s="455"/>
      <c r="T1496" s="455"/>
      <c r="U1496" s="455"/>
      <c r="V1496" s="455">
        <v>1</v>
      </c>
      <c r="W1496" s="455"/>
      <c r="X1496" s="455">
        <v>2</v>
      </c>
      <c r="Y1496" s="455"/>
      <c r="Z1496" s="455">
        <v>1</v>
      </c>
      <c r="AA1496" s="455">
        <v>0</v>
      </c>
      <c r="AB1496" s="457">
        <f>100/(SUM(I1496:Z1496))</f>
        <v>1.0101010101010102</v>
      </c>
      <c r="AC1496" s="432">
        <f>SUM(I1496:AA1496)</f>
        <v>99</v>
      </c>
      <c r="AD1496" s="455"/>
      <c r="AE1496" s="455"/>
      <c r="AF1496" s="455"/>
      <c r="AG1496" s="459"/>
      <c r="AH1496" s="451" t="s">
        <v>1183</v>
      </c>
      <c r="AI1496" s="458" t="s">
        <v>1334</v>
      </c>
      <c r="AJ1496" s="451"/>
      <c r="AK1496" s="451"/>
      <c r="AL1496" s="459">
        <f>(B1496-DATE(1970,1,1))*86400</f>
        <v>1557878400</v>
      </c>
      <c r="AM1496" s="459">
        <f>(C1496-DATE(1970,1,1))*86400</f>
        <v>1558137600</v>
      </c>
      <c r="AN1496" s="459">
        <f>AVERAGE(AL1496:AM1496)</f>
        <v>1558008000</v>
      </c>
    </row>
    <row r="1497" spans="1:65" ht="15.75" customHeight="1" x14ac:dyDescent="0.2">
      <c r="A1497" s="449" t="s">
        <v>123</v>
      </c>
      <c r="B1497" s="460">
        <v>43600</v>
      </c>
      <c r="C1497" s="460">
        <v>43603</v>
      </c>
      <c r="D1497" s="451" t="s">
        <v>143</v>
      </c>
      <c r="E1497" s="452" t="s">
        <v>125</v>
      </c>
      <c r="F1497" s="451" t="s">
        <v>195</v>
      </c>
      <c r="G1497" s="451" t="s">
        <v>149</v>
      </c>
      <c r="H1497" s="454">
        <v>1200</v>
      </c>
      <c r="I1497" s="455">
        <v>55</v>
      </c>
      <c r="J1497" s="455"/>
      <c r="K1497" s="455">
        <v>12</v>
      </c>
      <c r="L1497" s="455">
        <v>4</v>
      </c>
      <c r="M1497" s="455">
        <v>10</v>
      </c>
      <c r="N1497" s="455"/>
      <c r="O1497" s="455"/>
      <c r="P1497" s="455">
        <v>5</v>
      </c>
      <c r="Q1497" s="455"/>
      <c r="R1497" s="455">
        <v>11</v>
      </c>
      <c r="S1497" s="455"/>
      <c r="T1497" s="455"/>
      <c r="U1497" s="455"/>
      <c r="V1497" s="455">
        <v>1</v>
      </c>
      <c r="W1497" s="455"/>
      <c r="X1497" s="455">
        <v>2</v>
      </c>
      <c r="Y1497" s="455"/>
      <c r="Z1497" s="455">
        <v>0</v>
      </c>
      <c r="AA1497" s="455">
        <v>0</v>
      </c>
      <c r="AB1497" s="457">
        <f>100/(SUM(I1497:Z1497))</f>
        <v>1</v>
      </c>
      <c r="AC1497" s="432">
        <f>SUM(I1497:AA1497)</f>
        <v>100</v>
      </c>
      <c r="AD1497" s="455"/>
      <c r="AE1497" s="455"/>
      <c r="AF1497" s="455"/>
      <c r="AG1497" s="459"/>
      <c r="AH1497" s="451" t="s">
        <v>1183</v>
      </c>
      <c r="AI1497" s="458" t="s">
        <v>1334</v>
      </c>
      <c r="AJ1497" s="451"/>
      <c r="AK1497" s="451"/>
      <c r="AL1497" s="459">
        <f>(B1497-DATE(1970,1,1))*86400</f>
        <v>1557878400</v>
      </c>
      <c r="AM1497" s="459">
        <f>(C1497-DATE(1970,1,1))*86400</f>
        <v>1558137600</v>
      </c>
      <c r="AN1497" s="459">
        <f>AVERAGE(AL1497:AM1497)</f>
        <v>1558008000</v>
      </c>
    </row>
    <row r="1498" spans="1:65" ht="15.75" customHeight="1" x14ac:dyDescent="0.2">
      <c r="A1498" s="280" t="s">
        <v>123</v>
      </c>
      <c r="B1498" s="77">
        <v>43595</v>
      </c>
      <c r="C1498" s="77">
        <v>43603</v>
      </c>
      <c r="D1498" s="76" t="s">
        <v>200</v>
      </c>
      <c r="E1498" s="320" t="s">
        <v>125</v>
      </c>
      <c r="F1498" s="76" t="s">
        <v>195</v>
      </c>
      <c r="G1498" s="76" t="s">
        <v>126</v>
      </c>
      <c r="H1498" s="320">
        <v>1000</v>
      </c>
      <c r="I1498" s="78">
        <v>51</v>
      </c>
      <c r="J1498" s="78"/>
      <c r="K1498" s="78">
        <v>9</v>
      </c>
      <c r="L1498" s="78">
        <v>3</v>
      </c>
      <c r="M1498" s="78">
        <v>11</v>
      </c>
      <c r="N1498" s="78"/>
      <c r="O1498" s="78"/>
      <c r="P1498" s="78">
        <v>6</v>
      </c>
      <c r="Q1498" s="78"/>
      <c r="R1498" s="78">
        <v>7</v>
      </c>
      <c r="S1498" s="78"/>
      <c r="T1498" s="78"/>
      <c r="U1498" s="78"/>
      <c r="V1498" s="78"/>
      <c r="W1498" s="78"/>
      <c r="X1498" s="78">
        <v>3</v>
      </c>
      <c r="Y1498" s="78"/>
      <c r="Z1498" s="78">
        <v>3</v>
      </c>
      <c r="AA1498" s="78">
        <v>7</v>
      </c>
      <c r="AB1498" s="79">
        <f>100/(SUM(I1498:Z1498))</f>
        <v>1.075268817204301</v>
      </c>
      <c r="AC1498" s="259">
        <f>SUM(I1498:AA1498)</f>
        <v>100</v>
      </c>
      <c r="AD1498" s="78"/>
      <c r="AE1498" s="78"/>
      <c r="AF1498" s="78"/>
      <c r="AG1498" s="80"/>
      <c r="AH1498" s="81" t="s">
        <v>1337</v>
      </c>
      <c r="AI1498" s="76" t="s">
        <v>1338</v>
      </c>
      <c r="AJ1498" s="76"/>
      <c r="AK1498" s="76" t="s">
        <v>1339</v>
      </c>
      <c r="AL1498" s="80">
        <f>(B1498-DATE(1970,1,1))*86400</f>
        <v>1557446400</v>
      </c>
      <c r="AM1498" s="80">
        <f>(C1498-DATE(1970,1,1))*86400</f>
        <v>1558137600</v>
      </c>
      <c r="AN1498" s="80">
        <f>AVERAGE(AL1498:AM1498)</f>
        <v>1557792000</v>
      </c>
    </row>
    <row r="1499" spans="1:65" ht="15.75" customHeight="1" x14ac:dyDescent="0.2">
      <c r="A1499" s="280" t="s">
        <v>123</v>
      </c>
      <c r="B1499" s="77">
        <v>43595</v>
      </c>
      <c r="C1499" s="77">
        <v>43603</v>
      </c>
      <c r="D1499" s="76" t="s">
        <v>200</v>
      </c>
      <c r="E1499" s="320" t="s">
        <v>125</v>
      </c>
      <c r="F1499" s="76" t="s">
        <v>195</v>
      </c>
      <c r="G1499" s="76" t="s">
        <v>126</v>
      </c>
      <c r="H1499" s="320">
        <v>1000</v>
      </c>
      <c r="I1499" s="78">
        <v>54.8</v>
      </c>
      <c r="J1499" s="78"/>
      <c r="K1499" s="78">
        <v>9.6999999999999993</v>
      </c>
      <c r="L1499" s="78">
        <v>3.2</v>
      </c>
      <c r="M1499" s="78">
        <v>11.8</v>
      </c>
      <c r="N1499" s="78"/>
      <c r="O1499" s="78"/>
      <c r="P1499" s="78">
        <v>6.5</v>
      </c>
      <c r="Q1499" s="78"/>
      <c r="R1499" s="78">
        <v>7.5</v>
      </c>
      <c r="S1499" s="78"/>
      <c r="T1499" s="78"/>
      <c r="U1499" s="78"/>
      <c r="V1499" s="158"/>
      <c r="W1499" s="78"/>
      <c r="X1499" s="78">
        <v>3.2</v>
      </c>
      <c r="Y1499" s="78"/>
      <c r="Z1499" s="78">
        <v>3.2</v>
      </c>
      <c r="AA1499" s="78">
        <v>0</v>
      </c>
      <c r="AB1499" s="79">
        <f>100/(SUM(I1499:Z1499))</f>
        <v>1.0010010010010009</v>
      </c>
      <c r="AC1499" s="259">
        <f>SUM(I1499:AA1499)</f>
        <v>99.9</v>
      </c>
      <c r="AD1499" s="78"/>
      <c r="AE1499" s="78"/>
      <c r="AF1499" s="78"/>
      <c r="AG1499" s="80"/>
      <c r="AH1499" s="81" t="s">
        <v>1331</v>
      </c>
      <c r="AI1499" s="76" t="s">
        <v>1924</v>
      </c>
      <c r="AJ1499" s="76"/>
      <c r="AK1499" s="76" t="s">
        <v>1336</v>
      </c>
      <c r="AL1499" s="80">
        <f>(B1499-DATE(1970,1,1))*86400</f>
        <v>1557446400</v>
      </c>
      <c r="AM1499" s="80">
        <f>(C1499-DATE(1970,1,1))*86400</f>
        <v>1558137600</v>
      </c>
      <c r="AN1499" s="80">
        <f>AVERAGE(AL1499:AM1499)</f>
        <v>1557792000</v>
      </c>
      <c r="AO1499" s="6"/>
      <c r="AP1499" s="6"/>
      <c r="AQ1499" s="6"/>
      <c r="AR1499" s="6"/>
      <c r="AS1499" s="6"/>
      <c r="AT1499" s="6"/>
      <c r="AU1499" s="6"/>
      <c r="AV1499" s="6"/>
      <c r="AW1499" s="6"/>
      <c r="AX1499" s="6"/>
      <c r="AY1499" s="6"/>
      <c r="AZ1499" s="6"/>
      <c r="BA1499" s="6"/>
      <c r="BB1499" s="6"/>
      <c r="BC1499" s="6"/>
      <c r="BD1499" s="6"/>
      <c r="BE1499" s="6"/>
      <c r="BF1499" s="6"/>
      <c r="BG1499" s="6"/>
      <c r="BH1499" s="6"/>
      <c r="BI1499" s="6"/>
      <c r="BJ1499" s="6"/>
      <c r="BK1499" s="6"/>
      <c r="BL1499" s="6"/>
      <c r="BM1499" s="6"/>
    </row>
    <row r="1500" spans="1:65" ht="15.75" customHeight="1" x14ac:dyDescent="0.2">
      <c r="A1500" s="279" t="s">
        <v>123</v>
      </c>
      <c r="B1500" s="14">
        <v>43587</v>
      </c>
      <c r="C1500" s="14">
        <v>43604</v>
      </c>
      <c r="D1500" s="13" t="s">
        <v>124</v>
      </c>
      <c r="E1500" s="324" t="s">
        <v>125</v>
      </c>
      <c r="F1500" s="13" t="s">
        <v>195</v>
      </c>
      <c r="G1500" s="13" t="s">
        <v>149</v>
      </c>
      <c r="H1500" s="372">
        <v>4000</v>
      </c>
      <c r="I1500" s="15">
        <v>54</v>
      </c>
      <c r="J1500" s="15"/>
      <c r="K1500" s="15">
        <v>10</v>
      </c>
      <c r="L1500" s="15">
        <v>5</v>
      </c>
      <c r="M1500" s="15">
        <v>10</v>
      </c>
      <c r="N1500" s="15"/>
      <c r="O1500" s="15"/>
      <c r="P1500" s="15">
        <v>6</v>
      </c>
      <c r="Q1500" s="15"/>
      <c r="R1500" s="15">
        <v>10</v>
      </c>
      <c r="S1500" s="15"/>
      <c r="T1500" s="15"/>
      <c r="U1500" s="15"/>
      <c r="V1500" s="15">
        <v>3</v>
      </c>
      <c r="W1500" s="15"/>
      <c r="X1500" s="15">
        <v>2</v>
      </c>
      <c r="Y1500" s="15"/>
      <c r="Z1500" s="15">
        <v>0</v>
      </c>
      <c r="AA1500" s="15">
        <v>0</v>
      </c>
      <c r="AB1500" s="16">
        <f>100/(SUM(I1500:Z1500))</f>
        <v>1</v>
      </c>
      <c r="AC1500" s="259">
        <f>SUM(I1500:AA1500)</f>
        <v>100</v>
      </c>
      <c r="AD1500" s="15"/>
      <c r="AE1500" s="15"/>
      <c r="AF1500" s="15"/>
      <c r="AG1500" s="15"/>
      <c r="AH1500" s="17" t="s">
        <v>1340</v>
      </c>
      <c r="AI1500" s="18" t="s">
        <v>1341</v>
      </c>
      <c r="AJ1500" s="18"/>
      <c r="AK1500" s="13" t="s">
        <v>1342</v>
      </c>
      <c r="AL1500" s="17">
        <f>(B1500-DATE(1970,1,1))*86400</f>
        <v>1556755200</v>
      </c>
      <c r="AM1500" s="17">
        <f>(C1500-DATE(1970,1,1))*86400</f>
        <v>1558224000</v>
      </c>
      <c r="AN1500" s="17">
        <f>AVERAGE(AL1500:AM1500)</f>
        <v>1557489600</v>
      </c>
    </row>
    <row r="1501" spans="1:65" ht="15.75" customHeight="1" x14ac:dyDescent="0.2">
      <c r="A1501" s="286" t="s">
        <v>133</v>
      </c>
      <c r="B1501" s="41">
        <v>43589</v>
      </c>
      <c r="C1501" s="41">
        <v>43599</v>
      </c>
      <c r="D1501" s="40" t="s">
        <v>148</v>
      </c>
      <c r="E1501" s="325" t="s">
        <v>125</v>
      </c>
      <c r="F1501" s="40" t="s">
        <v>195</v>
      </c>
      <c r="G1501" s="40" t="s">
        <v>149</v>
      </c>
      <c r="H1501" s="325">
        <v>1000</v>
      </c>
      <c r="I1501" s="42">
        <v>33</v>
      </c>
      <c r="J1501" s="42"/>
      <c r="K1501" s="42">
        <v>9</v>
      </c>
      <c r="L1501" s="42">
        <v>4</v>
      </c>
      <c r="M1501" s="42">
        <v>7</v>
      </c>
      <c r="N1501" s="42"/>
      <c r="O1501" s="42"/>
      <c r="P1501" s="42">
        <v>3</v>
      </c>
      <c r="Q1501" s="42"/>
      <c r="R1501" s="43">
        <v>8</v>
      </c>
      <c r="S1501" s="42"/>
      <c r="T1501" s="42"/>
      <c r="U1501" s="42"/>
      <c r="V1501" s="42">
        <v>2</v>
      </c>
      <c r="W1501" s="42"/>
      <c r="X1501" s="42">
        <v>2</v>
      </c>
      <c r="Y1501" s="42"/>
      <c r="Z1501" s="42">
        <v>1</v>
      </c>
      <c r="AA1501" s="42">
        <v>31</v>
      </c>
      <c r="AB1501" s="44">
        <f>100/(SUM(I1501:Z1501))</f>
        <v>1.4492753623188406</v>
      </c>
      <c r="AC1501" s="259">
        <f>SUM(I1501:AA1501)</f>
        <v>100</v>
      </c>
      <c r="AD1501" s="42">
        <v>45</v>
      </c>
      <c r="AE1501" s="42"/>
      <c r="AF1501" s="42"/>
      <c r="AG1501" s="45"/>
      <c r="AH1501" s="132" t="s">
        <v>1343</v>
      </c>
      <c r="AI1501" s="132" t="s">
        <v>1344</v>
      </c>
      <c r="AJ1501" s="40" t="s">
        <v>1344</v>
      </c>
      <c r="AK1501" s="40" t="s">
        <v>1345</v>
      </c>
      <c r="AL1501" s="45">
        <f>(B1501-DATE(1970,1,1))*86400</f>
        <v>1556928000</v>
      </c>
      <c r="AM1501" s="45">
        <f>(C1501-DATE(1970,1,1))*86400</f>
        <v>1557792000</v>
      </c>
      <c r="AN1501" s="45">
        <f>AVERAGE(AL1501:AM1501)</f>
        <v>1557360000</v>
      </c>
    </row>
    <row r="1502" spans="1:65" ht="15.75" customHeight="1" x14ac:dyDescent="0.2">
      <c r="A1502" s="286" t="s">
        <v>123</v>
      </c>
      <c r="B1502" s="41">
        <v>43589</v>
      </c>
      <c r="C1502" s="41">
        <v>43599</v>
      </c>
      <c r="D1502" s="40" t="s">
        <v>148</v>
      </c>
      <c r="E1502" s="325" t="s">
        <v>125</v>
      </c>
      <c r="F1502" s="40" t="s">
        <v>195</v>
      </c>
      <c r="G1502" s="40" t="s">
        <v>149</v>
      </c>
      <c r="H1502" s="325">
        <v>1000</v>
      </c>
      <c r="I1502" s="42">
        <v>53</v>
      </c>
      <c r="J1502" s="42"/>
      <c r="K1502" s="42">
        <v>12</v>
      </c>
      <c r="L1502" s="42">
        <v>5</v>
      </c>
      <c r="M1502" s="42">
        <v>11</v>
      </c>
      <c r="N1502" s="42"/>
      <c r="O1502" s="42"/>
      <c r="P1502" s="42">
        <v>4</v>
      </c>
      <c r="Q1502" s="42"/>
      <c r="R1502" s="43">
        <v>12</v>
      </c>
      <c r="S1502" s="42"/>
      <c r="T1502" s="42"/>
      <c r="U1502" s="42"/>
      <c r="V1502" s="42">
        <v>2</v>
      </c>
      <c r="W1502" s="42"/>
      <c r="X1502" s="42">
        <v>2</v>
      </c>
      <c r="Y1502" s="42"/>
      <c r="Z1502" s="42">
        <v>0</v>
      </c>
      <c r="AA1502" s="42">
        <v>0</v>
      </c>
      <c r="AB1502" s="44">
        <f>100/(SUM(I1502:Z1502))</f>
        <v>0.99009900990099009</v>
      </c>
      <c r="AC1502" s="259">
        <f>SUM(I1502:AA1502)</f>
        <v>101</v>
      </c>
      <c r="AD1502" s="42"/>
      <c r="AE1502" s="42"/>
      <c r="AF1502" s="42"/>
      <c r="AG1502" s="45"/>
      <c r="AH1502" s="132" t="s">
        <v>1343</v>
      </c>
      <c r="AI1502" s="132" t="s">
        <v>1344</v>
      </c>
      <c r="AJ1502" s="40" t="s">
        <v>1344</v>
      </c>
      <c r="AK1502" s="40" t="s">
        <v>1346</v>
      </c>
      <c r="AL1502" s="45">
        <f>(B1502-DATE(1970,1,1))*86400</f>
        <v>1556928000</v>
      </c>
      <c r="AM1502" s="45">
        <f>(C1502-DATE(1970,1,1))*86400</f>
        <v>1557792000</v>
      </c>
      <c r="AN1502" s="45">
        <f>AVERAGE(AL1502:AM1502)</f>
        <v>1557360000</v>
      </c>
    </row>
    <row r="1503" spans="1:65" ht="15.75" customHeight="1" x14ac:dyDescent="0.2">
      <c r="A1503" s="296" t="s">
        <v>133</v>
      </c>
      <c r="B1503" s="100">
        <v>43591</v>
      </c>
      <c r="C1503" s="100">
        <v>43596</v>
      </c>
      <c r="D1503" s="99" t="s">
        <v>276</v>
      </c>
      <c r="E1503" s="326" t="s">
        <v>125</v>
      </c>
      <c r="F1503" s="99" t="s">
        <v>195</v>
      </c>
      <c r="G1503" s="99" t="s">
        <v>126</v>
      </c>
      <c r="H1503" s="326">
        <v>1000</v>
      </c>
      <c r="I1503" s="101">
        <v>32</v>
      </c>
      <c r="J1503" s="101"/>
      <c r="K1503" s="101">
        <v>9</v>
      </c>
      <c r="L1503" s="101">
        <v>3</v>
      </c>
      <c r="M1503" s="101">
        <v>5</v>
      </c>
      <c r="N1503" s="101"/>
      <c r="O1503" s="101"/>
      <c r="P1503" s="101">
        <v>4</v>
      </c>
      <c r="Q1503" s="101"/>
      <c r="R1503" s="131">
        <v>6</v>
      </c>
      <c r="S1503" s="101"/>
      <c r="T1503" s="101"/>
      <c r="U1503" s="101"/>
      <c r="V1503" s="101">
        <v>3</v>
      </c>
      <c r="W1503" s="101"/>
      <c r="X1503" s="101">
        <v>2</v>
      </c>
      <c r="Y1503" s="101"/>
      <c r="Z1503" s="101">
        <v>1</v>
      </c>
      <c r="AA1503" s="101">
        <v>35</v>
      </c>
      <c r="AB1503" s="102">
        <f>100/(SUM(I1503:Z1503))</f>
        <v>1.5384615384615385</v>
      </c>
      <c r="AC1503" s="259">
        <f>SUM(I1503:AA1503)</f>
        <v>100</v>
      </c>
      <c r="AD1503" s="101"/>
      <c r="AE1503" s="101"/>
      <c r="AF1503" s="101"/>
      <c r="AG1503" s="103"/>
      <c r="AH1503" s="104" t="s">
        <v>1347</v>
      </c>
      <c r="AI1503" s="104" t="s">
        <v>1348</v>
      </c>
      <c r="AJ1503" s="99"/>
      <c r="AK1503" s="99" t="s">
        <v>1134</v>
      </c>
      <c r="AL1503" s="103">
        <f>(B1503-DATE(1970,1,1))*86400</f>
        <v>1557100800</v>
      </c>
      <c r="AM1503" s="103">
        <f>(C1503-DATE(1970,1,1))*86400</f>
        <v>1557532800</v>
      </c>
      <c r="AN1503" s="103">
        <f>AVERAGE(AL1503:AM1503)</f>
        <v>1557316800</v>
      </c>
    </row>
    <row r="1504" spans="1:65" ht="15.75" customHeight="1" x14ac:dyDescent="0.2">
      <c r="A1504" s="296" t="s">
        <v>123</v>
      </c>
      <c r="B1504" s="100">
        <v>43591</v>
      </c>
      <c r="C1504" s="100">
        <v>43596</v>
      </c>
      <c r="D1504" s="99" t="s">
        <v>276</v>
      </c>
      <c r="E1504" s="326" t="s">
        <v>125</v>
      </c>
      <c r="F1504" s="99" t="s">
        <v>195</v>
      </c>
      <c r="G1504" s="99" t="s">
        <v>126</v>
      </c>
      <c r="H1504" s="326">
        <v>1000</v>
      </c>
      <c r="I1504" s="101">
        <v>50</v>
      </c>
      <c r="J1504" s="101"/>
      <c r="K1504" s="101">
        <v>14</v>
      </c>
      <c r="L1504" s="101">
        <v>5</v>
      </c>
      <c r="M1504" s="101">
        <v>8</v>
      </c>
      <c r="N1504" s="101"/>
      <c r="O1504" s="101"/>
      <c r="P1504" s="101">
        <v>6</v>
      </c>
      <c r="Q1504" s="101"/>
      <c r="R1504" s="131">
        <v>9</v>
      </c>
      <c r="S1504" s="101"/>
      <c r="T1504" s="101"/>
      <c r="U1504" s="101"/>
      <c r="V1504" s="101">
        <v>4</v>
      </c>
      <c r="W1504" s="101"/>
      <c r="X1504" s="101">
        <v>2</v>
      </c>
      <c r="Y1504" s="101"/>
      <c r="Z1504" s="101">
        <v>2</v>
      </c>
      <c r="AA1504" s="101">
        <v>0</v>
      </c>
      <c r="AB1504" s="102">
        <f>100/(SUM(I1504:Z1504))</f>
        <v>1</v>
      </c>
      <c r="AC1504" s="259">
        <f>SUM(I1504:AA1504)</f>
        <v>100</v>
      </c>
      <c r="AD1504" s="101"/>
      <c r="AE1504" s="101"/>
      <c r="AF1504" s="101"/>
      <c r="AG1504" s="103"/>
      <c r="AH1504" s="104" t="s">
        <v>1347</v>
      </c>
      <c r="AI1504" s="104" t="s">
        <v>1348</v>
      </c>
      <c r="AJ1504" s="99"/>
      <c r="AK1504" s="99" t="s">
        <v>1078</v>
      </c>
      <c r="AL1504" s="103">
        <f>(B1504-DATE(1970,1,1))*86400</f>
        <v>1557100800</v>
      </c>
      <c r="AM1504" s="103">
        <f>(C1504-DATE(1970,1,1))*86400</f>
        <v>1557532800</v>
      </c>
      <c r="AN1504" s="103">
        <f>AVERAGE(AL1504:AM1504)</f>
        <v>1557316800</v>
      </c>
    </row>
    <row r="1505" spans="1:40" ht="15.75" customHeight="1" x14ac:dyDescent="0.2">
      <c r="A1505" s="284" t="s">
        <v>133</v>
      </c>
      <c r="B1505" s="20">
        <v>43587</v>
      </c>
      <c r="C1505" s="20">
        <v>43591</v>
      </c>
      <c r="D1505" s="19" t="s">
        <v>134</v>
      </c>
      <c r="E1505" s="332" t="s">
        <v>125</v>
      </c>
      <c r="F1505" s="19" t="s">
        <v>195</v>
      </c>
      <c r="G1505" s="19" t="s">
        <v>135</v>
      </c>
      <c r="H1505" s="332">
        <v>2000</v>
      </c>
      <c r="I1505" s="21">
        <v>32</v>
      </c>
      <c r="J1505" s="21">
        <v>7</v>
      </c>
      <c r="K1505" s="21">
        <v>9</v>
      </c>
      <c r="L1505" s="21">
        <v>3</v>
      </c>
      <c r="M1505" s="21">
        <v>6</v>
      </c>
      <c r="N1505" s="21"/>
      <c r="O1505" s="21">
        <v>1</v>
      </c>
      <c r="P1505" s="21">
        <v>3</v>
      </c>
      <c r="Q1505" s="21"/>
      <c r="R1505" s="22"/>
      <c r="S1505" s="21"/>
      <c r="T1505" s="21"/>
      <c r="U1505" s="21"/>
      <c r="V1505" s="21">
        <v>3</v>
      </c>
      <c r="W1505" s="21"/>
      <c r="X1505" s="21">
        <v>1</v>
      </c>
      <c r="Y1505" s="21"/>
      <c r="Z1505" s="21">
        <v>1</v>
      </c>
      <c r="AA1505" s="21">
        <v>34</v>
      </c>
      <c r="AB1505" s="23">
        <f>100/(SUM(I1505:Z1505))</f>
        <v>1.5151515151515151</v>
      </c>
      <c r="AC1505" s="259">
        <f>SUM(I1505:AA1505)</f>
        <v>100</v>
      </c>
      <c r="AD1505" s="21"/>
      <c r="AE1505" s="21"/>
      <c r="AF1505" s="21"/>
      <c r="AG1505" s="25"/>
      <c r="AH1505" s="159" t="s">
        <v>1349</v>
      </c>
      <c r="AI1505" s="83"/>
      <c r="AJ1505" s="19"/>
      <c r="AK1505" s="19"/>
      <c r="AL1505" s="25">
        <f>(B1505-DATE(1970,1,1))*86400</f>
        <v>1556755200</v>
      </c>
      <c r="AM1505" s="25">
        <f>(C1505-DATE(1970,1,1))*86400</f>
        <v>1557100800</v>
      </c>
      <c r="AN1505" s="25">
        <f>AVERAGE(AL1505:AM1505)</f>
        <v>1556928000</v>
      </c>
    </row>
    <row r="1506" spans="1:40" ht="15.75" customHeight="1" x14ac:dyDescent="0.2">
      <c r="A1506" s="284" t="s">
        <v>123</v>
      </c>
      <c r="B1506" s="20">
        <v>43587</v>
      </c>
      <c r="C1506" s="20">
        <v>43591</v>
      </c>
      <c r="D1506" s="19" t="s">
        <v>134</v>
      </c>
      <c r="E1506" s="332" t="s">
        <v>125</v>
      </c>
      <c r="F1506" s="19" t="s">
        <v>195</v>
      </c>
      <c r="G1506" s="19" t="s">
        <v>135</v>
      </c>
      <c r="H1506" s="332">
        <v>2000</v>
      </c>
      <c r="I1506" s="21">
        <v>50</v>
      </c>
      <c r="J1506" s="21">
        <v>10</v>
      </c>
      <c r="K1506" s="21">
        <v>13</v>
      </c>
      <c r="L1506" s="21">
        <v>5</v>
      </c>
      <c r="M1506" s="21">
        <v>9</v>
      </c>
      <c r="N1506" s="21"/>
      <c r="O1506" s="21">
        <v>2</v>
      </c>
      <c r="P1506" s="21">
        <v>4</v>
      </c>
      <c r="Q1506" s="21"/>
      <c r="R1506" s="22"/>
      <c r="S1506" s="21"/>
      <c r="T1506" s="21"/>
      <c r="U1506" s="21"/>
      <c r="V1506" s="21">
        <v>4</v>
      </c>
      <c r="W1506" s="21"/>
      <c r="X1506" s="21">
        <v>2</v>
      </c>
      <c r="Y1506" s="21"/>
      <c r="Z1506" s="21">
        <v>1</v>
      </c>
      <c r="AA1506" s="21">
        <v>0</v>
      </c>
      <c r="AB1506" s="23">
        <f>100/(SUM(I1506:Z1506))</f>
        <v>1</v>
      </c>
      <c r="AC1506" s="259">
        <f>SUM(I1506:AA1506)</f>
        <v>100</v>
      </c>
      <c r="AD1506" s="21"/>
      <c r="AE1506" s="21"/>
      <c r="AF1506" s="21"/>
      <c r="AG1506" s="25"/>
      <c r="AH1506" s="159" t="s">
        <v>1349</v>
      </c>
      <c r="AI1506" s="83"/>
      <c r="AJ1506" s="19"/>
      <c r="AK1506" s="19"/>
      <c r="AL1506" s="25">
        <f>(B1506-DATE(1970,1,1))*86400</f>
        <v>1556755200</v>
      </c>
      <c r="AM1506" s="25">
        <f>(C1506-DATE(1970,1,1))*86400</f>
        <v>1557100800</v>
      </c>
      <c r="AN1506" s="25">
        <f>AVERAGE(AL1506:AM1506)</f>
        <v>1556928000</v>
      </c>
    </row>
    <row r="1507" spans="1:40" ht="15.75" customHeight="1" x14ac:dyDescent="0.2">
      <c r="A1507" s="302" t="s">
        <v>133</v>
      </c>
      <c r="B1507" s="254">
        <v>43587</v>
      </c>
      <c r="C1507" s="254">
        <v>43587</v>
      </c>
      <c r="D1507" s="262" t="s">
        <v>2445</v>
      </c>
      <c r="E1507" s="322" t="s">
        <v>184</v>
      </c>
      <c r="F1507" s="121"/>
      <c r="G1507" s="262" t="s">
        <v>244</v>
      </c>
      <c r="H1507" s="379">
        <v>500</v>
      </c>
      <c r="I1507" s="123">
        <v>34</v>
      </c>
      <c r="J1507" s="123">
        <v>8</v>
      </c>
      <c r="K1507" s="123">
        <v>8</v>
      </c>
      <c r="L1507" s="123">
        <v>2</v>
      </c>
      <c r="M1507" s="123">
        <v>5</v>
      </c>
      <c r="N1507" s="123"/>
      <c r="O1507" s="123">
        <v>1</v>
      </c>
      <c r="P1507" s="123">
        <v>2</v>
      </c>
      <c r="Q1507" s="123"/>
      <c r="R1507" s="124"/>
      <c r="S1507" s="123"/>
      <c r="T1507" s="123"/>
      <c r="U1507" s="123"/>
      <c r="V1507" s="123">
        <v>2</v>
      </c>
      <c r="W1507" s="123"/>
      <c r="X1507" s="123">
        <v>2</v>
      </c>
      <c r="Y1507" s="123"/>
      <c r="Z1507" s="123">
        <v>1</v>
      </c>
      <c r="AA1507" s="123">
        <v>35</v>
      </c>
      <c r="AB1507" s="125">
        <f>100/(SUM(I1507:Z1507))</f>
        <v>1.5384615384615385</v>
      </c>
      <c r="AC1507" s="259">
        <f>SUM(I1507:AA1507)</f>
        <v>100</v>
      </c>
      <c r="AD1507" s="123"/>
      <c r="AE1507" s="123"/>
      <c r="AF1507" s="123"/>
      <c r="AG1507" s="263" t="s">
        <v>719</v>
      </c>
      <c r="AH1507" s="253" t="s">
        <v>2003</v>
      </c>
      <c r="AI1507" s="253"/>
      <c r="AJ1507" s="127"/>
      <c r="AK1507" s="121" t="s">
        <v>2004</v>
      </c>
      <c r="AL1507" s="126">
        <f>(B1507-DATE(1970,1,1))*86400</f>
        <v>1556755200</v>
      </c>
      <c r="AM1507" s="126">
        <f>(C1507-DATE(1970,1,1))*86400</f>
        <v>1556755200</v>
      </c>
      <c r="AN1507" s="126">
        <f>AVERAGE(AL1507:AM1507)</f>
        <v>1556755200</v>
      </c>
    </row>
    <row r="1508" spans="1:40" ht="15.75" customHeight="1" x14ac:dyDescent="0.2">
      <c r="A1508" s="302" t="s">
        <v>123</v>
      </c>
      <c r="B1508" s="254">
        <v>43587</v>
      </c>
      <c r="C1508" s="254">
        <v>43587</v>
      </c>
      <c r="D1508" s="262" t="s">
        <v>2445</v>
      </c>
      <c r="E1508" s="322" t="s">
        <v>184</v>
      </c>
      <c r="F1508" s="121"/>
      <c r="G1508" s="262" t="s">
        <v>244</v>
      </c>
      <c r="H1508" s="379">
        <v>500</v>
      </c>
      <c r="I1508" s="123">
        <v>51</v>
      </c>
      <c r="J1508" s="123">
        <v>12</v>
      </c>
      <c r="K1508" s="123">
        <v>12</v>
      </c>
      <c r="L1508" s="123">
        <v>4</v>
      </c>
      <c r="M1508" s="123">
        <v>8</v>
      </c>
      <c r="N1508" s="123"/>
      <c r="O1508" s="123">
        <v>2</v>
      </c>
      <c r="P1508" s="123">
        <v>3</v>
      </c>
      <c r="Q1508" s="123"/>
      <c r="R1508" s="124"/>
      <c r="S1508" s="123"/>
      <c r="T1508" s="123"/>
      <c r="U1508" s="123"/>
      <c r="V1508" s="123">
        <v>3</v>
      </c>
      <c r="W1508" s="123"/>
      <c r="X1508" s="123">
        <v>3</v>
      </c>
      <c r="Y1508" s="123"/>
      <c r="Z1508" s="123">
        <v>2</v>
      </c>
      <c r="AA1508" s="123">
        <v>0</v>
      </c>
      <c r="AB1508" s="125">
        <f>100/(SUM(I1508:Z1508))</f>
        <v>1</v>
      </c>
      <c r="AC1508" s="259">
        <f>SUM(I1508:AA1508)</f>
        <v>100</v>
      </c>
      <c r="AD1508" s="123"/>
      <c r="AE1508" s="123"/>
      <c r="AF1508" s="123"/>
      <c r="AG1508" s="263" t="s">
        <v>719</v>
      </c>
      <c r="AH1508" s="253" t="s">
        <v>2003</v>
      </c>
      <c r="AI1508" s="253"/>
      <c r="AJ1508" s="127"/>
      <c r="AK1508" s="121" t="s">
        <v>2004</v>
      </c>
      <c r="AL1508" s="126">
        <f>(B1508-DATE(1970,1,1))*86400</f>
        <v>1556755200</v>
      </c>
      <c r="AM1508" s="126">
        <f>(C1508-DATE(1970,1,1))*86400</f>
        <v>1556755200</v>
      </c>
      <c r="AN1508" s="126">
        <f>AVERAGE(AL1508:AM1508)</f>
        <v>1556755200</v>
      </c>
    </row>
    <row r="1509" spans="1:40" ht="15.75" customHeight="1" x14ac:dyDescent="0.2">
      <c r="A1509" s="286" t="s">
        <v>133</v>
      </c>
      <c r="B1509" s="41">
        <v>43573</v>
      </c>
      <c r="C1509" s="41">
        <v>43579</v>
      </c>
      <c r="D1509" s="40" t="s">
        <v>148</v>
      </c>
      <c r="E1509" s="325" t="s">
        <v>125</v>
      </c>
      <c r="F1509" s="40" t="s">
        <v>140</v>
      </c>
      <c r="G1509" s="40" t="s">
        <v>126</v>
      </c>
      <c r="H1509" s="325">
        <v>1000</v>
      </c>
      <c r="I1509" s="42"/>
      <c r="J1509" s="42"/>
      <c r="K1509" s="42"/>
      <c r="L1509" s="42"/>
      <c r="M1509" s="42"/>
      <c r="N1509" s="42"/>
      <c r="O1509" s="42"/>
      <c r="P1509" s="42"/>
      <c r="Q1509" s="42"/>
      <c r="R1509" s="43"/>
      <c r="S1509" s="42"/>
      <c r="T1509" s="42"/>
      <c r="U1509" s="42"/>
      <c r="V1509" s="42"/>
      <c r="W1509" s="42"/>
      <c r="X1509" s="42"/>
      <c r="Y1509" s="42"/>
      <c r="Z1509" s="42"/>
      <c r="AA1509" s="42"/>
      <c r="AB1509" s="44" t="e">
        <f>100/(SUM(I1509:Z1509))</f>
        <v>#DIV/0!</v>
      </c>
      <c r="AC1509" s="259">
        <f>SUM(I1509:AA1509)</f>
        <v>0</v>
      </c>
      <c r="AD1509" s="42"/>
      <c r="AE1509" s="42"/>
      <c r="AF1509" s="42"/>
      <c r="AG1509" s="45"/>
      <c r="AH1509" s="132"/>
      <c r="AI1509" s="132"/>
      <c r="AJ1509" s="40" t="s">
        <v>1350</v>
      </c>
      <c r="AK1509" s="40" t="s">
        <v>1351</v>
      </c>
      <c r="AL1509" s="45">
        <f>(B1509-DATE(1970,1,1))*86400</f>
        <v>1555545600</v>
      </c>
      <c r="AM1509" s="45">
        <f>(C1509-DATE(1970,1,1))*86400</f>
        <v>1556064000</v>
      </c>
      <c r="AN1509" s="45">
        <f>AVERAGE(AL1509:AM1509)</f>
        <v>1555804800</v>
      </c>
    </row>
    <row r="1510" spans="1:40" ht="15.75" customHeight="1" x14ac:dyDescent="0.2">
      <c r="A1510" s="286" t="s">
        <v>123</v>
      </c>
      <c r="B1510" s="41">
        <v>43571</v>
      </c>
      <c r="C1510" s="41">
        <v>43581</v>
      </c>
      <c r="D1510" s="40" t="s">
        <v>148</v>
      </c>
      <c r="E1510" s="325" t="s">
        <v>125</v>
      </c>
      <c r="F1510" s="40" t="s">
        <v>689</v>
      </c>
      <c r="G1510" s="129" t="s">
        <v>126</v>
      </c>
      <c r="H1510" s="325">
        <v>1000</v>
      </c>
      <c r="I1510" s="42">
        <v>62.2</v>
      </c>
      <c r="J1510" s="42"/>
      <c r="K1510" s="42">
        <v>5.6</v>
      </c>
      <c r="L1510" s="42">
        <v>6.3</v>
      </c>
      <c r="M1510" s="42">
        <v>7.3</v>
      </c>
      <c r="N1510" s="42"/>
      <c r="O1510" s="42"/>
      <c r="P1510" s="42">
        <v>5.0999999999999996</v>
      </c>
      <c r="Q1510" s="42"/>
      <c r="R1510" s="42">
        <v>7.7</v>
      </c>
      <c r="S1510" s="42"/>
      <c r="T1510" s="42"/>
      <c r="U1510" s="42"/>
      <c r="V1510" s="42">
        <v>2.4</v>
      </c>
      <c r="W1510" s="42"/>
      <c r="X1510" s="42">
        <v>3.4</v>
      </c>
      <c r="Y1510" s="42"/>
      <c r="Z1510" s="42"/>
      <c r="AA1510" s="42">
        <v>0</v>
      </c>
      <c r="AB1510" s="44">
        <f>100/(SUM(I1510:Z1510))</f>
        <v>1</v>
      </c>
      <c r="AC1510" s="259">
        <f>SUM(I1510:AA1510)</f>
        <v>100</v>
      </c>
      <c r="AD1510" s="42"/>
      <c r="AE1510" s="42"/>
      <c r="AF1510" s="42"/>
      <c r="AG1510" s="45"/>
      <c r="AH1510" s="132" t="s">
        <v>1352</v>
      </c>
      <c r="AI1510" s="40"/>
      <c r="AJ1510" s="40"/>
      <c r="AK1510" s="40" t="s">
        <v>1353</v>
      </c>
      <c r="AL1510" s="45">
        <f>(B1510-DATE(1970,1,1))*86400</f>
        <v>1555372800</v>
      </c>
      <c r="AM1510" s="45">
        <f>(C1510-DATE(1970,1,1))*86400</f>
        <v>1556236800</v>
      </c>
      <c r="AN1510" s="45">
        <f>AVERAGE(AL1510:AM1510)</f>
        <v>1555804800</v>
      </c>
    </row>
    <row r="1511" spans="1:40" ht="15.75" customHeight="1" x14ac:dyDescent="0.2">
      <c r="A1511" s="286" t="s">
        <v>123</v>
      </c>
      <c r="B1511" s="41">
        <v>43573</v>
      </c>
      <c r="C1511" s="41">
        <v>43579</v>
      </c>
      <c r="D1511" s="40" t="s">
        <v>148</v>
      </c>
      <c r="E1511" s="325" t="s">
        <v>125</v>
      </c>
      <c r="F1511" s="40" t="s">
        <v>140</v>
      </c>
      <c r="G1511" s="40" t="s">
        <v>126</v>
      </c>
      <c r="H1511" s="325">
        <v>1000</v>
      </c>
      <c r="I1511" s="42"/>
      <c r="J1511" s="42"/>
      <c r="K1511" s="42"/>
      <c r="L1511" s="42"/>
      <c r="M1511" s="42"/>
      <c r="N1511" s="42"/>
      <c r="O1511" s="42"/>
      <c r="P1511" s="42"/>
      <c r="Q1511" s="42"/>
      <c r="R1511" s="43"/>
      <c r="S1511" s="42"/>
      <c r="T1511" s="42"/>
      <c r="U1511" s="42"/>
      <c r="V1511" s="42"/>
      <c r="W1511" s="42"/>
      <c r="X1511" s="42"/>
      <c r="Y1511" s="42"/>
      <c r="Z1511" s="42"/>
      <c r="AA1511" s="42"/>
      <c r="AB1511" s="44" t="e">
        <f>100/(SUM(I1511:Z1511))</f>
        <v>#DIV/0!</v>
      </c>
      <c r="AC1511" s="259">
        <f>SUM(I1511:AA1511)</f>
        <v>0</v>
      </c>
      <c r="AD1511" s="42"/>
      <c r="AE1511" s="42"/>
      <c r="AF1511" s="42"/>
      <c r="AG1511" s="45"/>
      <c r="AH1511" s="132"/>
      <c r="AI1511" s="132"/>
      <c r="AJ1511" s="132" t="s">
        <v>1350</v>
      </c>
      <c r="AK1511" s="40" t="s">
        <v>1351</v>
      </c>
      <c r="AL1511" s="45">
        <f>(B1511-DATE(1970,1,1))*86400</f>
        <v>1555545600</v>
      </c>
      <c r="AM1511" s="45">
        <f>(C1511-DATE(1970,1,1))*86400</f>
        <v>1556064000</v>
      </c>
      <c r="AN1511" s="45">
        <f>AVERAGE(AL1511:AM1511)</f>
        <v>1555804800</v>
      </c>
    </row>
    <row r="1512" spans="1:40" ht="15.75" customHeight="1" x14ac:dyDescent="0.2">
      <c r="A1512" s="281" t="s">
        <v>133</v>
      </c>
      <c r="B1512" s="54">
        <v>43572</v>
      </c>
      <c r="C1512" s="54">
        <v>43578</v>
      </c>
      <c r="D1512" s="53" t="s">
        <v>154</v>
      </c>
      <c r="E1512" s="323" t="s">
        <v>125</v>
      </c>
      <c r="F1512" s="53" t="s">
        <v>195</v>
      </c>
      <c r="G1512" s="53" t="s">
        <v>126</v>
      </c>
      <c r="H1512" s="323">
        <v>1010</v>
      </c>
      <c r="I1512" s="55">
        <v>30</v>
      </c>
      <c r="J1512" s="55"/>
      <c r="K1512" s="55">
        <v>11</v>
      </c>
      <c r="L1512" s="55">
        <v>2</v>
      </c>
      <c r="M1512" s="55">
        <v>5</v>
      </c>
      <c r="N1512" s="56"/>
      <c r="O1512" s="56"/>
      <c r="P1512" s="55">
        <v>4</v>
      </c>
      <c r="Q1512" s="55"/>
      <c r="R1512" s="55">
        <v>11</v>
      </c>
      <c r="S1512" s="55"/>
      <c r="T1512" s="55"/>
      <c r="U1512" s="56"/>
      <c r="V1512" s="56">
        <v>0</v>
      </c>
      <c r="W1512" s="56"/>
      <c r="X1512" s="56">
        <v>0</v>
      </c>
      <c r="Y1512" s="56"/>
      <c r="Z1512" s="55">
        <v>1</v>
      </c>
      <c r="AA1512" s="55">
        <v>36</v>
      </c>
      <c r="AB1512" s="57">
        <f>100/(SUM(I1512:Z1512))</f>
        <v>1.5625</v>
      </c>
      <c r="AC1512" s="259">
        <f>SUM(I1512:AA1512)</f>
        <v>100</v>
      </c>
      <c r="AD1512" s="55"/>
      <c r="AE1512" s="55"/>
      <c r="AF1512" s="55"/>
      <c r="AG1512" s="58"/>
      <c r="AH1512" s="59" t="s">
        <v>1354</v>
      </c>
      <c r="AI1512" s="59" t="s">
        <v>1355</v>
      </c>
      <c r="AJ1512" s="59"/>
      <c r="AK1512" s="53" t="s">
        <v>1356</v>
      </c>
      <c r="AL1512" s="58">
        <f>(B1512-DATE(1970,1,1))*86400</f>
        <v>1555459200</v>
      </c>
      <c r="AM1512" s="58">
        <f>(C1512-DATE(1970,1,1))*86400</f>
        <v>1555977600</v>
      </c>
      <c r="AN1512" s="58">
        <f>AVERAGE(AL1512:AM1512)</f>
        <v>1555718400</v>
      </c>
    </row>
    <row r="1513" spans="1:40" ht="15.75" customHeight="1" x14ac:dyDescent="0.2">
      <c r="A1513" s="281" t="s">
        <v>123</v>
      </c>
      <c r="B1513" s="54">
        <v>43572</v>
      </c>
      <c r="C1513" s="54">
        <v>43578</v>
      </c>
      <c r="D1513" s="53" t="s">
        <v>154</v>
      </c>
      <c r="E1513" s="323" t="s">
        <v>125</v>
      </c>
      <c r="F1513" s="53" t="s">
        <v>195</v>
      </c>
      <c r="G1513" s="53" t="s">
        <v>126</v>
      </c>
      <c r="H1513" s="323">
        <v>1010</v>
      </c>
      <c r="I1513" s="55">
        <v>38</v>
      </c>
      <c r="J1513" s="55"/>
      <c r="K1513" s="55">
        <v>13</v>
      </c>
      <c r="L1513" s="55">
        <v>3</v>
      </c>
      <c r="M1513" s="55">
        <v>6</v>
      </c>
      <c r="N1513" s="56"/>
      <c r="O1513" s="56"/>
      <c r="P1513" s="55">
        <v>5</v>
      </c>
      <c r="Q1513" s="55"/>
      <c r="R1513" s="55">
        <v>13</v>
      </c>
      <c r="S1513" s="55"/>
      <c r="T1513" s="55"/>
      <c r="U1513" s="56"/>
      <c r="V1513" s="56">
        <v>0</v>
      </c>
      <c r="W1513" s="56"/>
      <c r="X1513" s="56">
        <v>0</v>
      </c>
      <c r="Y1513" s="56"/>
      <c r="Z1513" s="55">
        <v>1</v>
      </c>
      <c r="AA1513" s="55">
        <v>21</v>
      </c>
      <c r="AB1513" s="57">
        <f>100/(SUM(I1513:Z1513))</f>
        <v>1.2658227848101267</v>
      </c>
      <c r="AC1513" s="259">
        <f>SUM(I1513:AA1513)</f>
        <v>100</v>
      </c>
      <c r="AD1513" s="55"/>
      <c r="AE1513" s="55"/>
      <c r="AF1513" s="55"/>
      <c r="AG1513" s="58"/>
      <c r="AH1513" s="59" t="s">
        <v>1354</v>
      </c>
      <c r="AI1513" s="59" t="s">
        <v>1355</v>
      </c>
      <c r="AJ1513" s="59"/>
      <c r="AK1513" s="53" t="s">
        <v>1356</v>
      </c>
      <c r="AL1513" s="58">
        <f>(B1513-DATE(1970,1,1))*86400</f>
        <v>1555459200</v>
      </c>
      <c r="AM1513" s="58">
        <f>(C1513-DATE(1970,1,1))*86400</f>
        <v>1555977600</v>
      </c>
      <c r="AN1513" s="58">
        <f>AVERAGE(AL1513:AM1513)</f>
        <v>1555718400</v>
      </c>
    </row>
    <row r="1514" spans="1:40" ht="15.75" customHeight="1" x14ac:dyDescent="0.2">
      <c r="A1514" s="281" t="s">
        <v>123</v>
      </c>
      <c r="B1514" s="54">
        <v>43572</v>
      </c>
      <c r="C1514" s="54">
        <v>43578</v>
      </c>
      <c r="D1514" s="53" t="s">
        <v>154</v>
      </c>
      <c r="E1514" s="323" t="s">
        <v>125</v>
      </c>
      <c r="F1514" s="53" t="s">
        <v>195</v>
      </c>
      <c r="G1514" s="53" t="s">
        <v>126</v>
      </c>
      <c r="H1514" s="323">
        <v>1010</v>
      </c>
      <c r="I1514" s="55">
        <v>52</v>
      </c>
      <c r="J1514" s="55"/>
      <c r="K1514" s="55">
        <v>15</v>
      </c>
      <c r="L1514" s="55">
        <v>4</v>
      </c>
      <c r="M1514" s="55">
        <v>7</v>
      </c>
      <c r="N1514" s="56"/>
      <c r="O1514" s="56"/>
      <c r="P1514" s="55">
        <v>6</v>
      </c>
      <c r="Q1514" s="55"/>
      <c r="R1514" s="55">
        <v>16</v>
      </c>
      <c r="S1514" s="55"/>
      <c r="T1514" s="55"/>
      <c r="U1514" s="56"/>
      <c r="V1514" s="56">
        <v>0</v>
      </c>
      <c r="W1514" s="56"/>
      <c r="X1514" s="56">
        <v>0</v>
      </c>
      <c r="Y1514" s="56"/>
      <c r="Z1514" s="55">
        <v>1</v>
      </c>
      <c r="AA1514" s="55">
        <v>0</v>
      </c>
      <c r="AB1514" s="57">
        <f>100/(SUM(I1514:Z1514))</f>
        <v>0.99009900990099009</v>
      </c>
      <c r="AC1514" s="259">
        <f>SUM(I1514:AA1514)</f>
        <v>101</v>
      </c>
      <c r="AD1514" s="55"/>
      <c r="AE1514" s="55"/>
      <c r="AF1514" s="55"/>
      <c r="AG1514" s="58"/>
      <c r="AH1514" s="59" t="s">
        <v>1354</v>
      </c>
      <c r="AI1514" s="59" t="s">
        <v>1355</v>
      </c>
      <c r="AJ1514" s="59"/>
      <c r="AK1514" s="53" t="s">
        <v>1356</v>
      </c>
      <c r="AL1514" s="58">
        <f>(B1514-DATE(1970,1,1))*86400</f>
        <v>1555459200</v>
      </c>
      <c r="AM1514" s="58">
        <f>(C1514-DATE(1970,1,1))*86400</f>
        <v>1555977600</v>
      </c>
      <c r="AN1514" s="58">
        <f>AVERAGE(AL1514:AM1514)</f>
        <v>1555718400</v>
      </c>
    </row>
    <row r="1515" spans="1:40" ht="15.75" customHeight="1" x14ac:dyDescent="0.2">
      <c r="A1515" s="281" t="s">
        <v>123</v>
      </c>
      <c r="B1515" s="54">
        <v>43572</v>
      </c>
      <c r="C1515" s="54">
        <v>43578</v>
      </c>
      <c r="D1515" s="53" t="s">
        <v>154</v>
      </c>
      <c r="E1515" s="323" t="s">
        <v>125</v>
      </c>
      <c r="F1515" s="53"/>
      <c r="G1515" s="53" t="s">
        <v>126</v>
      </c>
      <c r="H1515" s="323">
        <v>1010</v>
      </c>
      <c r="I1515" s="55">
        <v>54</v>
      </c>
      <c r="J1515" s="55"/>
      <c r="K1515" s="55">
        <v>14</v>
      </c>
      <c r="L1515" s="55">
        <v>3</v>
      </c>
      <c r="M1515" s="55">
        <v>5</v>
      </c>
      <c r="N1515" s="55"/>
      <c r="O1515" s="55"/>
      <c r="P1515" s="55">
        <v>3</v>
      </c>
      <c r="Q1515" s="55"/>
      <c r="R1515" s="55">
        <v>16</v>
      </c>
      <c r="S1515" s="55"/>
      <c r="T1515" s="55"/>
      <c r="U1515" s="55"/>
      <c r="V1515" s="55"/>
      <c r="W1515" s="55"/>
      <c r="X1515" s="55"/>
      <c r="Y1515" s="55"/>
      <c r="Z1515" s="56">
        <v>5</v>
      </c>
      <c r="AA1515" s="55">
        <v>0</v>
      </c>
      <c r="AB1515" s="57">
        <f>100/(SUM(I1515:Z1515))</f>
        <v>1</v>
      </c>
      <c r="AC1515" s="259">
        <f>SUM(I1515:AA1515)</f>
        <v>100</v>
      </c>
      <c r="AD1515" s="55"/>
      <c r="AE1515" s="55"/>
      <c r="AF1515" s="55"/>
      <c r="AG1515" s="58"/>
      <c r="AH1515" s="59" t="s">
        <v>1354</v>
      </c>
      <c r="AI1515" s="59" t="s">
        <v>1355</v>
      </c>
      <c r="AJ1515" s="59"/>
      <c r="AK1515" s="53" t="s">
        <v>1357</v>
      </c>
      <c r="AL1515" s="58">
        <f>(B1515-DATE(1970,1,1))*86400</f>
        <v>1555459200</v>
      </c>
      <c r="AM1515" s="58">
        <f>(C1515-DATE(1970,1,1))*86400</f>
        <v>1555977600</v>
      </c>
      <c r="AN1515" s="58">
        <f>AVERAGE(AL1515:AM1515)</f>
        <v>1555718400</v>
      </c>
    </row>
    <row r="1516" spans="1:40" ht="15.75" customHeight="1" x14ac:dyDescent="0.2">
      <c r="A1516" s="286" t="s">
        <v>123</v>
      </c>
      <c r="B1516" s="41">
        <v>43570</v>
      </c>
      <c r="C1516" s="41">
        <v>43580</v>
      </c>
      <c r="D1516" s="40" t="s">
        <v>148</v>
      </c>
      <c r="E1516" s="325" t="s">
        <v>125</v>
      </c>
      <c r="F1516" s="40" t="s">
        <v>689</v>
      </c>
      <c r="G1516" s="40" t="s">
        <v>126</v>
      </c>
      <c r="H1516" s="325">
        <v>1000</v>
      </c>
      <c r="I1516" s="42">
        <v>57</v>
      </c>
      <c r="J1516" s="42"/>
      <c r="K1516" s="42">
        <v>6</v>
      </c>
      <c r="L1516" s="42">
        <v>4</v>
      </c>
      <c r="M1516" s="42">
        <v>11</v>
      </c>
      <c r="N1516" s="42"/>
      <c r="O1516" s="42"/>
      <c r="P1516" s="42">
        <v>5</v>
      </c>
      <c r="Q1516" s="42"/>
      <c r="R1516" s="43">
        <v>13</v>
      </c>
      <c r="S1516" s="42"/>
      <c r="T1516" s="42"/>
      <c r="U1516" s="42"/>
      <c r="V1516" s="42">
        <v>2</v>
      </c>
      <c r="W1516" s="42"/>
      <c r="X1516" s="42">
        <v>1</v>
      </c>
      <c r="Y1516" s="42"/>
      <c r="Z1516" s="42">
        <v>1</v>
      </c>
      <c r="AA1516" s="42">
        <v>0</v>
      </c>
      <c r="AB1516" s="44">
        <f>100/(SUM(I1516:Z1516))</f>
        <v>1</v>
      </c>
      <c r="AC1516" s="259">
        <f>SUM(I1516:AA1516)</f>
        <v>100</v>
      </c>
      <c r="AD1516" s="42"/>
      <c r="AE1516" s="42"/>
      <c r="AF1516" s="42"/>
      <c r="AG1516" s="45"/>
      <c r="AH1516" s="132" t="s">
        <v>1358</v>
      </c>
      <c r="AI1516" s="132" t="s">
        <v>1352</v>
      </c>
      <c r="AJ1516" s="40"/>
      <c r="AK1516" s="40" t="s">
        <v>1359</v>
      </c>
      <c r="AL1516" s="45">
        <f>(B1516-DATE(1970,1,1))*86400</f>
        <v>1555286400</v>
      </c>
      <c r="AM1516" s="45">
        <f>(C1516-DATE(1970,1,1))*86400</f>
        <v>1556150400</v>
      </c>
      <c r="AN1516" s="45">
        <f>AVERAGE(AL1516:AM1516)</f>
        <v>1555718400</v>
      </c>
    </row>
    <row r="1517" spans="1:40" ht="15.75" customHeight="1" x14ac:dyDescent="0.2">
      <c r="A1517" s="280" t="s">
        <v>133</v>
      </c>
      <c r="B1517" s="77">
        <v>43565</v>
      </c>
      <c r="C1517" s="77">
        <v>43576</v>
      </c>
      <c r="D1517" s="76" t="s">
        <v>200</v>
      </c>
      <c r="E1517" s="320" t="s">
        <v>125</v>
      </c>
      <c r="F1517" s="76"/>
      <c r="G1517" s="76" t="s">
        <v>126</v>
      </c>
      <c r="H1517" s="320">
        <v>1000</v>
      </c>
      <c r="I1517" s="78">
        <v>36</v>
      </c>
      <c r="J1517" s="78"/>
      <c r="K1517" s="78">
        <v>9</v>
      </c>
      <c r="L1517" s="78">
        <v>3</v>
      </c>
      <c r="M1517" s="78">
        <v>5</v>
      </c>
      <c r="N1517" s="78"/>
      <c r="O1517" s="78"/>
      <c r="P1517" s="78">
        <v>3</v>
      </c>
      <c r="Q1517" s="78"/>
      <c r="R1517" s="78">
        <v>7</v>
      </c>
      <c r="S1517" s="78"/>
      <c r="T1517" s="78"/>
      <c r="U1517" s="78"/>
      <c r="V1517" s="78"/>
      <c r="W1517" s="78"/>
      <c r="X1517" s="78">
        <v>1</v>
      </c>
      <c r="Y1517" s="78"/>
      <c r="Z1517" s="78">
        <v>2</v>
      </c>
      <c r="AA1517" s="78">
        <v>34</v>
      </c>
      <c r="AB1517" s="79">
        <f>100/(SUM(I1517:Z1517))</f>
        <v>1.5151515151515151</v>
      </c>
      <c r="AC1517" s="259">
        <f>SUM(I1517:AA1517)</f>
        <v>100</v>
      </c>
      <c r="AD1517" s="78"/>
      <c r="AE1517" s="78"/>
      <c r="AF1517" s="78"/>
      <c r="AG1517" s="80"/>
      <c r="AH1517" s="81" t="s">
        <v>1360</v>
      </c>
      <c r="AI1517" s="76" t="s">
        <v>1361</v>
      </c>
      <c r="AJ1517" s="76" t="s">
        <v>1362</v>
      </c>
      <c r="AK1517" s="76" t="s">
        <v>1288</v>
      </c>
      <c r="AL1517" s="80">
        <f>(B1517-DATE(1970,1,1))*86400</f>
        <v>1554854400</v>
      </c>
      <c r="AM1517" s="80">
        <f>(C1517-DATE(1970,1,1))*86400</f>
        <v>1555804800</v>
      </c>
      <c r="AN1517" s="80">
        <f>AVERAGE(AL1517:AM1517)</f>
        <v>1555329600</v>
      </c>
    </row>
    <row r="1518" spans="1:40" ht="15.75" customHeight="1" x14ac:dyDescent="0.2">
      <c r="A1518" s="280" t="s">
        <v>123</v>
      </c>
      <c r="B1518" s="77">
        <v>43565</v>
      </c>
      <c r="C1518" s="77">
        <v>43576</v>
      </c>
      <c r="D1518" s="76" t="s">
        <v>200</v>
      </c>
      <c r="E1518" s="320" t="s">
        <v>125</v>
      </c>
      <c r="F1518" s="76"/>
      <c r="G1518" s="76" t="s">
        <v>126</v>
      </c>
      <c r="H1518" s="320">
        <v>1000</v>
      </c>
      <c r="I1518" s="78">
        <v>54</v>
      </c>
      <c r="J1518" s="78"/>
      <c r="K1518" s="78">
        <v>14</v>
      </c>
      <c r="L1518" s="78">
        <v>4</v>
      </c>
      <c r="M1518" s="78">
        <v>9</v>
      </c>
      <c r="N1518" s="78"/>
      <c r="O1518" s="78"/>
      <c r="P1518" s="78">
        <v>4</v>
      </c>
      <c r="Q1518" s="78"/>
      <c r="R1518" s="78">
        <v>10</v>
      </c>
      <c r="S1518" s="78"/>
      <c r="T1518" s="78"/>
      <c r="U1518" s="78"/>
      <c r="V1518" s="78"/>
      <c r="W1518" s="78"/>
      <c r="X1518" s="78">
        <v>2</v>
      </c>
      <c r="Y1518" s="78"/>
      <c r="Z1518" s="78">
        <v>3</v>
      </c>
      <c r="AA1518" s="78">
        <v>0</v>
      </c>
      <c r="AB1518" s="79">
        <f>100/(SUM(I1518:Z1518))</f>
        <v>1</v>
      </c>
      <c r="AC1518" s="259">
        <f>SUM(I1518:AA1518)</f>
        <v>100</v>
      </c>
      <c r="AD1518" s="78"/>
      <c r="AE1518" s="78"/>
      <c r="AF1518" s="78"/>
      <c r="AG1518" s="80"/>
      <c r="AH1518" s="81" t="s">
        <v>1360</v>
      </c>
      <c r="AI1518" s="81" t="s">
        <v>1361</v>
      </c>
      <c r="AJ1518" s="81" t="s">
        <v>1362</v>
      </c>
      <c r="AK1518" s="76" t="s">
        <v>1288</v>
      </c>
      <c r="AL1518" s="80">
        <f>(B1518-DATE(1970,1,1))*86400</f>
        <v>1554854400</v>
      </c>
      <c r="AM1518" s="80">
        <f>(C1518-DATE(1970,1,1))*86400</f>
        <v>1555804800</v>
      </c>
      <c r="AN1518" s="80">
        <f>AVERAGE(AL1518:AM1518)</f>
        <v>1555329600</v>
      </c>
    </row>
    <row r="1519" spans="1:40" ht="15.75" customHeight="1" x14ac:dyDescent="0.2">
      <c r="A1519" s="279" t="s">
        <v>133</v>
      </c>
      <c r="B1519" s="14">
        <v>43556</v>
      </c>
      <c r="C1519" s="14">
        <v>43581</v>
      </c>
      <c r="D1519" s="13" t="s">
        <v>124</v>
      </c>
      <c r="E1519" s="324" t="s">
        <v>125</v>
      </c>
      <c r="F1519" s="13" t="s">
        <v>195</v>
      </c>
      <c r="G1519" s="13" t="s">
        <v>149</v>
      </c>
      <c r="H1519" s="372">
        <v>5000</v>
      </c>
      <c r="I1519" s="15">
        <v>42</v>
      </c>
      <c r="J1519" s="15"/>
      <c r="K1519" s="15">
        <v>7</v>
      </c>
      <c r="L1519" s="15">
        <v>3</v>
      </c>
      <c r="M1519" s="15">
        <v>4</v>
      </c>
      <c r="N1519" s="15"/>
      <c r="O1519" s="15"/>
      <c r="P1519" s="15">
        <v>2</v>
      </c>
      <c r="Q1519" s="15"/>
      <c r="R1519" s="15">
        <v>7</v>
      </c>
      <c r="S1519" s="15"/>
      <c r="T1519" s="15"/>
      <c r="U1519" s="15"/>
      <c r="V1519" s="15">
        <v>2</v>
      </c>
      <c r="W1519" s="15"/>
      <c r="X1519" s="15">
        <v>1</v>
      </c>
      <c r="Y1519" s="15"/>
      <c r="Z1519" s="15"/>
      <c r="AA1519" s="15">
        <v>32</v>
      </c>
      <c r="AB1519" s="16">
        <f>100/(SUM(I1519:Z1519))</f>
        <v>1.4705882352941178</v>
      </c>
      <c r="AC1519" s="259">
        <f>SUM(I1519:AA1519)</f>
        <v>100</v>
      </c>
      <c r="AD1519" s="15"/>
      <c r="AE1519" s="15"/>
      <c r="AF1519" s="15"/>
      <c r="AG1519" s="17"/>
      <c r="AH1519" s="18" t="s">
        <v>1363</v>
      </c>
      <c r="AI1519" s="18" t="s">
        <v>1979</v>
      </c>
      <c r="AJ1519" s="18" t="s">
        <v>1979</v>
      </c>
      <c r="AK1519" s="13" t="s">
        <v>1365</v>
      </c>
      <c r="AL1519" s="17">
        <f>(B1519-DATE(1970,1,1))*86400</f>
        <v>1554076800</v>
      </c>
      <c r="AM1519" s="17">
        <f>(C1519-DATE(1970,1,1))*86400</f>
        <v>1556236800</v>
      </c>
      <c r="AN1519" s="17">
        <f>AVERAGE(AL1519:AM1519)</f>
        <v>1555156800</v>
      </c>
    </row>
    <row r="1520" spans="1:40" ht="15.75" customHeight="1" x14ac:dyDescent="0.2">
      <c r="A1520" s="279" t="s">
        <v>123</v>
      </c>
      <c r="B1520" s="14">
        <v>43556</v>
      </c>
      <c r="C1520" s="14">
        <v>43581</v>
      </c>
      <c r="D1520" s="13" t="s">
        <v>124</v>
      </c>
      <c r="E1520" s="324" t="s">
        <v>125</v>
      </c>
      <c r="F1520" s="13" t="s">
        <v>195</v>
      </c>
      <c r="G1520" s="13" t="s">
        <v>149</v>
      </c>
      <c r="H1520" s="372">
        <v>5000</v>
      </c>
      <c r="I1520" s="15">
        <v>57</v>
      </c>
      <c r="J1520" s="15"/>
      <c r="K1520" s="15">
        <v>11</v>
      </c>
      <c r="L1520" s="15">
        <v>4</v>
      </c>
      <c r="M1520" s="15">
        <v>8</v>
      </c>
      <c r="N1520" s="15"/>
      <c r="O1520" s="15"/>
      <c r="P1520" s="15">
        <v>5</v>
      </c>
      <c r="Q1520" s="15"/>
      <c r="R1520" s="15">
        <v>10</v>
      </c>
      <c r="S1520" s="15"/>
      <c r="T1520" s="15"/>
      <c r="U1520" s="15"/>
      <c r="V1520" s="15">
        <v>3</v>
      </c>
      <c r="W1520" s="15"/>
      <c r="X1520" s="15">
        <v>2</v>
      </c>
      <c r="Y1520" s="15"/>
      <c r="Z1520" s="15">
        <v>0</v>
      </c>
      <c r="AA1520" s="15">
        <v>0</v>
      </c>
      <c r="AB1520" s="16">
        <f>100/(SUM(I1520:Z1520))</f>
        <v>1</v>
      </c>
      <c r="AC1520" s="259">
        <f>SUM(I1520:AA1520)</f>
        <v>100</v>
      </c>
      <c r="AD1520" s="15"/>
      <c r="AE1520" s="15"/>
      <c r="AF1520" s="15"/>
      <c r="AG1520" s="17"/>
      <c r="AH1520" s="18" t="s">
        <v>1363</v>
      </c>
      <c r="AI1520" s="18" t="s">
        <v>1364</v>
      </c>
      <c r="AJ1520" s="18"/>
      <c r="AK1520" s="13"/>
      <c r="AL1520" s="17">
        <f>(B1520-DATE(1970,1,1))*86400</f>
        <v>1554076800</v>
      </c>
      <c r="AM1520" s="17">
        <f>(C1520-DATE(1970,1,1))*86400</f>
        <v>1556236800</v>
      </c>
      <c r="AN1520" s="17">
        <f>AVERAGE(AL1520:AM1520)</f>
        <v>1555156800</v>
      </c>
    </row>
    <row r="1521" spans="1:65" ht="15.75" customHeight="1" x14ac:dyDescent="0.2">
      <c r="A1521" s="286" t="s">
        <v>133</v>
      </c>
      <c r="B1521" s="41">
        <v>43560</v>
      </c>
      <c r="C1521" s="41">
        <v>43570</v>
      </c>
      <c r="D1521" s="40" t="s">
        <v>148</v>
      </c>
      <c r="E1521" s="325" t="s">
        <v>125</v>
      </c>
      <c r="F1521" s="40"/>
      <c r="G1521" s="40" t="s">
        <v>149</v>
      </c>
      <c r="H1521" s="381">
        <v>1000</v>
      </c>
      <c r="I1521" s="42">
        <v>33</v>
      </c>
      <c r="J1521" s="42"/>
      <c r="K1521" s="42">
        <v>8</v>
      </c>
      <c r="L1521" s="42">
        <v>3</v>
      </c>
      <c r="M1521" s="42">
        <v>6</v>
      </c>
      <c r="N1521" s="42"/>
      <c r="O1521" s="42"/>
      <c r="P1521" s="42">
        <v>3</v>
      </c>
      <c r="Q1521" s="42"/>
      <c r="R1521" s="43">
        <v>9</v>
      </c>
      <c r="S1521" s="42"/>
      <c r="T1521" s="42"/>
      <c r="U1521" s="42"/>
      <c r="V1521" s="42">
        <v>2</v>
      </c>
      <c r="W1521" s="42"/>
      <c r="X1521" s="42">
        <v>1</v>
      </c>
      <c r="Y1521" s="42"/>
      <c r="Z1521" s="42">
        <v>1</v>
      </c>
      <c r="AA1521" s="42">
        <v>34</v>
      </c>
      <c r="AB1521" s="44">
        <f>100/(SUM(I1521:Z1521))</f>
        <v>1.5151515151515151</v>
      </c>
      <c r="AC1521" s="259">
        <f>SUM(I1521:AA1521)</f>
        <v>100</v>
      </c>
      <c r="AD1521" s="42"/>
      <c r="AE1521" s="42"/>
      <c r="AF1521" s="42"/>
      <c r="AG1521" s="45"/>
      <c r="AH1521" s="132" t="s">
        <v>1366</v>
      </c>
      <c r="AI1521" s="132" t="s">
        <v>1367</v>
      </c>
      <c r="AJ1521" s="40"/>
      <c r="AK1521" s="40" t="s">
        <v>1368</v>
      </c>
      <c r="AL1521" s="45">
        <f>(B1521-DATE(1970,1,1))*86400</f>
        <v>1554422400</v>
      </c>
      <c r="AM1521" s="45">
        <f>(C1521-DATE(1970,1,1))*86400</f>
        <v>1555286400</v>
      </c>
      <c r="AN1521" s="45">
        <f>AVERAGE(AL1521:AM1521)</f>
        <v>1554854400</v>
      </c>
    </row>
    <row r="1522" spans="1:65" ht="15.75" customHeight="1" x14ac:dyDescent="0.2">
      <c r="A1522" s="286" t="s">
        <v>123</v>
      </c>
      <c r="B1522" s="41">
        <v>43560</v>
      </c>
      <c r="C1522" s="41">
        <v>43570</v>
      </c>
      <c r="D1522" s="40" t="s">
        <v>148</v>
      </c>
      <c r="E1522" s="325" t="s">
        <v>125</v>
      </c>
      <c r="F1522" s="40"/>
      <c r="G1522" s="40" t="s">
        <v>149</v>
      </c>
      <c r="H1522" s="381">
        <v>1000</v>
      </c>
      <c r="I1522" s="43">
        <v>53</v>
      </c>
      <c r="J1522" s="43"/>
      <c r="K1522" s="42">
        <v>12</v>
      </c>
      <c r="L1522" s="42">
        <v>4</v>
      </c>
      <c r="M1522" s="42">
        <v>9</v>
      </c>
      <c r="N1522" s="42"/>
      <c r="O1522" s="42"/>
      <c r="P1522" s="42">
        <v>4</v>
      </c>
      <c r="Q1522" s="42"/>
      <c r="R1522" s="43">
        <v>13</v>
      </c>
      <c r="S1522" s="42"/>
      <c r="T1522" s="42"/>
      <c r="U1522" s="42"/>
      <c r="V1522" s="42">
        <v>2</v>
      </c>
      <c r="W1522" s="42"/>
      <c r="X1522" s="42">
        <v>2</v>
      </c>
      <c r="Y1522" s="42"/>
      <c r="Z1522" s="42">
        <v>1</v>
      </c>
      <c r="AA1522" s="42">
        <v>0</v>
      </c>
      <c r="AB1522" s="44">
        <f>100/(SUM(I1522:Z1522))</f>
        <v>1</v>
      </c>
      <c r="AC1522" s="259">
        <f>SUM(I1522:AA1522)</f>
        <v>100</v>
      </c>
      <c r="AD1522" s="42"/>
      <c r="AE1522" s="42"/>
      <c r="AF1522" s="42"/>
      <c r="AG1522" s="45"/>
      <c r="AH1522" s="132" t="s">
        <v>1366</v>
      </c>
      <c r="AI1522" s="132" t="s">
        <v>1367</v>
      </c>
      <c r="AJ1522" s="132"/>
      <c r="AK1522" s="40" t="s">
        <v>1368</v>
      </c>
      <c r="AL1522" s="45">
        <f>(B1522-DATE(1970,1,1))*86400</f>
        <v>1554422400</v>
      </c>
      <c r="AM1522" s="45">
        <f>(C1522-DATE(1970,1,1))*86400</f>
        <v>1555286400</v>
      </c>
      <c r="AN1522" s="45">
        <f>AVERAGE(AL1522:AM1522)</f>
        <v>1554854400</v>
      </c>
    </row>
    <row r="1523" spans="1:65" ht="15.75" customHeight="1" x14ac:dyDescent="0.2">
      <c r="A1523" s="302" t="s">
        <v>133</v>
      </c>
      <c r="B1523" s="254">
        <v>43558</v>
      </c>
      <c r="C1523" s="254">
        <v>43558</v>
      </c>
      <c r="D1523" s="262" t="s">
        <v>2445</v>
      </c>
      <c r="E1523" s="322" t="s">
        <v>184</v>
      </c>
      <c r="F1523" s="121"/>
      <c r="G1523" s="262" t="s">
        <v>244</v>
      </c>
      <c r="H1523" s="379">
        <v>500</v>
      </c>
      <c r="I1523" s="123">
        <v>34</v>
      </c>
      <c r="J1523" s="123">
        <v>9</v>
      </c>
      <c r="K1523" s="123">
        <v>9</v>
      </c>
      <c r="L1523" s="123">
        <v>3</v>
      </c>
      <c r="M1523" s="123">
        <v>4</v>
      </c>
      <c r="N1523" s="123"/>
      <c r="O1523" s="123">
        <v>1</v>
      </c>
      <c r="P1523" s="123">
        <v>3</v>
      </c>
      <c r="Q1523" s="123"/>
      <c r="R1523" s="124"/>
      <c r="S1523" s="123"/>
      <c r="T1523" s="123"/>
      <c r="U1523" s="123"/>
      <c r="V1523" s="123">
        <v>2</v>
      </c>
      <c r="W1523" s="123"/>
      <c r="X1523" s="123">
        <v>3</v>
      </c>
      <c r="Y1523" s="123"/>
      <c r="Z1523" s="123">
        <v>2</v>
      </c>
      <c r="AA1523" s="123">
        <v>30</v>
      </c>
      <c r="AB1523" s="125">
        <f>100/(SUM(I1523:Z1523))</f>
        <v>1.4285714285714286</v>
      </c>
      <c r="AC1523" s="259">
        <f>SUM(I1523:AA1523)</f>
        <v>100</v>
      </c>
      <c r="AD1523" s="123"/>
      <c r="AE1523" s="123"/>
      <c r="AF1523" s="123"/>
      <c r="AG1523" s="263" t="s">
        <v>719</v>
      </c>
      <c r="AH1523" s="253" t="s">
        <v>2026</v>
      </c>
      <c r="AI1523" s="253" t="s">
        <v>2001</v>
      </c>
      <c r="AJ1523" s="127"/>
      <c r="AK1523" s="121" t="s">
        <v>2025</v>
      </c>
      <c r="AL1523" s="126">
        <f>(B1523-DATE(1970,1,1))*86400</f>
        <v>1554249600</v>
      </c>
      <c r="AM1523" s="126">
        <f>(C1523-DATE(1970,1,1))*86400</f>
        <v>1554249600</v>
      </c>
      <c r="AN1523" s="126">
        <f>AVERAGE(AL1523:AM1523)</f>
        <v>1554249600</v>
      </c>
    </row>
    <row r="1524" spans="1:65" ht="15.75" customHeight="1" x14ac:dyDescent="0.2">
      <c r="A1524" s="302" t="s">
        <v>123</v>
      </c>
      <c r="B1524" s="254">
        <v>43558</v>
      </c>
      <c r="C1524" s="254">
        <v>43558</v>
      </c>
      <c r="D1524" s="262" t="s">
        <v>2445</v>
      </c>
      <c r="E1524" s="322" t="s">
        <v>184</v>
      </c>
      <c r="F1524" s="121"/>
      <c r="G1524" s="262" t="s">
        <v>244</v>
      </c>
      <c r="H1524" s="379">
        <v>500</v>
      </c>
      <c r="I1524" s="123">
        <v>49</v>
      </c>
      <c r="J1524" s="123">
        <v>12</v>
      </c>
      <c r="K1524" s="123">
        <v>12</v>
      </c>
      <c r="L1524" s="123">
        <v>5</v>
      </c>
      <c r="M1524" s="123">
        <v>6</v>
      </c>
      <c r="N1524" s="123"/>
      <c r="O1524" s="123">
        <v>2</v>
      </c>
      <c r="P1524" s="123">
        <v>4</v>
      </c>
      <c r="Q1524" s="123"/>
      <c r="R1524" s="124"/>
      <c r="S1524" s="123"/>
      <c r="T1524" s="123"/>
      <c r="U1524" s="123"/>
      <c r="V1524" s="123">
        <v>3</v>
      </c>
      <c r="W1524" s="123"/>
      <c r="X1524" s="123">
        <v>4</v>
      </c>
      <c r="Y1524" s="123"/>
      <c r="Z1524" s="123">
        <v>3</v>
      </c>
      <c r="AA1524" s="123">
        <v>0</v>
      </c>
      <c r="AB1524" s="125">
        <f>100/(SUM(I1524:Z1524))</f>
        <v>1</v>
      </c>
      <c r="AC1524" s="259">
        <f>SUM(I1524:AA1524)</f>
        <v>100</v>
      </c>
      <c r="AD1524" s="123"/>
      <c r="AE1524" s="123"/>
      <c r="AF1524" s="123"/>
      <c r="AG1524" s="263" t="s">
        <v>719</v>
      </c>
      <c r="AH1524" s="253" t="s">
        <v>2026</v>
      </c>
      <c r="AI1524" s="253" t="s">
        <v>2001</v>
      </c>
      <c r="AJ1524" s="127"/>
      <c r="AK1524" s="121" t="s">
        <v>2025</v>
      </c>
      <c r="AL1524" s="126">
        <f>(B1524-DATE(1970,1,1))*86400</f>
        <v>1554249600</v>
      </c>
      <c r="AM1524" s="126">
        <f>(C1524-DATE(1970,1,1))*86400</f>
        <v>1554249600</v>
      </c>
      <c r="AN1524" s="126">
        <f>AVERAGE(AL1524:AM1524)</f>
        <v>1554249600</v>
      </c>
    </row>
    <row r="1525" spans="1:65" ht="15.75" customHeight="1" x14ac:dyDescent="0.2">
      <c r="A1525" s="449" t="s">
        <v>133</v>
      </c>
      <c r="B1525" s="460">
        <v>43553</v>
      </c>
      <c r="C1525" s="460">
        <v>43558</v>
      </c>
      <c r="D1525" s="451" t="s">
        <v>143</v>
      </c>
      <c r="E1525" s="452" t="s">
        <v>125</v>
      </c>
      <c r="F1525" s="451"/>
      <c r="G1525" s="451" t="s">
        <v>149</v>
      </c>
      <c r="H1525" s="454">
        <v>1200</v>
      </c>
      <c r="I1525" s="455">
        <v>41</v>
      </c>
      <c r="J1525" s="455"/>
      <c r="K1525" s="455">
        <v>8</v>
      </c>
      <c r="L1525" s="455">
        <v>5</v>
      </c>
      <c r="M1525" s="455">
        <v>7</v>
      </c>
      <c r="N1525" s="455"/>
      <c r="O1525" s="455"/>
      <c r="P1525" s="455">
        <v>4</v>
      </c>
      <c r="Q1525" s="455"/>
      <c r="R1525" s="456">
        <v>8</v>
      </c>
      <c r="S1525" s="455"/>
      <c r="T1525" s="455"/>
      <c r="U1525" s="455"/>
      <c r="V1525" s="455">
        <v>1</v>
      </c>
      <c r="W1525" s="455"/>
      <c r="X1525" s="455"/>
      <c r="Y1525" s="455"/>
      <c r="Z1525" s="455">
        <v>2</v>
      </c>
      <c r="AA1525" s="455">
        <v>24</v>
      </c>
      <c r="AB1525" s="457">
        <f>100/(SUM(I1525:Z1525))</f>
        <v>1.3157894736842106</v>
      </c>
      <c r="AC1525" s="432">
        <f>SUM(I1525:AA1525)</f>
        <v>100</v>
      </c>
      <c r="AD1525" s="455">
        <v>55</v>
      </c>
      <c r="AE1525" s="455"/>
      <c r="AF1525" s="455"/>
      <c r="AG1525" s="459"/>
      <c r="AH1525" s="451" t="s">
        <v>1183</v>
      </c>
      <c r="AI1525" s="458" t="s">
        <v>1369</v>
      </c>
      <c r="AJ1525" s="451" t="s">
        <v>1183</v>
      </c>
      <c r="AK1525" s="451" t="s">
        <v>1370</v>
      </c>
      <c r="AL1525" s="459">
        <f>(B1525-DATE(1970,1,1))*86400</f>
        <v>1553817600</v>
      </c>
      <c r="AM1525" s="459">
        <f>(C1525-DATE(1970,1,1))*86400</f>
        <v>1554249600</v>
      </c>
      <c r="AN1525" s="459">
        <f>AVERAGE(AL1525:AM1525)</f>
        <v>1554033600</v>
      </c>
    </row>
    <row r="1526" spans="1:65" s="516" customFormat="1" ht="15.75" customHeight="1" x14ac:dyDescent="0.2">
      <c r="A1526" s="449" t="s">
        <v>133</v>
      </c>
      <c r="B1526" s="460">
        <v>43553</v>
      </c>
      <c r="C1526" s="460">
        <v>43558</v>
      </c>
      <c r="D1526" s="451" t="s">
        <v>143</v>
      </c>
      <c r="E1526" s="452" t="s">
        <v>125</v>
      </c>
      <c r="F1526" s="451"/>
      <c r="G1526" s="451" t="s">
        <v>149</v>
      </c>
      <c r="H1526" s="454">
        <v>1200</v>
      </c>
      <c r="I1526" s="455">
        <v>53</v>
      </c>
      <c r="J1526" s="455"/>
      <c r="K1526" s="455">
        <v>11</v>
      </c>
      <c r="L1526" s="455">
        <v>7</v>
      </c>
      <c r="M1526" s="455">
        <v>8</v>
      </c>
      <c r="N1526" s="455"/>
      <c r="O1526" s="455"/>
      <c r="P1526" s="455">
        <v>5</v>
      </c>
      <c r="Q1526" s="455"/>
      <c r="R1526" s="456">
        <v>12</v>
      </c>
      <c r="S1526" s="455"/>
      <c r="T1526" s="455"/>
      <c r="U1526" s="455"/>
      <c r="V1526" s="455">
        <v>2</v>
      </c>
      <c r="W1526" s="455"/>
      <c r="X1526" s="455"/>
      <c r="Y1526" s="455"/>
      <c r="Z1526" s="455">
        <v>2</v>
      </c>
      <c r="AA1526" s="455">
        <v>0</v>
      </c>
      <c r="AB1526" s="457">
        <f>100/(SUM(I1526:Z1526))</f>
        <v>1</v>
      </c>
      <c r="AC1526" s="432">
        <f>SUM(I1526:AA1526)</f>
        <v>100</v>
      </c>
      <c r="AD1526" s="455">
        <v>51</v>
      </c>
      <c r="AE1526" s="455"/>
      <c r="AF1526" s="455"/>
      <c r="AG1526" s="459"/>
      <c r="AH1526" s="451" t="s">
        <v>1183</v>
      </c>
      <c r="AI1526" s="458" t="s">
        <v>1369</v>
      </c>
      <c r="AJ1526" s="451" t="s">
        <v>1183</v>
      </c>
      <c r="AK1526" s="451" t="s">
        <v>1980</v>
      </c>
      <c r="AL1526" s="459">
        <f>(B1526-DATE(1970,1,1))*86400</f>
        <v>1553817600</v>
      </c>
      <c r="AM1526" s="459">
        <f>(C1526-DATE(1970,1,1))*86400</f>
        <v>1554249600</v>
      </c>
      <c r="AN1526" s="459">
        <f>AVERAGE(AL1526:AM1526)</f>
        <v>1554033600</v>
      </c>
      <c r="AO1526"/>
      <c r="AP1526"/>
      <c r="AQ1526"/>
      <c r="AR1526"/>
      <c r="AS1526"/>
      <c r="AT1526"/>
      <c r="AU1526"/>
      <c r="AV1526"/>
      <c r="AW1526"/>
      <c r="AX1526"/>
      <c r="AY1526"/>
      <c r="AZ1526"/>
      <c r="BA1526"/>
      <c r="BB1526"/>
      <c r="BC1526"/>
      <c r="BD1526"/>
      <c r="BE1526"/>
      <c r="BF1526"/>
      <c r="BG1526"/>
      <c r="BH1526"/>
      <c r="BI1526"/>
      <c r="BJ1526"/>
      <c r="BK1526"/>
      <c r="BL1526"/>
      <c r="BM1526"/>
    </row>
    <row r="1527" spans="1:65" s="516" customFormat="1" ht="15.75" customHeight="1" x14ac:dyDescent="0.2">
      <c r="A1527" s="449" t="s">
        <v>123</v>
      </c>
      <c r="B1527" s="460">
        <v>43553</v>
      </c>
      <c r="C1527" s="460">
        <v>43558</v>
      </c>
      <c r="D1527" s="451" t="s">
        <v>143</v>
      </c>
      <c r="E1527" s="452" t="s">
        <v>125</v>
      </c>
      <c r="F1527" s="451"/>
      <c r="G1527" s="451" t="s">
        <v>149</v>
      </c>
      <c r="H1527" s="454">
        <v>1200</v>
      </c>
      <c r="I1527" s="455">
        <v>56</v>
      </c>
      <c r="J1527" s="455"/>
      <c r="K1527" s="455">
        <v>11</v>
      </c>
      <c r="L1527" s="455">
        <v>6</v>
      </c>
      <c r="M1527" s="455">
        <v>10</v>
      </c>
      <c r="N1527" s="455"/>
      <c r="O1527" s="455"/>
      <c r="P1527" s="455">
        <v>3</v>
      </c>
      <c r="Q1527" s="455"/>
      <c r="R1527" s="456">
        <v>12</v>
      </c>
      <c r="S1527" s="455"/>
      <c r="T1527" s="455"/>
      <c r="U1527" s="455"/>
      <c r="V1527" s="455">
        <v>1</v>
      </c>
      <c r="W1527" s="455"/>
      <c r="X1527" s="455"/>
      <c r="Y1527" s="455"/>
      <c r="Z1527" s="455">
        <v>1</v>
      </c>
      <c r="AA1527" s="455">
        <v>0</v>
      </c>
      <c r="AB1527" s="457">
        <f>100/(SUM(I1527:Z1527))</f>
        <v>1</v>
      </c>
      <c r="AC1527" s="432">
        <f>SUM(I1527:AA1527)</f>
        <v>100</v>
      </c>
      <c r="AD1527" s="455"/>
      <c r="AE1527" s="455"/>
      <c r="AF1527" s="455"/>
      <c r="AG1527" s="459"/>
      <c r="AH1527" s="451" t="s">
        <v>1183</v>
      </c>
      <c r="AI1527" s="458" t="s">
        <v>1369</v>
      </c>
      <c r="AJ1527" s="451" t="s">
        <v>1183</v>
      </c>
      <c r="AK1527" s="451" t="s">
        <v>1370</v>
      </c>
      <c r="AL1527" s="459">
        <f>(B1527-DATE(1970,1,1))*86400</f>
        <v>1553817600</v>
      </c>
      <c r="AM1527" s="459">
        <f>(C1527-DATE(1970,1,1))*86400</f>
        <v>1554249600</v>
      </c>
      <c r="AN1527" s="459">
        <f>AVERAGE(AL1527:AM1527)</f>
        <v>1554033600</v>
      </c>
      <c r="AO1527"/>
      <c r="AP1527"/>
      <c r="AQ1527"/>
      <c r="AR1527"/>
      <c r="AS1527"/>
      <c r="AT1527"/>
      <c r="AU1527"/>
      <c r="AV1527"/>
      <c r="AW1527"/>
      <c r="AX1527"/>
      <c r="AY1527"/>
      <c r="AZ1527"/>
      <c r="BA1527"/>
      <c r="BB1527"/>
      <c r="BC1527"/>
      <c r="BD1527"/>
      <c r="BE1527"/>
      <c r="BF1527"/>
      <c r="BG1527"/>
      <c r="BH1527"/>
      <c r="BI1527"/>
      <c r="BJ1527"/>
      <c r="BK1527"/>
      <c r="BL1527"/>
      <c r="BM1527"/>
    </row>
    <row r="1528" spans="1:65" s="516" customFormat="1" ht="15.75" customHeight="1" x14ac:dyDescent="0.2">
      <c r="A1528" s="284" t="s">
        <v>133</v>
      </c>
      <c r="B1528" s="20">
        <v>43553</v>
      </c>
      <c r="C1528" s="20">
        <v>43556</v>
      </c>
      <c r="D1528" s="19" t="s">
        <v>134</v>
      </c>
      <c r="E1528" s="332" t="s">
        <v>125</v>
      </c>
      <c r="F1528" s="19"/>
      <c r="G1528" s="19" t="s">
        <v>135</v>
      </c>
      <c r="H1528" s="332">
        <v>2000</v>
      </c>
      <c r="I1528" s="21">
        <v>31</v>
      </c>
      <c r="J1528" s="21"/>
      <c r="K1528" s="21">
        <v>9</v>
      </c>
      <c r="L1528" s="21">
        <v>3</v>
      </c>
      <c r="M1528" s="21">
        <v>6</v>
      </c>
      <c r="N1528" s="21"/>
      <c r="O1528" s="21"/>
      <c r="P1528" s="21">
        <v>4</v>
      </c>
      <c r="Q1528" s="21"/>
      <c r="R1528" s="22">
        <v>8</v>
      </c>
      <c r="S1528" s="21"/>
      <c r="T1528" s="21"/>
      <c r="U1528" s="21"/>
      <c r="V1528" s="21">
        <v>2</v>
      </c>
      <c r="W1528" s="21"/>
      <c r="X1528" s="21">
        <v>1</v>
      </c>
      <c r="Y1528" s="21"/>
      <c r="Z1528" s="21">
        <v>1</v>
      </c>
      <c r="AA1528" s="21">
        <v>35</v>
      </c>
      <c r="AB1528" s="23">
        <f>100/(SUM(I1528:Z1528))</f>
        <v>1.5384615384615385</v>
      </c>
      <c r="AC1528" s="259">
        <f>SUM(I1528:AA1528)</f>
        <v>100</v>
      </c>
      <c r="AD1528" s="21"/>
      <c r="AE1528" s="21"/>
      <c r="AF1528" s="21"/>
      <c r="AG1528" s="25"/>
      <c r="AH1528" s="83" t="s">
        <v>1371</v>
      </c>
      <c r="AI1528" s="83" t="s">
        <v>1372</v>
      </c>
      <c r="AJ1528" s="19" t="s">
        <v>1981</v>
      </c>
      <c r="AK1528" s="19" t="s">
        <v>1373</v>
      </c>
      <c r="AL1528" s="25">
        <f>(B1528-DATE(1970,1,1))*86400</f>
        <v>1553817600</v>
      </c>
      <c r="AM1528" s="25">
        <f>(C1528-DATE(1970,1,1))*86400</f>
        <v>1554076800</v>
      </c>
      <c r="AN1528" s="25">
        <f>AVERAGE(AL1528:AM1528)</f>
        <v>1553947200</v>
      </c>
      <c r="AO1528"/>
      <c r="AP1528"/>
      <c r="AQ1528"/>
      <c r="AR1528"/>
      <c r="AS1528"/>
      <c r="AT1528"/>
      <c r="AU1528"/>
      <c r="AV1528"/>
      <c r="AW1528"/>
      <c r="AX1528"/>
      <c r="AY1528"/>
      <c r="AZ1528"/>
      <c r="BA1528"/>
      <c r="BB1528"/>
      <c r="BC1528"/>
      <c r="BD1528"/>
      <c r="BE1528"/>
      <c r="BF1528"/>
      <c r="BG1528"/>
      <c r="BH1528"/>
      <c r="BI1528"/>
      <c r="BJ1528"/>
      <c r="BK1528"/>
      <c r="BL1528"/>
      <c r="BM1528"/>
    </row>
    <row r="1529" spans="1:65" s="516" customFormat="1" ht="15.75" customHeight="1" x14ac:dyDescent="0.2">
      <c r="A1529" s="284" t="s">
        <v>123</v>
      </c>
      <c r="B1529" s="20">
        <v>43553</v>
      </c>
      <c r="C1529" s="20">
        <v>43556</v>
      </c>
      <c r="D1529" s="19" t="s">
        <v>134</v>
      </c>
      <c r="E1529" s="332" t="s">
        <v>125</v>
      </c>
      <c r="F1529" s="19"/>
      <c r="G1529" s="19" t="s">
        <v>135</v>
      </c>
      <c r="H1529" s="332">
        <v>2000</v>
      </c>
      <c r="I1529" s="21">
        <v>48</v>
      </c>
      <c r="J1529" s="21"/>
      <c r="K1529" s="21">
        <v>14</v>
      </c>
      <c r="L1529" s="21">
        <v>4</v>
      </c>
      <c r="M1529" s="21">
        <v>9</v>
      </c>
      <c r="N1529" s="21"/>
      <c r="O1529" s="21"/>
      <c r="P1529" s="21">
        <v>6</v>
      </c>
      <c r="Q1529" s="21"/>
      <c r="R1529" s="22">
        <v>12</v>
      </c>
      <c r="S1529" s="21"/>
      <c r="T1529" s="21"/>
      <c r="U1529" s="21"/>
      <c r="V1529" s="21">
        <v>3</v>
      </c>
      <c r="W1529" s="21"/>
      <c r="X1529" s="21">
        <v>2</v>
      </c>
      <c r="Y1529" s="21"/>
      <c r="Z1529" s="21">
        <v>2</v>
      </c>
      <c r="AA1529" s="21">
        <v>0</v>
      </c>
      <c r="AB1529" s="23">
        <f>100/(SUM(I1529:Z1529))</f>
        <v>1</v>
      </c>
      <c r="AC1529" s="259">
        <f>SUM(I1529:AA1529)</f>
        <v>100</v>
      </c>
      <c r="AD1529" s="21"/>
      <c r="AE1529" s="21"/>
      <c r="AF1529" s="21"/>
      <c r="AG1529" s="25"/>
      <c r="AH1529" s="83" t="s">
        <v>1371</v>
      </c>
      <c r="AI1529" s="83" t="s">
        <v>1372</v>
      </c>
      <c r="AJ1529" s="19" t="s">
        <v>1981</v>
      </c>
      <c r="AK1529" s="19" t="s">
        <v>1373</v>
      </c>
      <c r="AL1529" s="25">
        <f>(B1529-DATE(1970,1,1))*86400</f>
        <v>1553817600</v>
      </c>
      <c r="AM1529" s="25">
        <f>(C1529-DATE(1970,1,1))*86400</f>
        <v>1554076800</v>
      </c>
      <c r="AN1529" s="25">
        <f>AVERAGE(AL1529:AM1529)</f>
        <v>1553947200</v>
      </c>
      <c r="AO1529"/>
      <c r="AP1529"/>
      <c r="AQ1529"/>
      <c r="AR1529"/>
      <c r="AS1529"/>
      <c r="AT1529"/>
      <c r="AU1529"/>
      <c r="AV1529"/>
      <c r="AW1529"/>
      <c r="AX1529"/>
      <c r="AY1529"/>
      <c r="AZ1529"/>
      <c r="BA1529"/>
      <c r="BB1529"/>
      <c r="BC1529"/>
      <c r="BD1529"/>
      <c r="BE1529"/>
      <c r="BF1529"/>
      <c r="BG1529"/>
      <c r="BH1529"/>
      <c r="BI1529"/>
      <c r="BJ1529"/>
      <c r="BK1529"/>
      <c r="BL1529"/>
      <c r="BM1529"/>
    </row>
    <row r="1530" spans="1:65" s="516" customFormat="1" ht="15.75" customHeight="1" x14ac:dyDescent="0.2">
      <c r="A1530" s="286" t="s">
        <v>133</v>
      </c>
      <c r="B1530" s="41">
        <v>43542</v>
      </c>
      <c r="C1530" s="41">
        <v>43546</v>
      </c>
      <c r="D1530" s="40" t="s">
        <v>148</v>
      </c>
      <c r="E1530" s="325" t="s">
        <v>125</v>
      </c>
      <c r="F1530" s="40" t="s">
        <v>2525</v>
      </c>
      <c r="G1530" s="40" t="s">
        <v>126</v>
      </c>
      <c r="H1530" s="325">
        <v>700</v>
      </c>
      <c r="I1530" s="42">
        <v>39.6</v>
      </c>
      <c r="J1530" s="42">
        <v>10</v>
      </c>
      <c r="K1530" s="42">
        <v>5.3</v>
      </c>
      <c r="L1530" s="42">
        <v>5.3</v>
      </c>
      <c r="M1530" s="42">
        <v>4</v>
      </c>
      <c r="N1530" s="42"/>
      <c r="O1530" s="42"/>
      <c r="P1530" s="42">
        <v>2.9</v>
      </c>
      <c r="Q1530" s="42"/>
      <c r="R1530" s="43"/>
      <c r="S1530" s="42"/>
      <c r="T1530" s="42"/>
      <c r="U1530" s="42"/>
      <c r="V1530" s="42"/>
      <c r="W1530" s="42"/>
      <c r="X1530" s="42"/>
      <c r="Y1530" s="42"/>
      <c r="Z1530" s="43">
        <v>8</v>
      </c>
      <c r="AA1530" s="42">
        <v>24.9</v>
      </c>
      <c r="AB1530" s="44">
        <f>100/(SUM(I1530:Z1530))</f>
        <v>1.3315579227696406</v>
      </c>
      <c r="AC1530" s="259">
        <f>SUM(I1530:AA1530)</f>
        <v>100</v>
      </c>
      <c r="AD1530" s="42"/>
      <c r="AE1530" s="43"/>
      <c r="AF1530" s="43"/>
      <c r="AG1530" s="45"/>
      <c r="AH1530" s="46" t="s">
        <v>1374</v>
      </c>
      <c r="AI1530" s="46"/>
      <c r="AJ1530" s="46"/>
      <c r="AK1530" s="40" t="s">
        <v>1375</v>
      </c>
      <c r="AL1530" s="45">
        <f>(B1530-DATE(1970,1,1))*86400</f>
        <v>1552867200</v>
      </c>
      <c r="AM1530" s="45">
        <f>(C1530-DATE(1970,1,1))*86400</f>
        <v>1553212800</v>
      </c>
      <c r="AN1530" s="45">
        <f>AVERAGE(AL1530:AM1530)</f>
        <v>1553040000</v>
      </c>
      <c r="AO1530"/>
      <c r="AP1530"/>
      <c r="AQ1530"/>
      <c r="AR1530"/>
      <c r="AS1530"/>
      <c r="AT1530"/>
      <c r="AU1530"/>
      <c r="AV1530"/>
      <c r="AW1530"/>
      <c r="AX1530"/>
      <c r="AY1530"/>
      <c r="AZ1530"/>
      <c r="BA1530"/>
      <c r="BB1530"/>
      <c r="BC1530"/>
      <c r="BD1530"/>
      <c r="BE1530"/>
      <c r="BF1530"/>
      <c r="BG1530"/>
      <c r="BH1530"/>
      <c r="BI1530"/>
      <c r="BJ1530"/>
      <c r="BK1530"/>
      <c r="BL1530"/>
      <c r="BM1530"/>
    </row>
    <row r="1531" spans="1:65" s="516" customFormat="1" ht="15.75" customHeight="1" x14ac:dyDescent="0.2">
      <c r="A1531" s="281" t="s">
        <v>133</v>
      </c>
      <c r="B1531" s="54">
        <v>43537</v>
      </c>
      <c r="C1531" s="54">
        <v>43544</v>
      </c>
      <c r="D1531" s="53" t="s">
        <v>154</v>
      </c>
      <c r="E1531" s="323" t="s">
        <v>125</v>
      </c>
      <c r="F1531" s="53"/>
      <c r="G1531" s="53" t="s">
        <v>126</v>
      </c>
      <c r="H1531" s="323">
        <v>1001</v>
      </c>
      <c r="I1531" s="55">
        <v>26.4</v>
      </c>
      <c r="J1531" s="55"/>
      <c r="K1531" s="55">
        <v>10.56</v>
      </c>
      <c r="L1531" s="55">
        <v>1.1200000000000001</v>
      </c>
      <c r="M1531" s="55">
        <v>1.8</v>
      </c>
      <c r="N1531" s="55"/>
      <c r="O1531" s="55"/>
      <c r="P1531" s="55">
        <v>1.73</v>
      </c>
      <c r="Q1531" s="55"/>
      <c r="R1531" s="55">
        <v>10.73</v>
      </c>
      <c r="S1531" s="55"/>
      <c r="T1531" s="55"/>
      <c r="U1531" s="55"/>
      <c r="V1531" s="55">
        <v>1.62</v>
      </c>
      <c r="W1531" s="55"/>
      <c r="X1531" s="55">
        <v>0.62</v>
      </c>
      <c r="Y1531" s="55"/>
      <c r="Z1531" s="55">
        <v>1.57</v>
      </c>
      <c r="AA1531" s="55">
        <v>43.84</v>
      </c>
      <c r="AB1531" s="57">
        <f>100/(SUM(I1531:Z1531))</f>
        <v>1.7809439002671421</v>
      </c>
      <c r="AC1531" s="259">
        <f>SUM(I1531:AA1531)</f>
        <v>99.989999999999981</v>
      </c>
      <c r="AD1531" s="55">
        <v>73</v>
      </c>
      <c r="AE1531" s="55"/>
      <c r="AF1531" s="55"/>
      <c r="AG1531" s="58"/>
      <c r="AH1531" s="59" t="s">
        <v>1376</v>
      </c>
      <c r="AI1531" s="186" t="s">
        <v>1377</v>
      </c>
      <c r="AJ1531" s="59" t="s">
        <v>1378</v>
      </c>
      <c r="AK1531" s="53" t="s">
        <v>1868</v>
      </c>
      <c r="AL1531" s="58">
        <f>(B1531-DATE(1970,1,1))*86400</f>
        <v>1552435200</v>
      </c>
      <c r="AM1531" s="58">
        <f>(C1531-DATE(1970,1,1))*86400</f>
        <v>1553040000</v>
      </c>
      <c r="AN1531" s="58">
        <f>AVERAGE(AL1531:AM1531)</f>
        <v>1552737600</v>
      </c>
      <c r="AO1531"/>
      <c r="AP1531"/>
      <c r="AQ1531"/>
      <c r="AR1531"/>
      <c r="AS1531"/>
      <c r="AT1531"/>
      <c r="AU1531"/>
      <c r="AV1531"/>
      <c r="AW1531"/>
      <c r="AX1531"/>
      <c r="AY1531"/>
      <c r="AZ1531"/>
      <c r="BA1531"/>
      <c r="BB1531"/>
      <c r="BC1531"/>
      <c r="BD1531"/>
      <c r="BE1531"/>
      <c r="BF1531"/>
      <c r="BG1531"/>
      <c r="BH1531"/>
      <c r="BI1531"/>
      <c r="BJ1531"/>
      <c r="BK1531"/>
      <c r="BL1531"/>
      <c r="BM1531"/>
    </row>
    <row r="1532" spans="1:65" ht="15.75" customHeight="1" x14ac:dyDescent="0.2">
      <c r="A1532" s="281" t="s">
        <v>133</v>
      </c>
      <c r="B1532" s="54">
        <v>43537</v>
      </c>
      <c r="C1532" s="54">
        <v>43544</v>
      </c>
      <c r="D1532" s="53" t="s">
        <v>154</v>
      </c>
      <c r="E1532" s="323" t="s">
        <v>125</v>
      </c>
      <c r="F1532" s="53" t="s">
        <v>195</v>
      </c>
      <c r="G1532" s="53" t="s">
        <v>126</v>
      </c>
      <c r="H1532" s="323">
        <v>1001</v>
      </c>
      <c r="I1532" s="55">
        <v>29</v>
      </c>
      <c r="J1532" s="55"/>
      <c r="K1532" s="55">
        <v>12</v>
      </c>
      <c r="L1532" s="55">
        <v>1</v>
      </c>
      <c r="M1532" s="55">
        <v>4</v>
      </c>
      <c r="N1532" s="55"/>
      <c r="O1532" s="55"/>
      <c r="P1532" s="55">
        <v>4</v>
      </c>
      <c r="Q1532" s="55"/>
      <c r="R1532" s="55">
        <v>11</v>
      </c>
      <c r="S1532" s="55"/>
      <c r="T1532" s="55"/>
      <c r="U1532" s="55"/>
      <c r="V1532" s="55"/>
      <c r="W1532" s="55"/>
      <c r="X1532" s="55"/>
      <c r="Y1532" s="55"/>
      <c r="Z1532" s="55">
        <v>1</v>
      </c>
      <c r="AA1532" s="55">
        <v>38</v>
      </c>
      <c r="AB1532" s="57">
        <f>100/(SUM(I1532:Z1532))</f>
        <v>1.6129032258064515</v>
      </c>
      <c r="AC1532" s="259">
        <f>SUM(I1532:AA1532)</f>
        <v>100</v>
      </c>
      <c r="AD1532" s="55"/>
      <c r="AE1532" s="55"/>
      <c r="AF1532" s="55"/>
      <c r="AG1532" s="58"/>
      <c r="AH1532" s="59" t="s">
        <v>1376</v>
      </c>
      <c r="AI1532" s="59" t="s">
        <v>1377</v>
      </c>
      <c r="AJ1532" s="59" t="s">
        <v>1378</v>
      </c>
      <c r="AK1532" s="53" t="s">
        <v>1356</v>
      </c>
      <c r="AL1532" s="58">
        <f>(B1532-DATE(1970,1,1))*86400</f>
        <v>1552435200</v>
      </c>
      <c r="AM1532" s="58">
        <f>(C1532-DATE(1970,1,1))*86400</f>
        <v>1553040000</v>
      </c>
      <c r="AN1532" s="58">
        <f>AVERAGE(AL1532:AM1532)</f>
        <v>1552737600</v>
      </c>
    </row>
    <row r="1533" spans="1:65" ht="15.75" customHeight="1" x14ac:dyDescent="0.2">
      <c r="A1533" s="281" t="s">
        <v>123</v>
      </c>
      <c r="B1533" s="54">
        <v>43537</v>
      </c>
      <c r="C1533" s="54">
        <v>43544</v>
      </c>
      <c r="D1533" s="53" t="s">
        <v>154</v>
      </c>
      <c r="E1533" s="323" t="s">
        <v>125</v>
      </c>
      <c r="F1533" s="53"/>
      <c r="G1533" s="53" t="s">
        <v>126</v>
      </c>
      <c r="H1533" s="323">
        <v>1001</v>
      </c>
      <c r="I1533" s="55">
        <v>37</v>
      </c>
      <c r="J1533" s="55"/>
      <c r="K1533" s="55">
        <v>13</v>
      </c>
      <c r="L1533" s="55">
        <v>2</v>
      </c>
      <c r="M1533" s="55">
        <v>3</v>
      </c>
      <c r="N1533" s="55"/>
      <c r="O1533" s="55"/>
      <c r="P1533" s="55">
        <v>2</v>
      </c>
      <c r="Q1533" s="55"/>
      <c r="R1533" s="55">
        <v>13</v>
      </c>
      <c r="S1533" s="55"/>
      <c r="T1533" s="55"/>
      <c r="U1533" s="55"/>
      <c r="V1533" s="55">
        <v>2</v>
      </c>
      <c r="W1533" s="55"/>
      <c r="X1533" s="55">
        <v>1</v>
      </c>
      <c r="Y1533" s="55"/>
      <c r="Z1533" s="55">
        <v>2</v>
      </c>
      <c r="AA1533" s="55">
        <v>25</v>
      </c>
      <c r="AB1533" s="57">
        <f>100/(SUM(I1533:Z1533))</f>
        <v>1.3333333333333333</v>
      </c>
      <c r="AC1533" s="259">
        <f>SUM(I1533:AA1533)</f>
        <v>100</v>
      </c>
      <c r="AD1533" s="55"/>
      <c r="AE1533" s="55"/>
      <c r="AF1533" s="55"/>
      <c r="AG1533" s="58"/>
      <c r="AH1533" s="59" t="s">
        <v>1376</v>
      </c>
      <c r="AI1533" s="59" t="s">
        <v>1378</v>
      </c>
      <c r="AJ1533" s="59" t="s">
        <v>1379</v>
      </c>
      <c r="AK1533" s="53"/>
      <c r="AL1533" s="58">
        <f>(B1533-DATE(1970,1,1))*86400</f>
        <v>1552435200</v>
      </c>
      <c r="AM1533" s="58">
        <f>(C1533-DATE(1970,1,1))*86400</f>
        <v>1553040000</v>
      </c>
      <c r="AN1533" s="58">
        <f>AVERAGE(AL1533:AM1533)</f>
        <v>1552737600</v>
      </c>
    </row>
    <row r="1534" spans="1:65" ht="15.75" customHeight="1" x14ac:dyDescent="0.2">
      <c r="A1534" s="281" t="s">
        <v>123</v>
      </c>
      <c r="B1534" s="54">
        <v>43537</v>
      </c>
      <c r="C1534" s="54">
        <v>43544</v>
      </c>
      <c r="D1534" s="53" t="s">
        <v>154</v>
      </c>
      <c r="E1534" s="323" t="s">
        <v>125</v>
      </c>
      <c r="F1534" s="53" t="s">
        <v>195</v>
      </c>
      <c r="G1534" s="53" t="s">
        <v>126</v>
      </c>
      <c r="H1534" s="323">
        <v>1001</v>
      </c>
      <c r="I1534" s="55">
        <v>37</v>
      </c>
      <c r="J1534" s="55"/>
      <c r="K1534" s="55">
        <v>14</v>
      </c>
      <c r="L1534" s="55">
        <v>2</v>
      </c>
      <c r="M1534" s="55">
        <v>5</v>
      </c>
      <c r="N1534" s="55"/>
      <c r="O1534" s="55"/>
      <c r="P1534" s="55">
        <v>5</v>
      </c>
      <c r="Q1534" s="55"/>
      <c r="R1534" s="55">
        <v>13</v>
      </c>
      <c r="S1534" s="55"/>
      <c r="T1534" s="55"/>
      <c r="U1534" s="55"/>
      <c r="V1534" s="55"/>
      <c r="W1534" s="55"/>
      <c r="X1534" s="55"/>
      <c r="Y1534" s="55"/>
      <c r="Z1534" s="55">
        <v>1</v>
      </c>
      <c r="AA1534" s="55">
        <v>23</v>
      </c>
      <c r="AB1534" s="57">
        <f>100/(SUM(I1534:Z1534))</f>
        <v>1.2987012987012987</v>
      </c>
      <c r="AC1534" s="259">
        <f>SUM(I1534:AA1534)</f>
        <v>100</v>
      </c>
      <c r="AD1534" s="55"/>
      <c r="AE1534" s="55"/>
      <c r="AF1534" s="55"/>
      <c r="AG1534" s="58"/>
      <c r="AH1534" s="59" t="s">
        <v>1376</v>
      </c>
      <c r="AI1534" s="59" t="s">
        <v>1378</v>
      </c>
      <c r="AJ1534" s="59"/>
      <c r="AK1534" s="53" t="s">
        <v>1356</v>
      </c>
      <c r="AL1534" s="58">
        <f>(B1534-DATE(1970,1,1))*86400</f>
        <v>1552435200</v>
      </c>
      <c r="AM1534" s="58">
        <f>(C1534-DATE(1970,1,1))*86400</f>
        <v>1553040000</v>
      </c>
      <c r="AN1534" s="58">
        <f>AVERAGE(AL1534:AM1534)</f>
        <v>1552737600</v>
      </c>
    </row>
    <row r="1535" spans="1:65" ht="15.75" customHeight="1" x14ac:dyDescent="0.2">
      <c r="A1535" s="281" t="s">
        <v>123</v>
      </c>
      <c r="B1535" s="54">
        <v>43537</v>
      </c>
      <c r="C1535" s="54">
        <v>43544</v>
      </c>
      <c r="D1535" s="53" t="s">
        <v>154</v>
      </c>
      <c r="E1535" s="323" t="s">
        <v>125</v>
      </c>
      <c r="F1535" s="53" t="s">
        <v>195</v>
      </c>
      <c r="G1535" s="53" t="s">
        <v>126</v>
      </c>
      <c r="H1535" s="323">
        <v>1001</v>
      </c>
      <c r="I1535" s="55">
        <v>52</v>
      </c>
      <c r="J1535" s="55"/>
      <c r="K1535" s="55">
        <v>16</v>
      </c>
      <c r="L1535" s="55">
        <v>3</v>
      </c>
      <c r="M1535" s="55">
        <v>6</v>
      </c>
      <c r="N1535" s="55"/>
      <c r="O1535" s="55"/>
      <c r="P1535" s="55">
        <v>6</v>
      </c>
      <c r="Q1535" s="55"/>
      <c r="R1535" s="55">
        <v>15</v>
      </c>
      <c r="S1535" s="55"/>
      <c r="T1535" s="55"/>
      <c r="U1535" s="55"/>
      <c r="V1535" s="55"/>
      <c r="W1535" s="55"/>
      <c r="X1535" s="55"/>
      <c r="Y1535" s="55"/>
      <c r="Z1535" s="55">
        <v>2</v>
      </c>
      <c r="AA1535" s="55">
        <v>0</v>
      </c>
      <c r="AB1535" s="57">
        <f>100/(SUM(I1535:Z1535))</f>
        <v>1</v>
      </c>
      <c r="AC1535" s="259">
        <f>SUM(I1535:AA1535)</f>
        <v>100</v>
      </c>
      <c r="AD1535" s="55"/>
      <c r="AE1535" s="55"/>
      <c r="AF1535" s="55"/>
      <c r="AG1535" s="58"/>
      <c r="AH1535" s="59" t="s">
        <v>1376</v>
      </c>
      <c r="AI1535" s="59" t="s">
        <v>1377</v>
      </c>
      <c r="AJ1535" s="59" t="s">
        <v>1378</v>
      </c>
      <c r="AK1535" s="53" t="s">
        <v>1356</v>
      </c>
      <c r="AL1535" s="58">
        <f>(B1535-DATE(1970,1,1))*86400</f>
        <v>1552435200</v>
      </c>
      <c r="AM1535" s="58">
        <f>(C1535-DATE(1970,1,1))*86400</f>
        <v>1553040000</v>
      </c>
      <c r="AN1535" s="58">
        <f>AVERAGE(AL1535:AM1535)</f>
        <v>1552737600</v>
      </c>
    </row>
    <row r="1536" spans="1:65" ht="15.75" customHeight="1" x14ac:dyDescent="0.2">
      <c r="A1536" s="281" t="s">
        <v>123</v>
      </c>
      <c r="B1536" s="54">
        <v>43537</v>
      </c>
      <c r="C1536" s="54">
        <v>43544</v>
      </c>
      <c r="D1536" s="53" t="s">
        <v>154</v>
      </c>
      <c r="E1536" s="323" t="s">
        <v>125</v>
      </c>
      <c r="F1536" s="53"/>
      <c r="G1536" s="53" t="s">
        <v>126</v>
      </c>
      <c r="H1536" s="323">
        <v>1001</v>
      </c>
      <c r="I1536" s="55">
        <v>50</v>
      </c>
      <c r="J1536" s="55"/>
      <c r="K1536" s="55">
        <v>16</v>
      </c>
      <c r="L1536" s="55">
        <v>2</v>
      </c>
      <c r="M1536" s="55">
        <v>4</v>
      </c>
      <c r="N1536" s="55"/>
      <c r="O1536" s="55"/>
      <c r="P1536" s="55">
        <v>4</v>
      </c>
      <c r="Q1536" s="55"/>
      <c r="R1536" s="55">
        <v>17</v>
      </c>
      <c r="S1536" s="55"/>
      <c r="T1536" s="55"/>
      <c r="U1536" s="55"/>
      <c r="V1536" s="55">
        <v>4</v>
      </c>
      <c r="W1536" s="55"/>
      <c r="X1536" s="55">
        <v>1</v>
      </c>
      <c r="Y1536" s="55"/>
      <c r="Z1536" s="55">
        <v>2</v>
      </c>
      <c r="AA1536" s="55">
        <v>0</v>
      </c>
      <c r="AB1536" s="57">
        <f>100/(SUM(I1536:Z1536))</f>
        <v>1</v>
      </c>
      <c r="AC1536" s="259">
        <f>SUM(I1536:AA1536)</f>
        <v>100</v>
      </c>
      <c r="AD1536" s="55"/>
      <c r="AE1536" s="55"/>
      <c r="AF1536" s="55"/>
      <c r="AG1536" s="58"/>
      <c r="AH1536" s="59" t="s">
        <v>1376</v>
      </c>
      <c r="AI1536" s="59" t="s">
        <v>1378</v>
      </c>
      <c r="AJ1536" s="59" t="s">
        <v>1379</v>
      </c>
      <c r="AK1536" s="53"/>
      <c r="AL1536" s="58">
        <f>(B1536-DATE(1970,1,1))*86400</f>
        <v>1552435200</v>
      </c>
      <c r="AM1536" s="58">
        <f>(C1536-DATE(1970,1,1))*86400</f>
        <v>1553040000</v>
      </c>
      <c r="AN1536" s="58">
        <f>AVERAGE(AL1536:AM1536)</f>
        <v>1552737600</v>
      </c>
    </row>
    <row r="1537" spans="1:65" ht="15.75" customHeight="1" x14ac:dyDescent="0.2">
      <c r="A1537" s="279" t="s">
        <v>133</v>
      </c>
      <c r="B1537" s="14">
        <v>43525</v>
      </c>
      <c r="C1537" s="14">
        <v>43552</v>
      </c>
      <c r="D1537" s="13" t="s">
        <v>124</v>
      </c>
      <c r="E1537" s="324" t="s">
        <v>125</v>
      </c>
      <c r="F1537" s="13"/>
      <c r="G1537" s="13" t="s">
        <v>149</v>
      </c>
      <c r="H1537" s="372">
        <v>5000</v>
      </c>
      <c r="I1537" s="15">
        <v>42</v>
      </c>
      <c r="J1537" s="15"/>
      <c r="K1537" s="15">
        <v>8</v>
      </c>
      <c r="L1537" s="15">
        <v>3</v>
      </c>
      <c r="M1537" s="15">
        <v>4</v>
      </c>
      <c r="N1537" s="15"/>
      <c r="O1537" s="15"/>
      <c r="P1537" s="15">
        <v>2</v>
      </c>
      <c r="Q1537" s="15"/>
      <c r="R1537" s="15">
        <v>7</v>
      </c>
      <c r="S1537" s="15"/>
      <c r="T1537" s="15"/>
      <c r="U1537" s="15"/>
      <c r="V1537" s="15">
        <v>3</v>
      </c>
      <c r="W1537" s="15"/>
      <c r="X1537" s="15">
        <v>1</v>
      </c>
      <c r="Y1537" s="15"/>
      <c r="Z1537" s="98">
        <v>0</v>
      </c>
      <c r="AA1537" s="15">
        <v>30</v>
      </c>
      <c r="AB1537" s="16">
        <f>100/(SUM(I1537:Z1537))</f>
        <v>1.4285714285714286</v>
      </c>
      <c r="AC1537" s="259">
        <f>SUM(I1537:AA1537)</f>
        <v>100</v>
      </c>
      <c r="AD1537" s="15"/>
      <c r="AE1537" s="15"/>
      <c r="AF1537" s="15"/>
      <c r="AG1537" s="17"/>
      <c r="AH1537" s="18" t="s">
        <v>1380</v>
      </c>
      <c r="AI1537" s="18" t="s">
        <v>1381</v>
      </c>
      <c r="AJ1537" s="18"/>
      <c r="AK1537" s="13" t="s">
        <v>1382</v>
      </c>
      <c r="AL1537" s="17">
        <f>(B1537-DATE(1970,1,1))*86400</f>
        <v>1551398400</v>
      </c>
      <c r="AM1537" s="17">
        <f>(C1537-DATE(1970,1,1))*86400</f>
        <v>1553731200</v>
      </c>
      <c r="AN1537" s="17">
        <f>AVERAGE(AL1537:AM1537)</f>
        <v>1552564800</v>
      </c>
    </row>
    <row r="1538" spans="1:65" ht="15.75" customHeight="1" x14ac:dyDescent="0.2">
      <c r="A1538" s="279" t="s">
        <v>123</v>
      </c>
      <c r="B1538" s="14">
        <v>43525</v>
      </c>
      <c r="C1538" s="14">
        <v>43552</v>
      </c>
      <c r="D1538" s="13" t="s">
        <v>124</v>
      </c>
      <c r="E1538" s="324" t="s">
        <v>125</v>
      </c>
      <c r="F1538" s="13"/>
      <c r="G1538" s="13" t="s">
        <v>149</v>
      </c>
      <c r="H1538" s="372">
        <v>5000</v>
      </c>
      <c r="I1538" s="15">
        <v>56</v>
      </c>
      <c r="J1538" s="15"/>
      <c r="K1538" s="15">
        <v>12</v>
      </c>
      <c r="L1538" s="15">
        <v>5</v>
      </c>
      <c r="M1538" s="15">
        <v>6</v>
      </c>
      <c r="N1538" s="15"/>
      <c r="O1538" s="15"/>
      <c r="P1538" s="15">
        <v>4</v>
      </c>
      <c r="Q1538" s="15"/>
      <c r="R1538" s="15">
        <v>11</v>
      </c>
      <c r="S1538" s="15"/>
      <c r="T1538" s="15"/>
      <c r="U1538" s="15"/>
      <c r="V1538" s="15">
        <v>4</v>
      </c>
      <c r="W1538" s="15"/>
      <c r="X1538" s="15">
        <v>2</v>
      </c>
      <c r="Y1538" s="15"/>
      <c r="Z1538" s="15">
        <v>0</v>
      </c>
      <c r="AA1538" s="15">
        <v>0</v>
      </c>
      <c r="AB1538" s="16">
        <f>100/(SUM(I1538:Z1538))</f>
        <v>1</v>
      </c>
      <c r="AC1538" s="259">
        <f>SUM(I1538:AA1538)</f>
        <v>100</v>
      </c>
      <c r="AD1538" s="15"/>
      <c r="AE1538" s="15"/>
      <c r="AF1538" s="15"/>
      <c r="AG1538" s="17"/>
      <c r="AH1538" s="18" t="s">
        <v>1381</v>
      </c>
      <c r="AI1538" s="18"/>
      <c r="AJ1538" s="18"/>
      <c r="AK1538" s="13"/>
      <c r="AL1538" s="17">
        <f>(B1538-DATE(1970,1,1))*86400</f>
        <v>1551398400</v>
      </c>
      <c r="AM1538" s="17">
        <f>(C1538-DATE(1970,1,1))*86400</f>
        <v>1553731200</v>
      </c>
      <c r="AN1538" s="17">
        <f>AVERAGE(AL1538:AM1538)</f>
        <v>1552564800</v>
      </c>
    </row>
    <row r="1539" spans="1:65" s="531" customFormat="1" ht="15.75" customHeight="1" x14ac:dyDescent="0.2">
      <c r="A1539" s="286" t="s">
        <v>133</v>
      </c>
      <c r="B1539" s="41">
        <v>43532</v>
      </c>
      <c r="C1539" s="41">
        <v>43543</v>
      </c>
      <c r="D1539" s="40" t="s">
        <v>148</v>
      </c>
      <c r="E1539" s="325" t="s">
        <v>125</v>
      </c>
      <c r="F1539" s="40"/>
      <c r="G1539" s="40" t="s">
        <v>149</v>
      </c>
      <c r="H1539" s="325">
        <v>1000</v>
      </c>
      <c r="I1539" s="42">
        <v>30.7</v>
      </c>
      <c r="J1539" s="42"/>
      <c r="K1539" s="42">
        <v>9.4</v>
      </c>
      <c r="L1539" s="42">
        <v>2.9</v>
      </c>
      <c r="M1539" s="42">
        <v>5.0999999999999996</v>
      </c>
      <c r="N1539" s="42"/>
      <c r="O1539" s="42"/>
      <c r="P1539" s="42">
        <v>4.2</v>
      </c>
      <c r="Q1539" s="42"/>
      <c r="R1539" s="43">
        <v>7.8</v>
      </c>
      <c r="S1539" s="42"/>
      <c r="T1539" s="42"/>
      <c r="U1539" s="42"/>
      <c r="V1539" s="42">
        <v>1.2</v>
      </c>
      <c r="W1539" s="42"/>
      <c r="X1539" s="42">
        <v>1.1000000000000001</v>
      </c>
      <c r="Y1539" s="42"/>
      <c r="Z1539" s="42">
        <v>2.1</v>
      </c>
      <c r="AA1539" s="42">
        <v>35.5</v>
      </c>
      <c r="AB1539" s="44">
        <f>100/(SUM(I1539:Z1539))</f>
        <v>1.5503875968992249</v>
      </c>
      <c r="AC1539" s="259">
        <f>SUM(I1539:AA1539)</f>
        <v>100</v>
      </c>
      <c r="AD1539" s="42"/>
      <c r="AE1539" s="42"/>
      <c r="AF1539" s="42"/>
      <c r="AG1539" s="45"/>
      <c r="AH1539" s="40" t="s">
        <v>1383</v>
      </c>
      <c r="AI1539" s="132" t="s">
        <v>1384</v>
      </c>
      <c r="AJ1539" s="132" t="s">
        <v>1385</v>
      </c>
      <c r="AK1539" s="40" t="s">
        <v>1386</v>
      </c>
      <c r="AL1539" s="45">
        <f>(B1539-DATE(1970,1,1))*86400</f>
        <v>1552003200</v>
      </c>
      <c r="AM1539" s="45">
        <f>(C1539-DATE(1970,1,1))*86400</f>
        <v>1552953600</v>
      </c>
      <c r="AN1539" s="45">
        <f>AVERAGE(AL1539:AM1539)</f>
        <v>1552478400</v>
      </c>
      <c r="AO1539"/>
      <c r="AP1539"/>
      <c r="AQ1539"/>
      <c r="AR1539"/>
      <c r="AS1539"/>
      <c r="AT1539"/>
      <c r="AU1539"/>
      <c r="AV1539"/>
      <c r="AW1539"/>
      <c r="AX1539"/>
      <c r="AY1539"/>
      <c r="AZ1539"/>
      <c r="BA1539"/>
      <c r="BB1539"/>
      <c r="BC1539"/>
      <c r="BD1539"/>
      <c r="BE1539"/>
      <c r="BF1539"/>
      <c r="BG1539"/>
      <c r="BH1539"/>
      <c r="BI1539"/>
      <c r="BJ1539"/>
      <c r="BK1539"/>
      <c r="BL1539"/>
      <c r="BM1539"/>
    </row>
    <row r="1540" spans="1:65" s="531" customFormat="1" ht="15.75" customHeight="1" x14ac:dyDescent="0.2">
      <c r="A1540" s="286" t="s">
        <v>123</v>
      </c>
      <c r="B1540" s="41">
        <v>43532</v>
      </c>
      <c r="C1540" s="41">
        <v>43543</v>
      </c>
      <c r="D1540" s="40" t="s">
        <v>148</v>
      </c>
      <c r="E1540" s="325" t="s">
        <v>125</v>
      </c>
      <c r="F1540" s="40"/>
      <c r="G1540" s="40" t="s">
        <v>149</v>
      </c>
      <c r="H1540" s="325">
        <v>1000</v>
      </c>
      <c r="I1540" s="43">
        <v>50</v>
      </c>
      <c r="J1540" s="43"/>
      <c r="K1540" s="42">
        <v>14.2</v>
      </c>
      <c r="L1540" s="42">
        <v>3.7</v>
      </c>
      <c r="M1540" s="42">
        <v>9.3000000000000007</v>
      </c>
      <c r="N1540" s="42"/>
      <c r="O1540" s="42"/>
      <c r="P1540" s="42">
        <v>5.0999999999999996</v>
      </c>
      <c r="Q1540" s="42"/>
      <c r="R1540" s="43">
        <v>14.3</v>
      </c>
      <c r="S1540" s="42"/>
      <c r="T1540" s="42"/>
      <c r="U1540" s="42"/>
      <c r="V1540" s="42">
        <v>1.4</v>
      </c>
      <c r="W1540" s="42"/>
      <c r="X1540" s="42">
        <v>1.7</v>
      </c>
      <c r="Y1540" s="42"/>
      <c r="Z1540" s="42">
        <v>0.3</v>
      </c>
      <c r="AA1540" s="42">
        <v>0</v>
      </c>
      <c r="AB1540" s="44">
        <f>100/(SUM(I1540:Z1540))</f>
        <v>1</v>
      </c>
      <c r="AC1540" s="259">
        <f>SUM(I1540:AA1540)</f>
        <v>100</v>
      </c>
      <c r="AD1540" s="42"/>
      <c r="AE1540" s="42"/>
      <c r="AF1540" s="42"/>
      <c r="AG1540" s="45"/>
      <c r="AH1540" s="40" t="s">
        <v>1383</v>
      </c>
      <c r="AI1540" s="132" t="s">
        <v>1384</v>
      </c>
      <c r="AJ1540" s="132" t="s">
        <v>1385</v>
      </c>
      <c r="AK1540" s="40" t="s">
        <v>1387</v>
      </c>
      <c r="AL1540" s="45">
        <f>(B1540-DATE(1970,1,1))*86400</f>
        <v>1552003200</v>
      </c>
      <c r="AM1540" s="45">
        <f>(C1540-DATE(1970,1,1))*86400</f>
        <v>1552953600</v>
      </c>
      <c r="AN1540" s="45">
        <f>AVERAGE(AL1540:AM1540)</f>
        <v>1552478400</v>
      </c>
      <c r="AO1540"/>
      <c r="AP1540"/>
      <c r="AQ1540"/>
      <c r="AR1540"/>
      <c r="AS1540"/>
      <c r="AT1540"/>
      <c r="AU1540"/>
      <c r="AV1540"/>
      <c r="AW1540"/>
      <c r="AX1540"/>
      <c r="AY1540"/>
      <c r="AZ1540"/>
      <c r="BA1540"/>
      <c r="BB1540"/>
      <c r="BC1540"/>
      <c r="BD1540"/>
      <c r="BE1540"/>
      <c r="BF1540"/>
      <c r="BG1540"/>
      <c r="BH1540"/>
      <c r="BI1540"/>
      <c r="BJ1540"/>
      <c r="BK1540"/>
      <c r="BL1540"/>
      <c r="BM1540"/>
    </row>
    <row r="1541" spans="1:65" s="531" customFormat="1" ht="15.75" customHeight="1" x14ac:dyDescent="0.2">
      <c r="A1541" s="302" t="s">
        <v>133</v>
      </c>
      <c r="B1541" s="254">
        <v>43530</v>
      </c>
      <c r="C1541" s="254">
        <v>43530</v>
      </c>
      <c r="D1541" s="262" t="s">
        <v>2445</v>
      </c>
      <c r="E1541" s="322" t="s">
        <v>184</v>
      </c>
      <c r="F1541" s="121"/>
      <c r="G1541" s="262" t="s">
        <v>244</v>
      </c>
      <c r="H1541" s="373">
        <v>500</v>
      </c>
      <c r="I1541" s="123">
        <v>35</v>
      </c>
      <c r="J1541" s="123">
        <v>9</v>
      </c>
      <c r="K1541" s="123">
        <v>9</v>
      </c>
      <c r="L1541" s="123">
        <v>3</v>
      </c>
      <c r="M1541" s="123">
        <v>3</v>
      </c>
      <c r="N1541" s="123"/>
      <c r="O1541" s="123">
        <v>1</v>
      </c>
      <c r="P1541" s="123">
        <v>2</v>
      </c>
      <c r="Q1541" s="123"/>
      <c r="R1541" s="124"/>
      <c r="S1541" s="123"/>
      <c r="T1541" s="123"/>
      <c r="U1541" s="123"/>
      <c r="V1541" s="123">
        <v>1</v>
      </c>
      <c r="W1541" s="123"/>
      <c r="X1541" s="123">
        <v>2</v>
      </c>
      <c r="Y1541" s="123"/>
      <c r="Z1541" s="123">
        <v>2</v>
      </c>
      <c r="AA1541" s="123">
        <v>33</v>
      </c>
      <c r="AB1541" s="125">
        <f>100/(SUM(I1541:Z1541))</f>
        <v>1.4925373134328359</v>
      </c>
      <c r="AC1541" s="259">
        <f>SUM(I1541:AA1541)</f>
        <v>100</v>
      </c>
      <c r="AD1541" s="123"/>
      <c r="AE1541" s="123"/>
      <c r="AF1541" s="123"/>
      <c r="AG1541" s="263" t="s">
        <v>719</v>
      </c>
      <c r="AH1541" s="253" t="s">
        <v>2031</v>
      </c>
      <c r="AI1541" s="253" t="s">
        <v>2030</v>
      </c>
      <c r="AJ1541" s="253" t="s">
        <v>2001</v>
      </c>
      <c r="AK1541" s="121" t="s">
        <v>2032</v>
      </c>
      <c r="AL1541" s="126">
        <f>(B1541-DATE(1970,1,1))*86400</f>
        <v>1551830400</v>
      </c>
      <c r="AM1541" s="126">
        <f>(C1541-DATE(1970,1,1))*86400</f>
        <v>1551830400</v>
      </c>
      <c r="AN1541" s="126">
        <f>AVERAGE(AL1541:AM1541)</f>
        <v>1551830400</v>
      </c>
      <c r="AO1541"/>
      <c r="AP1541"/>
      <c r="AQ1541"/>
      <c r="AR1541"/>
      <c r="AS1541"/>
      <c r="AT1541"/>
      <c r="AU1541"/>
      <c r="AV1541"/>
      <c r="AW1541"/>
      <c r="AX1541"/>
      <c r="AY1541"/>
      <c r="AZ1541"/>
      <c r="BA1541"/>
      <c r="BB1541"/>
      <c r="BC1541"/>
      <c r="BD1541"/>
      <c r="BE1541"/>
      <c r="BF1541"/>
      <c r="BG1541"/>
      <c r="BH1541"/>
      <c r="BI1541"/>
      <c r="BJ1541"/>
      <c r="BK1541"/>
      <c r="BL1541"/>
      <c r="BM1541"/>
    </row>
    <row r="1542" spans="1:65" ht="15.75" customHeight="1" x14ac:dyDescent="0.2">
      <c r="A1542" s="302" t="s">
        <v>123</v>
      </c>
      <c r="B1542" s="254">
        <v>43530</v>
      </c>
      <c r="C1542" s="254">
        <v>43530</v>
      </c>
      <c r="D1542" s="262" t="s">
        <v>2445</v>
      </c>
      <c r="E1542" s="322" t="s">
        <v>184</v>
      </c>
      <c r="F1542" s="121"/>
      <c r="G1542" s="262" t="s">
        <v>244</v>
      </c>
      <c r="H1542" s="373">
        <v>500</v>
      </c>
      <c r="I1542" s="123">
        <v>53</v>
      </c>
      <c r="J1542" s="123">
        <v>12</v>
      </c>
      <c r="K1542" s="123">
        <v>12</v>
      </c>
      <c r="L1542" s="123">
        <v>5</v>
      </c>
      <c r="M1542" s="123">
        <v>5</v>
      </c>
      <c r="N1542" s="123"/>
      <c r="O1542" s="123">
        <v>2</v>
      </c>
      <c r="P1542" s="123">
        <v>3</v>
      </c>
      <c r="Q1542" s="123"/>
      <c r="R1542" s="124"/>
      <c r="S1542" s="123"/>
      <c r="T1542" s="123"/>
      <c r="U1542" s="123"/>
      <c r="V1542" s="123">
        <v>2</v>
      </c>
      <c r="W1542" s="123"/>
      <c r="X1542" s="123">
        <v>3</v>
      </c>
      <c r="Y1542" s="123"/>
      <c r="Z1542" s="123">
        <v>3</v>
      </c>
      <c r="AA1542" s="123">
        <v>0</v>
      </c>
      <c r="AB1542" s="125">
        <f>100/(SUM(I1542:Z1542))</f>
        <v>1</v>
      </c>
      <c r="AC1542" s="259">
        <f>SUM(I1542:AA1542)</f>
        <v>100</v>
      </c>
      <c r="AD1542" s="123"/>
      <c r="AE1542" s="123"/>
      <c r="AF1542" s="123"/>
      <c r="AG1542" s="263" t="s">
        <v>719</v>
      </c>
      <c r="AH1542" s="253" t="s">
        <v>2031</v>
      </c>
      <c r="AI1542" s="253" t="s">
        <v>2030</v>
      </c>
      <c r="AJ1542" s="253" t="s">
        <v>2001</v>
      </c>
      <c r="AK1542" s="121" t="s">
        <v>2032</v>
      </c>
      <c r="AL1542" s="126">
        <f>(B1542-DATE(1970,1,1))*86400</f>
        <v>1551830400</v>
      </c>
      <c r="AM1542" s="126">
        <f>(C1542-DATE(1970,1,1))*86400</f>
        <v>1551830400</v>
      </c>
      <c r="AN1542" s="126">
        <f>AVERAGE(AL1542:AM1542)</f>
        <v>1551830400</v>
      </c>
    </row>
    <row r="1543" spans="1:65" ht="15.75" customHeight="1" x14ac:dyDescent="0.2">
      <c r="A1543" s="284" t="s">
        <v>133</v>
      </c>
      <c r="B1543" s="20">
        <v>43524</v>
      </c>
      <c r="C1543" s="20">
        <v>43528</v>
      </c>
      <c r="D1543" s="19" t="s">
        <v>134</v>
      </c>
      <c r="E1543" s="332" t="s">
        <v>125</v>
      </c>
      <c r="F1543" s="19"/>
      <c r="G1543" s="19" t="s">
        <v>135</v>
      </c>
      <c r="H1543" s="332">
        <v>2000</v>
      </c>
      <c r="I1543" s="21">
        <v>31</v>
      </c>
      <c r="J1543" s="21"/>
      <c r="K1543" s="21">
        <v>10</v>
      </c>
      <c r="L1543" s="21">
        <v>2</v>
      </c>
      <c r="M1543" s="21">
        <v>6</v>
      </c>
      <c r="N1543" s="21"/>
      <c r="O1543" s="21"/>
      <c r="P1543" s="21">
        <v>3</v>
      </c>
      <c r="Q1543" s="21"/>
      <c r="R1543" s="22">
        <v>8</v>
      </c>
      <c r="S1543" s="21"/>
      <c r="T1543" s="21"/>
      <c r="U1543" s="21"/>
      <c r="V1543" s="21">
        <v>3</v>
      </c>
      <c r="W1543" s="21"/>
      <c r="X1543" s="21"/>
      <c r="Y1543" s="21"/>
      <c r="Z1543" s="22">
        <v>2</v>
      </c>
      <c r="AA1543" s="21">
        <v>34</v>
      </c>
      <c r="AB1543" s="23">
        <f>100/(SUM(I1543:Z1543))</f>
        <v>1.5384615384615385</v>
      </c>
      <c r="AC1543" s="259">
        <f>SUM(I1543:AA1543)</f>
        <v>99</v>
      </c>
      <c r="AD1543" s="21"/>
      <c r="AE1543" s="21"/>
      <c r="AF1543" s="21"/>
      <c r="AG1543" s="25"/>
      <c r="AH1543" s="83" t="s">
        <v>1388</v>
      </c>
      <c r="AI1543" s="83" t="s">
        <v>1389</v>
      </c>
      <c r="AJ1543" s="19"/>
      <c r="AK1543" s="19" t="s">
        <v>1390</v>
      </c>
      <c r="AL1543" s="25">
        <f>(B1543-DATE(1970,1,1))*86400</f>
        <v>1551312000</v>
      </c>
      <c r="AM1543" s="25">
        <f>(C1543-DATE(1970,1,1))*86400</f>
        <v>1551657600</v>
      </c>
      <c r="AN1543" s="25">
        <f>AVERAGE(AL1543:AM1543)</f>
        <v>1551484800</v>
      </c>
    </row>
    <row r="1544" spans="1:65" ht="15.75" customHeight="1" x14ac:dyDescent="0.2">
      <c r="A1544" s="284" t="s">
        <v>123</v>
      </c>
      <c r="B1544" s="20">
        <v>43524</v>
      </c>
      <c r="C1544" s="20">
        <v>43528</v>
      </c>
      <c r="D1544" s="19" t="s">
        <v>134</v>
      </c>
      <c r="E1544" s="332" t="s">
        <v>125</v>
      </c>
      <c r="F1544" s="19"/>
      <c r="G1544" s="19" t="s">
        <v>135</v>
      </c>
      <c r="H1544" s="332">
        <v>2000</v>
      </c>
      <c r="I1544" s="21">
        <v>47</v>
      </c>
      <c r="J1544" s="21"/>
      <c r="K1544" s="21">
        <v>17</v>
      </c>
      <c r="L1544" s="21">
        <v>3</v>
      </c>
      <c r="M1544" s="21">
        <v>9</v>
      </c>
      <c r="N1544" s="21"/>
      <c r="O1544" s="21"/>
      <c r="P1544" s="21">
        <v>4</v>
      </c>
      <c r="Q1544" s="21"/>
      <c r="R1544" s="22">
        <v>12</v>
      </c>
      <c r="S1544" s="21"/>
      <c r="T1544" s="21"/>
      <c r="U1544" s="21"/>
      <c r="V1544" s="21">
        <v>4</v>
      </c>
      <c r="W1544" s="21"/>
      <c r="X1544" s="21"/>
      <c r="Y1544" s="21"/>
      <c r="Z1544" s="22">
        <v>4</v>
      </c>
      <c r="AA1544" s="21">
        <v>0</v>
      </c>
      <c r="AB1544" s="23">
        <f>100/(SUM(I1544:Z1544))</f>
        <v>1</v>
      </c>
      <c r="AC1544" s="259">
        <f>SUM(I1544:AA1544)</f>
        <v>100</v>
      </c>
      <c r="AD1544" s="21"/>
      <c r="AE1544" s="21"/>
      <c r="AF1544" s="21"/>
      <c r="AG1544" s="25"/>
      <c r="AH1544" s="83" t="s">
        <v>1388</v>
      </c>
      <c r="AI1544" s="83" t="s">
        <v>1389</v>
      </c>
      <c r="AJ1544" s="19"/>
      <c r="AK1544" s="19" t="s">
        <v>1390</v>
      </c>
      <c r="AL1544" s="25">
        <f>(B1544-DATE(1970,1,1))*86400</f>
        <v>1551312000</v>
      </c>
      <c r="AM1544" s="25">
        <f>(C1544-DATE(1970,1,1))*86400</f>
        <v>1551657600</v>
      </c>
      <c r="AN1544" s="25">
        <f>AVERAGE(AL1544:AM1544)</f>
        <v>1551484800</v>
      </c>
    </row>
    <row r="1545" spans="1:65" ht="15.75" customHeight="1" x14ac:dyDescent="0.2">
      <c r="A1545" s="281" t="s">
        <v>133</v>
      </c>
      <c r="B1545" s="54">
        <v>43509</v>
      </c>
      <c r="C1545" s="54">
        <v>43516</v>
      </c>
      <c r="D1545" s="53" t="s">
        <v>154</v>
      </c>
      <c r="E1545" s="323" t="s">
        <v>125</v>
      </c>
      <c r="F1545" s="53"/>
      <c r="G1545" s="53" t="s">
        <v>126</v>
      </c>
      <c r="H1545" s="323">
        <v>999</v>
      </c>
      <c r="I1545" s="55">
        <v>24.92</v>
      </c>
      <c r="J1545" s="55"/>
      <c r="K1545" s="55">
        <v>10.25</v>
      </c>
      <c r="L1545" s="55">
        <v>2.36</v>
      </c>
      <c r="M1545" s="55">
        <v>3.38</v>
      </c>
      <c r="N1545" s="55"/>
      <c r="O1545" s="55"/>
      <c r="P1545" s="55">
        <v>1.97</v>
      </c>
      <c r="Q1545" s="55"/>
      <c r="R1545" s="55">
        <v>9.44</v>
      </c>
      <c r="S1545" s="55"/>
      <c r="T1545" s="55"/>
      <c r="U1545" s="55"/>
      <c r="V1545" s="55">
        <v>1.36</v>
      </c>
      <c r="W1545" s="55"/>
      <c r="X1545" s="55"/>
      <c r="Y1545" s="55"/>
      <c r="Z1545" s="55">
        <v>2.4</v>
      </c>
      <c r="AA1545" s="55">
        <v>43.93</v>
      </c>
      <c r="AB1545" s="57">
        <f>100/(SUM(I1545:Z1545))</f>
        <v>1.783166904422254</v>
      </c>
      <c r="AC1545" s="259">
        <f>SUM(I1545:AA1545)</f>
        <v>100.00999999999999</v>
      </c>
      <c r="AD1545" s="55"/>
      <c r="AE1545" s="55"/>
      <c r="AF1545" s="55"/>
      <c r="AG1545" s="58"/>
      <c r="AH1545" s="59" t="s">
        <v>1391</v>
      </c>
      <c r="AI1545" s="59" t="s">
        <v>1392</v>
      </c>
      <c r="AJ1545" s="59" t="s">
        <v>1393</v>
      </c>
      <c r="AK1545" s="53" t="s">
        <v>1869</v>
      </c>
      <c r="AL1545" s="58">
        <f>(B1545-DATE(1970,1,1))*86400</f>
        <v>1550016000</v>
      </c>
      <c r="AM1545" s="58">
        <f>(C1545-DATE(1970,1,1))*86400</f>
        <v>1550620800</v>
      </c>
      <c r="AN1545" s="58">
        <f>AVERAGE(AL1545:AM1545)</f>
        <v>1550318400</v>
      </c>
    </row>
    <row r="1546" spans="1:65" ht="15.75" customHeight="1" x14ac:dyDescent="0.2">
      <c r="A1546" s="281" t="s">
        <v>123</v>
      </c>
      <c r="B1546" s="54">
        <v>43509</v>
      </c>
      <c r="C1546" s="54">
        <v>43516</v>
      </c>
      <c r="D1546" s="53" t="s">
        <v>154</v>
      </c>
      <c r="E1546" s="323" t="s">
        <v>125</v>
      </c>
      <c r="F1546" s="53"/>
      <c r="G1546" s="53" t="s">
        <v>126</v>
      </c>
      <c r="H1546" s="323">
        <v>999</v>
      </c>
      <c r="I1546" s="55">
        <v>37</v>
      </c>
      <c r="J1546" s="55"/>
      <c r="K1546" s="55">
        <v>13</v>
      </c>
      <c r="L1546" s="55">
        <v>2</v>
      </c>
      <c r="M1546" s="55">
        <v>3</v>
      </c>
      <c r="N1546" s="55"/>
      <c r="O1546" s="55"/>
      <c r="P1546" s="55">
        <v>2</v>
      </c>
      <c r="Q1546" s="55"/>
      <c r="R1546" s="55">
        <v>12</v>
      </c>
      <c r="S1546" s="55"/>
      <c r="T1546" s="55"/>
      <c r="U1546" s="55"/>
      <c r="V1546" s="55">
        <v>1</v>
      </c>
      <c r="W1546" s="55"/>
      <c r="X1546" s="55"/>
      <c r="Y1546" s="55"/>
      <c r="Z1546" s="55">
        <v>2</v>
      </c>
      <c r="AA1546" s="55">
        <v>28</v>
      </c>
      <c r="AB1546" s="57">
        <f>100/(SUM(I1546:Z1546))</f>
        <v>1.3888888888888888</v>
      </c>
      <c r="AC1546" s="259">
        <f>SUM(I1546:AA1546)</f>
        <v>100</v>
      </c>
      <c r="AD1546" s="55"/>
      <c r="AE1546" s="55"/>
      <c r="AF1546" s="55"/>
      <c r="AG1546" s="58"/>
      <c r="AH1546" s="59" t="s">
        <v>1391</v>
      </c>
      <c r="AI1546" s="59" t="s">
        <v>1392</v>
      </c>
      <c r="AJ1546" s="59" t="s">
        <v>1393</v>
      </c>
      <c r="AK1546" s="53"/>
      <c r="AL1546" s="58">
        <f>(B1546-DATE(1970,1,1))*86400</f>
        <v>1550016000</v>
      </c>
      <c r="AM1546" s="58">
        <f>(C1546-DATE(1970,1,1))*86400</f>
        <v>1550620800</v>
      </c>
      <c r="AN1546" s="58">
        <f>AVERAGE(AL1546:AM1546)</f>
        <v>1550318400</v>
      </c>
    </row>
    <row r="1547" spans="1:65" ht="15.75" customHeight="1" x14ac:dyDescent="0.2">
      <c r="A1547" s="281" t="s">
        <v>123</v>
      </c>
      <c r="B1547" s="54">
        <v>43509</v>
      </c>
      <c r="C1547" s="54">
        <v>43516</v>
      </c>
      <c r="D1547" s="53" t="s">
        <v>154</v>
      </c>
      <c r="E1547" s="323" t="s">
        <v>125</v>
      </c>
      <c r="F1547" s="53"/>
      <c r="G1547" s="53" t="s">
        <v>126</v>
      </c>
      <c r="H1547" s="323">
        <v>999</v>
      </c>
      <c r="I1547" s="55">
        <v>50</v>
      </c>
      <c r="J1547" s="55"/>
      <c r="K1547" s="55">
        <v>17</v>
      </c>
      <c r="L1547" s="55">
        <v>3</v>
      </c>
      <c r="M1547" s="55">
        <v>5</v>
      </c>
      <c r="N1547" s="55"/>
      <c r="O1547" s="55"/>
      <c r="P1547" s="55">
        <v>4</v>
      </c>
      <c r="Q1547" s="55"/>
      <c r="R1547" s="55">
        <v>15</v>
      </c>
      <c r="S1547" s="55"/>
      <c r="T1547" s="55"/>
      <c r="U1547" s="55"/>
      <c r="V1547" s="55">
        <v>2</v>
      </c>
      <c r="W1547" s="55"/>
      <c r="X1547" s="55"/>
      <c r="Y1547" s="55"/>
      <c r="Z1547" s="55">
        <v>3</v>
      </c>
      <c r="AA1547" s="55">
        <v>0</v>
      </c>
      <c r="AB1547" s="57">
        <f>100/(SUM(I1547:Z1547))</f>
        <v>1.0101010101010102</v>
      </c>
      <c r="AC1547" s="259">
        <f>SUM(I1547:AA1547)</f>
        <v>99</v>
      </c>
      <c r="AD1547" s="55"/>
      <c r="AE1547" s="55"/>
      <c r="AF1547" s="55"/>
      <c r="AG1547" s="58"/>
      <c r="AH1547" s="59" t="s">
        <v>1391</v>
      </c>
      <c r="AI1547" s="59" t="s">
        <v>1392</v>
      </c>
      <c r="AJ1547" s="59" t="s">
        <v>1393</v>
      </c>
      <c r="AK1547" s="53"/>
      <c r="AL1547" s="58">
        <f>(B1547-DATE(1970,1,1))*86400</f>
        <v>1550016000</v>
      </c>
      <c r="AM1547" s="58">
        <f>(C1547-DATE(1970,1,1))*86400</f>
        <v>1550620800</v>
      </c>
      <c r="AN1547" s="58">
        <f>AVERAGE(AL1547:AM1547)</f>
        <v>1550318400</v>
      </c>
    </row>
    <row r="1548" spans="1:65" ht="15.75" customHeight="1" x14ac:dyDescent="0.2">
      <c r="A1548" s="279" t="s">
        <v>133</v>
      </c>
      <c r="B1548" s="14">
        <v>43496</v>
      </c>
      <c r="C1548" s="160">
        <v>43518</v>
      </c>
      <c r="D1548" s="13" t="s">
        <v>124</v>
      </c>
      <c r="E1548" s="324" t="s">
        <v>125</v>
      </c>
      <c r="F1548" s="13"/>
      <c r="G1548" s="13" t="s">
        <v>149</v>
      </c>
      <c r="H1548" s="372">
        <v>5000</v>
      </c>
      <c r="I1548" s="161">
        <v>40</v>
      </c>
      <c r="J1548" s="161"/>
      <c r="K1548" s="161">
        <v>8</v>
      </c>
      <c r="L1548" s="161">
        <v>3</v>
      </c>
      <c r="M1548" s="161">
        <v>4</v>
      </c>
      <c r="N1548" s="161"/>
      <c r="O1548" s="161"/>
      <c r="P1548" s="161">
        <v>2</v>
      </c>
      <c r="Q1548" s="161"/>
      <c r="R1548" s="161">
        <v>7</v>
      </c>
      <c r="S1548" s="161"/>
      <c r="T1548" s="161"/>
      <c r="U1548" s="161"/>
      <c r="V1548" s="161">
        <v>2</v>
      </c>
      <c r="W1548" s="161"/>
      <c r="X1548" s="161">
        <v>2</v>
      </c>
      <c r="Y1548" s="161"/>
      <c r="Z1548" s="15">
        <v>0</v>
      </c>
      <c r="AA1548" s="15">
        <v>32</v>
      </c>
      <c r="AB1548" s="16">
        <f>100/(SUM(I1548:Z1548))</f>
        <v>1.4705882352941178</v>
      </c>
      <c r="AC1548" s="259">
        <f>SUM(I1548:AA1548)</f>
        <v>100</v>
      </c>
      <c r="AD1548" s="15"/>
      <c r="AE1548" s="15"/>
      <c r="AF1548" s="15"/>
      <c r="AG1548" s="17"/>
      <c r="AH1548" s="18" t="s">
        <v>1394</v>
      </c>
      <c r="AI1548" s="18"/>
      <c r="AJ1548" s="18"/>
      <c r="AK1548" s="13" t="s">
        <v>1395</v>
      </c>
      <c r="AL1548" s="17">
        <f>(B1548-DATE(1970,1,1))*86400</f>
        <v>1548892800</v>
      </c>
      <c r="AM1548" s="17">
        <f>(C1548-DATE(1970,1,1))*86400</f>
        <v>1550793600</v>
      </c>
      <c r="AN1548" s="17">
        <f>AVERAGE(AL1548:AM1548)</f>
        <v>1549843200</v>
      </c>
    </row>
    <row r="1549" spans="1:65" ht="15.75" customHeight="1" x14ac:dyDescent="0.2">
      <c r="A1549" s="279" t="s">
        <v>123</v>
      </c>
      <c r="B1549" s="14">
        <v>43496</v>
      </c>
      <c r="C1549" s="160">
        <v>43518</v>
      </c>
      <c r="D1549" s="13" t="s">
        <v>124</v>
      </c>
      <c r="E1549" s="324" t="s">
        <v>125</v>
      </c>
      <c r="F1549" s="13"/>
      <c r="G1549" s="13" t="s">
        <v>149</v>
      </c>
      <c r="H1549" s="372">
        <v>5000</v>
      </c>
      <c r="I1549" s="161">
        <v>54</v>
      </c>
      <c r="J1549" s="161"/>
      <c r="K1549" s="161">
        <v>13</v>
      </c>
      <c r="L1549" s="161">
        <v>5</v>
      </c>
      <c r="M1549" s="161">
        <v>6</v>
      </c>
      <c r="N1549" s="161"/>
      <c r="O1549" s="161"/>
      <c r="P1549" s="161">
        <v>4</v>
      </c>
      <c r="Q1549" s="161"/>
      <c r="R1549" s="161">
        <v>11</v>
      </c>
      <c r="S1549" s="161"/>
      <c r="T1549" s="161"/>
      <c r="U1549" s="161"/>
      <c r="V1549" s="161">
        <v>4</v>
      </c>
      <c r="W1549" s="161"/>
      <c r="X1549" s="161">
        <v>3</v>
      </c>
      <c r="Y1549" s="161"/>
      <c r="Z1549" s="161">
        <v>0</v>
      </c>
      <c r="AA1549" s="15">
        <v>0</v>
      </c>
      <c r="AB1549" s="16">
        <f>100/(SUM(I1549:Z1549))</f>
        <v>1</v>
      </c>
      <c r="AC1549" s="259">
        <f>SUM(I1549:AA1549)</f>
        <v>100</v>
      </c>
      <c r="AD1549" s="15"/>
      <c r="AE1549" s="15"/>
      <c r="AF1549" s="15"/>
      <c r="AG1549" s="17"/>
      <c r="AH1549" s="18" t="s">
        <v>1394</v>
      </c>
      <c r="AI1549" s="13"/>
      <c r="AJ1549" s="13"/>
      <c r="AK1549" s="13"/>
      <c r="AL1549" s="17">
        <f>(B1549-DATE(1970,1,1))*86400</f>
        <v>1548892800</v>
      </c>
      <c r="AM1549" s="17">
        <f>(C1549-DATE(1970,1,1))*86400</f>
        <v>1550793600</v>
      </c>
      <c r="AN1549" s="17">
        <f>AVERAGE(AL1549:AM1549)</f>
        <v>1549843200</v>
      </c>
    </row>
    <row r="1550" spans="1:65" ht="15.75" customHeight="1" x14ac:dyDescent="0.2">
      <c r="A1550" s="286" t="s">
        <v>133</v>
      </c>
      <c r="B1550" s="41">
        <v>43499</v>
      </c>
      <c r="C1550" s="162">
        <v>43506</v>
      </c>
      <c r="D1550" s="40" t="s">
        <v>148</v>
      </c>
      <c r="E1550" s="325" t="s">
        <v>125</v>
      </c>
      <c r="F1550" s="40"/>
      <c r="G1550" s="40" t="s">
        <v>149</v>
      </c>
      <c r="H1550" s="381">
        <v>1000</v>
      </c>
      <c r="I1550" s="42">
        <v>31.9</v>
      </c>
      <c r="J1550" s="42"/>
      <c r="K1550" s="42">
        <v>10.1</v>
      </c>
      <c r="L1550" s="42">
        <v>2.7</v>
      </c>
      <c r="M1550" s="42">
        <v>5</v>
      </c>
      <c r="N1550" s="42"/>
      <c r="O1550" s="42"/>
      <c r="P1550" s="42">
        <v>3.1</v>
      </c>
      <c r="Q1550" s="42"/>
      <c r="R1550" s="43">
        <v>7.9</v>
      </c>
      <c r="S1550" s="42"/>
      <c r="T1550" s="42"/>
      <c r="U1550" s="42"/>
      <c r="V1550" s="42">
        <v>2.2000000000000002</v>
      </c>
      <c r="W1550" s="42"/>
      <c r="X1550" s="42">
        <v>1.6</v>
      </c>
      <c r="Y1550" s="42"/>
      <c r="Z1550" s="42">
        <v>2.7</v>
      </c>
      <c r="AA1550" s="42">
        <v>32.799999999999997</v>
      </c>
      <c r="AB1550" s="44">
        <f>100/(SUM(I1550:Z1550))</f>
        <v>1.4880952380952381</v>
      </c>
      <c r="AC1550" s="259">
        <f>SUM(I1550:AA1550)</f>
        <v>100</v>
      </c>
      <c r="AD1550" s="42"/>
      <c r="AE1550" s="42"/>
      <c r="AF1550" s="42"/>
      <c r="AG1550" s="45"/>
      <c r="AH1550" s="40" t="s">
        <v>1383</v>
      </c>
      <c r="AI1550" s="132" t="s">
        <v>1396</v>
      </c>
      <c r="AJ1550" s="132" t="s">
        <v>1397</v>
      </c>
      <c r="AK1550" s="40"/>
      <c r="AL1550" s="45">
        <f>(B1550-DATE(1970,1,1))*86400</f>
        <v>1549152000</v>
      </c>
      <c r="AM1550" s="45">
        <f>(C1550-DATE(1970,1,1))*86400</f>
        <v>1549756800</v>
      </c>
      <c r="AN1550" s="45">
        <f>AVERAGE(AL1550:AM1550)</f>
        <v>1549454400</v>
      </c>
    </row>
    <row r="1551" spans="1:65" ht="15.75" customHeight="1" x14ac:dyDescent="0.2">
      <c r="A1551" s="286" t="s">
        <v>123</v>
      </c>
      <c r="B1551" s="41">
        <v>43499</v>
      </c>
      <c r="C1551" s="162">
        <v>43506</v>
      </c>
      <c r="D1551" s="40" t="s">
        <v>148</v>
      </c>
      <c r="E1551" s="325" t="s">
        <v>125</v>
      </c>
      <c r="F1551" s="40"/>
      <c r="G1551" s="40" t="s">
        <v>149</v>
      </c>
      <c r="H1551" s="381">
        <v>1000</v>
      </c>
      <c r="I1551" s="163">
        <v>49.3</v>
      </c>
      <c r="J1551" s="163"/>
      <c r="K1551" s="164">
        <v>14.1</v>
      </c>
      <c r="L1551" s="164">
        <v>3.7</v>
      </c>
      <c r="M1551" s="164">
        <v>9</v>
      </c>
      <c r="N1551" s="164"/>
      <c r="O1551" s="164"/>
      <c r="P1551" s="164">
        <v>4.3</v>
      </c>
      <c r="Q1551" s="164"/>
      <c r="R1551" s="43">
        <v>13.4</v>
      </c>
      <c r="S1551" s="164"/>
      <c r="T1551" s="164"/>
      <c r="U1551" s="164"/>
      <c r="V1551" s="164">
        <v>2.2000000000000002</v>
      </c>
      <c r="W1551" s="164"/>
      <c r="X1551" s="164">
        <v>2.1</v>
      </c>
      <c r="Y1551" s="164"/>
      <c r="Z1551" s="164">
        <v>1.9</v>
      </c>
      <c r="AA1551" s="42">
        <v>0</v>
      </c>
      <c r="AB1551" s="44">
        <f>100/(SUM(I1551:Z1551))</f>
        <v>1</v>
      </c>
      <c r="AC1551" s="259">
        <f>SUM(I1551:AA1551)</f>
        <v>100</v>
      </c>
      <c r="AD1551" s="42"/>
      <c r="AE1551" s="42"/>
      <c r="AF1551" s="42"/>
      <c r="AG1551" s="45"/>
      <c r="AH1551" s="40" t="s">
        <v>1383</v>
      </c>
      <c r="AI1551" s="132" t="s">
        <v>1396</v>
      </c>
      <c r="AJ1551" s="132" t="s">
        <v>1397</v>
      </c>
      <c r="AK1551" s="40"/>
      <c r="AL1551" s="45">
        <f>(B1551-DATE(1970,1,1))*86400</f>
        <v>1549152000</v>
      </c>
      <c r="AM1551" s="45">
        <f>(C1551-DATE(1970,1,1))*86400</f>
        <v>1549756800</v>
      </c>
      <c r="AN1551" s="45">
        <f>AVERAGE(AL1551:AM1551)</f>
        <v>1549454400</v>
      </c>
    </row>
    <row r="1552" spans="1:65" ht="15.75" customHeight="1" x14ac:dyDescent="0.2">
      <c r="A1552" s="302" t="s">
        <v>133</v>
      </c>
      <c r="B1552" s="254">
        <v>43502</v>
      </c>
      <c r="C1552" s="254">
        <v>43502</v>
      </c>
      <c r="D1552" s="262" t="s">
        <v>2445</v>
      </c>
      <c r="E1552" s="322" t="s">
        <v>184</v>
      </c>
      <c r="F1552" s="121"/>
      <c r="G1552" s="262" t="s">
        <v>244</v>
      </c>
      <c r="H1552" s="373">
        <v>500</v>
      </c>
      <c r="I1552" s="123">
        <v>36</v>
      </c>
      <c r="J1552" s="123">
        <v>6</v>
      </c>
      <c r="K1552" s="123">
        <v>8</v>
      </c>
      <c r="L1552" s="123">
        <v>4</v>
      </c>
      <c r="M1552" s="123">
        <v>3</v>
      </c>
      <c r="N1552" s="123"/>
      <c r="O1552" s="123">
        <v>1</v>
      </c>
      <c r="P1552" s="123">
        <v>2</v>
      </c>
      <c r="Q1552" s="123"/>
      <c r="R1552" s="124"/>
      <c r="S1552" s="123"/>
      <c r="T1552" s="123"/>
      <c r="U1552" s="123"/>
      <c r="V1552" s="123">
        <v>0</v>
      </c>
      <c r="W1552" s="123"/>
      <c r="X1552" s="123">
        <v>1</v>
      </c>
      <c r="Y1552" s="123"/>
      <c r="Z1552" s="123">
        <v>1</v>
      </c>
      <c r="AA1552" s="123">
        <v>38</v>
      </c>
      <c r="AB1552" s="125">
        <f>100/(SUM(I1552:Z1552))</f>
        <v>1.6129032258064515</v>
      </c>
      <c r="AC1552" s="259">
        <f>SUM(I1552:AA1552)</f>
        <v>100</v>
      </c>
      <c r="AD1552" s="123"/>
      <c r="AE1552" s="123"/>
      <c r="AF1552" s="123"/>
      <c r="AG1552" s="263" t="s">
        <v>719</v>
      </c>
      <c r="AH1552" s="253" t="s">
        <v>2028</v>
      </c>
      <c r="AI1552" s="253" t="s">
        <v>2027</v>
      </c>
      <c r="AJ1552" s="253" t="s">
        <v>2001</v>
      </c>
      <c r="AK1552" s="121" t="s">
        <v>2029</v>
      </c>
      <c r="AL1552" s="126">
        <f>(B1552-DATE(1970,1,1))*86400</f>
        <v>1549411200</v>
      </c>
      <c r="AM1552" s="126">
        <f>(C1552-DATE(1970,1,1))*86400</f>
        <v>1549411200</v>
      </c>
      <c r="AN1552" s="126">
        <f>AVERAGE(AL1552:AM1552)</f>
        <v>1549411200</v>
      </c>
    </row>
    <row r="1553" spans="1:40" ht="15.75" customHeight="1" x14ac:dyDescent="0.2">
      <c r="A1553" s="302" t="s">
        <v>123</v>
      </c>
      <c r="B1553" s="254">
        <v>43502</v>
      </c>
      <c r="C1553" s="254">
        <v>43502</v>
      </c>
      <c r="D1553" s="262" t="s">
        <v>2445</v>
      </c>
      <c r="E1553" s="322" t="s">
        <v>184</v>
      </c>
      <c r="F1553" s="121"/>
      <c r="G1553" s="262" t="s">
        <v>244</v>
      </c>
      <c r="H1553" s="373">
        <v>500</v>
      </c>
      <c r="I1553" s="123">
        <v>57</v>
      </c>
      <c r="J1553" s="123">
        <v>9</v>
      </c>
      <c r="K1553" s="123">
        <v>13</v>
      </c>
      <c r="L1553" s="123">
        <v>6</v>
      </c>
      <c r="M1553" s="123">
        <v>5</v>
      </c>
      <c r="N1553" s="123"/>
      <c r="O1553" s="123">
        <v>2</v>
      </c>
      <c r="P1553" s="123">
        <v>3</v>
      </c>
      <c r="Q1553" s="123"/>
      <c r="R1553" s="124"/>
      <c r="S1553" s="123"/>
      <c r="T1553" s="123"/>
      <c r="U1553" s="123"/>
      <c r="V1553" s="123">
        <v>1</v>
      </c>
      <c r="W1553" s="123"/>
      <c r="X1553" s="123">
        <v>2</v>
      </c>
      <c r="Y1553" s="123"/>
      <c r="Z1553" s="123">
        <v>2</v>
      </c>
      <c r="AA1553" s="123">
        <v>0</v>
      </c>
      <c r="AB1553" s="125">
        <f>100/(SUM(I1553:Z1553))</f>
        <v>1</v>
      </c>
      <c r="AC1553" s="259">
        <f>SUM(I1553:AA1553)</f>
        <v>100</v>
      </c>
      <c r="AD1553" s="123"/>
      <c r="AE1553" s="123"/>
      <c r="AF1553" s="123"/>
      <c r="AG1553" s="263" t="s">
        <v>719</v>
      </c>
      <c r="AH1553" s="253" t="s">
        <v>2028</v>
      </c>
      <c r="AI1553" s="253" t="s">
        <v>2027</v>
      </c>
      <c r="AJ1553" s="253" t="s">
        <v>2001</v>
      </c>
      <c r="AK1553" s="121" t="s">
        <v>2029</v>
      </c>
      <c r="AL1553" s="126">
        <f>(B1553-DATE(1970,1,1))*86400</f>
        <v>1549411200</v>
      </c>
      <c r="AM1553" s="126">
        <f>(C1553-DATE(1970,1,1))*86400</f>
        <v>1549411200</v>
      </c>
      <c r="AN1553" s="126">
        <f>AVERAGE(AL1553:AM1553)</f>
        <v>1549411200</v>
      </c>
    </row>
    <row r="1554" spans="1:40" ht="15.75" customHeight="1" x14ac:dyDescent="0.2">
      <c r="A1554" s="284" t="s">
        <v>133</v>
      </c>
      <c r="B1554" s="20">
        <v>43491</v>
      </c>
      <c r="C1554" s="20">
        <v>43493</v>
      </c>
      <c r="D1554" s="19" t="s">
        <v>134</v>
      </c>
      <c r="E1554" s="332" t="s">
        <v>125</v>
      </c>
      <c r="F1554" s="19"/>
      <c r="G1554" s="19" t="s">
        <v>135</v>
      </c>
      <c r="H1554" s="382">
        <v>2000</v>
      </c>
      <c r="I1554" s="165">
        <v>32</v>
      </c>
      <c r="J1554" s="165">
        <v>7</v>
      </c>
      <c r="K1554" s="165">
        <v>10</v>
      </c>
      <c r="L1554" s="165">
        <v>2</v>
      </c>
      <c r="M1554" s="165">
        <v>6</v>
      </c>
      <c r="N1554" s="165"/>
      <c r="O1554" s="165">
        <v>1</v>
      </c>
      <c r="P1554" s="165">
        <v>4</v>
      </c>
      <c r="Q1554" s="165"/>
      <c r="R1554" s="22"/>
      <c r="S1554" s="165"/>
      <c r="T1554" s="165"/>
      <c r="U1554" s="165"/>
      <c r="V1554" s="165">
        <v>4</v>
      </c>
      <c r="W1554" s="165"/>
      <c r="X1554" s="165">
        <v>1</v>
      </c>
      <c r="Y1554" s="165"/>
      <c r="Z1554" s="165">
        <v>1</v>
      </c>
      <c r="AA1554" s="21">
        <v>32</v>
      </c>
      <c r="AB1554" s="23">
        <f>100/(SUM(I1554:Z1554))</f>
        <v>1.4705882352941178</v>
      </c>
      <c r="AC1554" s="259">
        <f>SUM(I1554:AA1554)</f>
        <v>100</v>
      </c>
      <c r="AD1554" s="21"/>
      <c r="AE1554" s="21"/>
      <c r="AF1554" s="21"/>
      <c r="AG1554" s="25"/>
      <c r="AH1554" s="83" t="s">
        <v>1398</v>
      </c>
      <c r="AI1554" s="19" t="s">
        <v>1920</v>
      </c>
      <c r="AJ1554" s="19"/>
      <c r="AK1554" s="19"/>
      <c r="AL1554" s="25">
        <f>(B1554-DATE(1970,1,1))*86400</f>
        <v>1548460800</v>
      </c>
      <c r="AM1554" s="25">
        <f>(C1554-DATE(1970,1,1))*86400</f>
        <v>1548633600</v>
      </c>
      <c r="AN1554" s="25">
        <f>AVERAGE(AL1554:AM1554)</f>
        <v>1548547200</v>
      </c>
    </row>
    <row r="1555" spans="1:40" ht="15.75" customHeight="1" x14ac:dyDescent="0.2">
      <c r="A1555" s="284" t="s">
        <v>123</v>
      </c>
      <c r="B1555" s="20">
        <v>43491</v>
      </c>
      <c r="C1555" s="20">
        <v>43493</v>
      </c>
      <c r="D1555" s="19" t="s">
        <v>134</v>
      </c>
      <c r="E1555" s="332" t="s">
        <v>125</v>
      </c>
      <c r="F1555" s="19"/>
      <c r="G1555" s="19" t="s">
        <v>135</v>
      </c>
      <c r="H1555" s="382">
        <v>2000</v>
      </c>
      <c r="I1555" s="165">
        <v>47</v>
      </c>
      <c r="J1555" s="165">
        <v>10</v>
      </c>
      <c r="K1555" s="165">
        <v>16</v>
      </c>
      <c r="L1555" s="165">
        <v>3</v>
      </c>
      <c r="M1555" s="165">
        <v>9</v>
      </c>
      <c r="N1555" s="165"/>
      <c r="O1555" s="165">
        <v>2</v>
      </c>
      <c r="P1555" s="165">
        <v>6</v>
      </c>
      <c r="Q1555" s="165"/>
      <c r="R1555" s="22"/>
      <c r="S1555" s="165"/>
      <c r="T1555" s="165"/>
      <c r="U1555" s="165"/>
      <c r="V1555" s="165">
        <v>4</v>
      </c>
      <c r="W1555" s="165"/>
      <c r="X1555" s="165">
        <v>1</v>
      </c>
      <c r="Y1555" s="165"/>
      <c r="Z1555" s="165">
        <v>2</v>
      </c>
      <c r="AA1555" s="21">
        <v>0</v>
      </c>
      <c r="AB1555" s="23">
        <f>100/(SUM(I1555:Z1555))</f>
        <v>1</v>
      </c>
      <c r="AC1555" s="259">
        <f>SUM(I1555:AA1555)</f>
        <v>100</v>
      </c>
      <c r="AD1555" s="21"/>
      <c r="AE1555" s="21"/>
      <c r="AF1555" s="21"/>
      <c r="AG1555" s="25"/>
      <c r="AH1555" s="83" t="s">
        <v>1399</v>
      </c>
      <c r="AI1555" s="83" t="s">
        <v>1398</v>
      </c>
      <c r="AJ1555" s="19"/>
      <c r="AK1555" s="19"/>
      <c r="AL1555" s="25">
        <f>(B1555-DATE(1970,1,1))*86400</f>
        <v>1548460800</v>
      </c>
      <c r="AM1555" s="25">
        <f>(C1555-DATE(1970,1,1))*86400</f>
        <v>1548633600</v>
      </c>
      <c r="AN1555" s="25">
        <f>AVERAGE(AL1555:AM1555)</f>
        <v>1548547200</v>
      </c>
    </row>
    <row r="1556" spans="1:40" ht="15.75" customHeight="1" x14ac:dyDescent="0.2">
      <c r="A1556" s="449" t="s">
        <v>133</v>
      </c>
      <c r="B1556" s="460">
        <v>43483</v>
      </c>
      <c r="C1556" s="462">
        <v>43492</v>
      </c>
      <c r="D1556" s="451" t="s">
        <v>143</v>
      </c>
      <c r="E1556" s="452" t="s">
        <v>125</v>
      </c>
      <c r="F1556" s="451"/>
      <c r="G1556" s="451" t="s">
        <v>149</v>
      </c>
      <c r="H1556" s="454">
        <v>1200</v>
      </c>
      <c r="I1556" s="463">
        <v>38</v>
      </c>
      <c r="J1556" s="463">
        <v>8</v>
      </c>
      <c r="K1556" s="463">
        <v>9</v>
      </c>
      <c r="L1556" s="463">
        <v>5</v>
      </c>
      <c r="M1556" s="463">
        <v>6</v>
      </c>
      <c r="N1556" s="463"/>
      <c r="O1556" s="463">
        <v>1</v>
      </c>
      <c r="P1556" s="463">
        <v>2</v>
      </c>
      <c r="Q1556" s="463"/>
      <c r="R1556" s="456"/>
      <c r="S1556" s="463"/>
      <c r="T1556" s="463"/>
      <c r="U1556" s="463"/>
      <c r="V1556" s="463">
        <v>1</v>
      </c>
      <c r="W1556" s="463"/>
      <c r="X1556" s="463">
        <v>0</v>
      </c>
      <c r="Y1556" s="463"/>
      <c r="Z1556" s="463"/>
      <c r="AA1556" s="455">
        <v>30</v>
      </c>
      <c r="AB1556" s="457">
        <f>100/(SUM(I1556:Z1556))</f>
        <v>1.4285714285714286</v>
      </c>
      <c r="AC1556" s="432">
        <f>SUM(I1556:AA1556)</f>
        <v>100</v>
      </c>
      <c r="AD1556" s="455"/>
      <c r="AE1556" s="455"/>
      <c r="AF1556" s="455"/>
      <c r="AG1556" s="459"/>
      <c r="AH1556" s="451" t="s">
        <v>1183</v>
      </c>
      <c r="AI1556" s="458" t="s">
        <v>1400</v>
      </c>
      <c r="AJ1556" s="458" t="s">
        <v>1401</v>
      </c>
      <c r="AK1556" s="451"/>
      <c r="AL1556" s="459">
        <f>(B1556-DATE(1970,1,1))*86400</f>
        <v>1547769600</v>
      </c>
      <c r="AM1556" s="459">
        <f>(C1556-DATE(1970,1,1))*86400</f>
        <v>1548547200</v>
      </c>
      <c r="AN1556" s="459">
        <f>AVERAGE(AL1556:AM1556)</f>
        <v>1548158400</v>
      </c>
    </row>
    <row r="1557" spans="1:40" ht="15.75" customHeight="1" x14ac:dyDescent="0.2">
      <c r="A1557" s="449" t="s">
        <v>133</v>
      </c>
      <c r="B1557" s="460">
        <v>43483</v>
      </c>
      <c r="C1557" s="462">
        <v>43492</v>
      </c>
      <c r="D1557" s="451" t="s">
        <v>143</v>
      </c>
      <c r="E1557" s="452" t="s">
        <v>125</v>
      </c>
      <c r="F1557" s="451"/>
      <c r="G1557" s="451" t="s">
        <v>149</v>
      </c>
      <c r="H1557" s="454">
        <v>1200</v>
      </c>
      <c r="I1557" s="463">
        <v>55</v>
      </c>
      <c r="J1557" s="463">
        <v>11</v>
      </c>
      <c r="K1557" s="463">
        <v>12</v>
      </c>
      <c r="L1557" s="463">
        <v>6</v>
      </c>
      <c r="M1557" s="463">
        <v>9</v>
      </c>
      <c r="N1557" s="463"/>
      <c r="O1557" s="463">
        <v>1</v>
      </c>
      <c r="P1557" s="463">
        <v>3</v>
      </c>
      <c r="Q1557" s="463"/>
      <c r="R1557" s="456"/>
      <c r="S1557" s="463"/>
      <c r="T1557" s="463"/>
      <c r="U1557" s="463"/>
      <c r="V1557" s="463">
        <v>2</v>
      </c>
      <c r="W1557" s="463"/>
      <c r="X1557" s="463">
        <v>1</v>
      </c>
      <c r="Y1557" s="463"/>
      <c r="Z1557" s="463"/>
      <c r="AA1557" s="455">
        <v>0</v>
      </c>
      <c r="AB1557" s="457">
        <f>100/(SUM(I1557:Z1557))</f>
        <v>1</v>
      </c>
      <c r="AC1557" s="432">
        <f>SUM(I1557:AA1557)</f>
        <v>100</v>
      </c>
      <c r="AD1557" s="455"/>
      <c r="AE1557" s="455"/>
      <c r="AF1557" s="455"/>
      <c r="AG1557" s="459"/>
      <c r="AH1557" s="451" t="s">
        <v>1183</v>
      </c>
      <c r="AI1557" s="458" t="s">
        <v>1400</v>
      </c>
      <c r="AJ1557" s="451"/>
      <c r="AK1557" s="451"/>
      <c r="AL1557" s="459">
        <f>(B1557-DATE(1970,1,1))*86400</f>
        <v>1547769600</v>
      </c>
      <c r="AM1557" s="459">
        <f>(C1557-DATE(1970,1,1))*86400</f>
        <v>1548547200</v>
      </c>
      <c r="AN1557" s="459">
        <f>AVERAGE(AL1557:AM1557)</f>
        <v>1548158400</v>
      </c>
    </row>
    <row r="1558" spans="1:40" ht="15.75" customHeight="1" x14ac:dyDescent="0.2">
      <c r="A1558" s="449" t="s">
        <v>123</v>
      </c>
      <c r="B1558" s="460">
        <v>43483</v>
      </c>
      <c r="C1558" s="462">
        <v>43492</v>
      </c>
      <c r="D1558" s="451" t="s">
        <v>143</v>
      </c>
      <c r="E1558" s="452" t="s">
        <v>125</v>
      </c>
      <c r="F1558" s="451"/>
      <c r="G1558" s="451" t="s">
        <v>149</v>
      </c>
      <c r="H1558" s="454">
        <v>1200</v>
      </c>
      <c r="I1558" s="463">
        <v>56</v>
      </c>
      <c r="J1558" s="463">
        <v>12</v>
      </c>
      <c r="K1558" s="463">
        <v>13</v>
      </c>
      <c r="L1558" s="463">
        <v>5</v>
      </c>
      <c r="M1558" s="463">
        <v>9</v>
      </c>
      <c r="N1558" s="463"/>
      <c r="O1558" s="463">
        <v>1</v>
      </c>
      <c r="P1558" s="463">
        <v>3</v>
      </c>
      <c r="Q1558" s="463"/>
      <c r="R1558" s="456"/>
      <c r="S1558" s="463"/>
      <c r="T1558" s="463"/>
      <c r="U1558" s="463"/>
      <c r="V1558" s="463">
        <v>0</v>
      </c>
      <c r="W1558" s="463"/>
      <c r="X1558" s="463">
        <v>1</v>
      </c>
      <c r="Y1558" s="463"/>
      <c r="Z1558" s="463"/>
      <c r="AA1558" s="455">
        <v>0</v>
      </c>
      <c r="AB1558" s="457">
        <f>100/(SUM(I1558:Z1558))</f>
        <v>1</v>
      </c>
      <c r="AC1558" s="432">
        <f>SUM(I1558:AA1558)</f>
        <v>100</v>
      </c>
      <c r="AD1558" s="455"/>
      <c r="AE1558" s="455"/>
      <c r="AF1558" s="455"/>
      <c r="AG1558" s="459"/>
      <c r="AH1558" s="451" t="s">
        <v>1183</v>
      </c>
      <c r="AI1558" s="458" t="s">
        <v>1400</v>
      </c>
      <c r="AJ1558" s="451"/>
      <c r="AK1558" s="451"/>
      <c r="AL1558" s="459">
        <f>(B1558-DATE(1970,1,1))*86400</f>
        <v>1547769600</v>
      </c>
      <c r="AM1558" s="459">
        <f>(C1558-DATE(1970,1,1))*86400</f>
        <v>1548547200</v>
      </c>
      <c r="AN1558" s="459">
        <f>AVERAGE(AL1558:AM1558)</f>
        <v>1548158400</v>
      </c>
    </row>
    <row r="1559" spans="1:40" ht="15.75" customHeight="1" x14ac:dyDescent="0.2">
      <c r="A1559" s="279" t="s">
        <v>133</v>
      </c>
      <c r="B1559" s="160">
        <v>43466</v>
      </c>
      <c r="C1559" s="160">
        <v>43492</v>
      </c>
      <c r="D1559" s="13" t="s">
        <v>124</v>
      </c>
      <c r="E1559" s="324" t="s">
        <v>125</v>
      </c>
      <c r="F1559" s="13"/>
      <c r="G1559" s="13" t="s">
        <v>149</v>
      </c>
      <c r="H1559" s="372">
        <v>5000</v>
      </c>
      <c r="I1559" s="161">
        <v>39</v>
      </c>
      <c r="J1559" s="161"/>
      <c r="K1559" s="161">
        <v>9</v>
      </c>
      <c r="L1559" s="161">
        <v>3</v>
      </c>
      <c r="M1559" s="161">
        <v>4</v>
      </c>
      <c r="N1559" s="161"/>
      <c r="O1559" s="161"/>
      <c r="P1559" s="161">
        <v>2</v>
      </c>
      <c r="Q1559" s="161"/>
      <c r="R1559" s="161">
        <v>6</v>
      </c>
      <c r="S1559" s="161"/>
      <c r="T1559" s="161"/>
      <c r="U1559" s="161"/>
      <c r="V1559" s="161">
        <v>2</v>
      </c>
      <c r="W1559" s="161"/>
      <c r="X1559" s="161">
        <v>2</v>
      </c>
      <c r="Y1559" s="161"/>
      <c r="Z1559" s="166">
        <v>0</v>
      </c>
      <c r="AA1559" s="15">
        <v>33</v>
      </c>
      <c r="AB1559" s="16">
        <f>100/(SUM(I1559:Z1559))</f>
        <v>1.4925373134328359</v>
      </c>
      <c r="AC1559" s="259">
        <f>SUM(I1559:AA1559)</f>
        <v>100</v>
      </c>
      <c r="AD1559" s="15"/>
      <c r="AE1559" s="15"/>
      <c r="AF1559" s="15"/>
      <c r="AG1559" s="17"/>
      <c r="AH1559" s="18" t="s">
        <v>1402</v>
      </c>
      <c r="AI1559" s="18" t="s">
        <v>1403</v>
      </c>
      <c r="AJ1559" s="18" t="s">
        <v>1404</v>
      </c>
      <c r="AK1559" s="13" t="s">
        <v>1405</v>
      </c>
      <c r="AL1559" s="17">
        <f>(B1559-DATE(1970,1,1))*86400</f>
        <v>1546300800</v>
      </c>
      <c r="AM1559" s="17">
        <f>(C1559-DATE(1970,1,1))*86400</f>
        <v>1548547200</v>
      </c>
      <c r="AN1559" s="17">
        <f>AVERAGE(AL1559:AM1559)</f>
        <v>1547424000</v>
      </c>
    </row>
    <row r="1560" spans="1:40" ht="15.75" customHeight="1" x14ac:dyDescent="0.2">
      <c r="A1560" s="279" t="s">
        <v>123</v>
      </c>
      <c r="B1560" s="160">
        <v>43466</v>
      </c>
      <c r="C1560" s="160">
        <v>43492</v>
      </c>
      <c r="D1560" s="13" t="s">
        <v>124</v>
      </c>
      <c r="E1560" s="324" t="s">
        <v>125</v>
      </c>
      <c r="F1560" s="13"/>
      <c r="G1560" s="13" t="s">
        <v>149</v>
      </c>
      <c r="H1560" s="372">
        <v>5000</v>
      </c>
      <c r="I1560" s="161">
        <v>54</v>
      </c>
      <c r="J1560" s="161"/>
      <c r="K1560" s="161">
        <v>13</v>
      </c>
      <c r="L1560" s="161">
        <v>5</v>
      </c>
      <c r="M1560" s="161">
        <v>7</v>
      </c>
      <c r="N1560" s="161"/>
      <c r="O1560" s="161"/>
      <c r="P1560" s="161">
        <v>4</v>
      </c>
      <c r="Q1560" s="161"/>
      <c r="R1560" s="161">
        <v>10</v>
      </c>
      <c r="S1560" s="161"/>
      <c r="T1560" s="161"/>
      <c r="U1560" s="161"/>
      <c r="V1560" s="161">
        <v>3</v>
      </c>
      <c r="W1560" s="161"/>
      <c r="X1560" s="161">
        <v>3</v>
      </c>
      <c r="Y1560" s="161"/>
      <c r="Z1560" s="161">
        <v>1</v>
      </c>
      <c r="AA1560" s="15">
        <v>0</v>
      </c>
      <c r="AB1560" s="16">
        <f>100/(SUM(I1560:Z1560))</f>
        <v>1</v>
      </c>
      <c r="AC1560" s="259">
        <f>SUM(I1560:AA1560)</f>
        <v>100</v>
      </c>
      <c r="AD1560" s="15"/>
      <c r="AE1560" s="15"/>
      <c r="AF1560" s="15"/>
      <c r="AG1560" s="17"/>
      <c r="AH1560" s="18" t="s">
        <v>1402</v>
      </c>
      <c r="AI1560" s="13"/>
      <c r="AJ1560" s="13"/>
      <c r="AK1560" s="13"/>
      <c r="AL1560" s="17">
        <f>(B1560-DATE(1970,1,1))*86400</f>
        <v>1546300800</v>
      </c>
      <c r="AM1560" s="17">
        <f>(C1560-DATE(1970,1,1))*86400</f>
        <v>1548547200</v>
      </c>
      <c r="AN1560" s="17">
        <f>AVERAGE(AL1560:AM1560)</f>
        <v>1547424000</v>
      </c>
    </row>
    <row r="1561" spans="1:40" ht="15.75" customHeight="1" x14ac:dyDescent="0.2">
      <c r="A1561" s="281" t="s">
        <v>133</v>
      </c>
      <c r="B1561" s="54">
        <v>43474</v>
      </c>
      <c r="C1561" s="167">
        <v>43481</v>
      </c>
      <c r="D1561" s="53" t="s">
        <v>154</v>
      </c>
      <c r="E1561" s="323" t="s">
        <v>125</v>
      </c>
      <c r="F1561" s="53"/>
      <c r="G1561" s="53" t="s">
        <v>126</v>
      </c>
      <c r="H1561" s="378">
        <v>1009</v>
      </c>
      <c r="I1561" s="168">
        <v>23</v>
      </c>
      <c r="J1561" s="168"/>
      <c r="K1561" s="168">
        <v>10</v>
      </c>
      <c r="L1561" s="168">
        <v>2</v>
      </c>
      <c r="M1561" s="168">
        <v>3</v>
      </c>
      <c r="N1561" s="168"/>
      <c r="O1561" s="168"/>
      <c r="P1561" s="168">
        <v>2</v>
      </c>
      <c r="Q1561" s="168"/>
      <c r="R1561" s="168">
        <v>9</v>
      </c>
      <c r="S1561" s="168"/>
      <c r="T1561" s="168"/>
      <c r="U1561" s="168"/>
      <c r="V1561" s="168">
        <v>1</v>
      </c>
      <c r="W1561" s="168"/>
      <c r="X1561" s="168">
        <v>1</v>
      </c>
      <c r="Y1561" s="168"/>
      <c r="Z1561" s="168">
        <v>1</v>
      </c>
      <c r="AA1561" s="55">
        <v>48</v>
      </c>
      <c r="AB1561" s="57">
        <f>100/(SUM(I1561:Z1561))</f>
        <v>1.9230769230769231</v>
      </c>
      <c r="AC1561" s="259">
        <f>SUM(I1561:AA1561)</f>
        <v>100</v>
      </c>
      <c r="AD1561" s="55"/>
      <c r="AE1561" s="55"/>
      <c r="AF1561" s="55"/>
      <c r="AG1561" s="58"/>
      <c r="AH1561" s="59" t="s">
        <v>1406</v>
      </c>
      <c r="AI1561" s="59" t="s">
        <v>1407</v>
      </c>
      <c r="AJ1561" s="59" t="s">
        <v>1408</v>
      </c>
      <c r="AK1561" s="53" t="s">
        <v>1409</v>
      </c>
      <c r="AL1561" s="58">
        <f>(B1561-DATE(1970,1,1))*86400</f>
        <v>1546992000</v>
      </c>
      <c r="AM1561" s="58">
        <f>(C1561-DATE(1970,1,1))*86400</f>
        <v>1547596800</v>
      </c>
      <c r="AN1561" s="58">
        <f>AVERAGE(AL1561:AM1561)</f>
        <v>1547294400</v>
      </c>
    </row>
    <row r="1562" spans="1:40" ht="15.75" customHeight="1" x14ac:dyDescent="0.2">
      <c r="A1562" s="281" t="s">
        <v>123</v>
      </c>
      <c r="B1562" s="54">
        <v>43474</v>
      </c>
      <c r="C1562" s="167">
        <v>43481</v>
      </c>
      <c r="D1562" s="53" t="s">
        <v>154</v>
      </c>
      <c r="E1562" s="323" t="s">
        <v>125</v>
      </c>
      <c r="F1562" s="53"/>
      <c r="G1562" s="53" t="s">
        <v>126</v>
      </c>
      <c r="H1562" s="378">
        <v>1009</v>
      </c>
      <c r="I1562" s="168">
        <v>34</v>
      </c>
      <c r="J1562" s="168"/>
      <c r="K1562" s="168">
        <v>13</v>
      </c>
      <c r="L1562" s="168">
        <v>3</v>
      </c>
      <c r="M1562" s="168">
        <v>4</v>
      </c>
      <c r="N1562" s="168"/>
      <c r="O1562" s="168"/>
      <c r="P1562" s="168">
        <v>3</v>
      </c>
      <c r="Q1562" s="168"/>
      <c r="R1562" s="168">
        <v>12</v>
      </c>
      <c r="S1562" s="168"/>
      <c r="T1562" s="168"/>
      <c r="U1562" s="168"/>
      <c r="V1562" s="168">
        <v>2</v>
      </c>
      <c r="W1562" s="168"/>
      <c r="X1562" s="168">
        <v>1</v>
      </c>
      <c r="Y1562" s="168"/>
      <c r="Z1562" s="168">
        <v>2</v>
      </c>
      <c r="AA1562" s="55">
        <v>26</v>
      </c>
      <c r="AB1562" s="57">
        <f>100/(SUM(I1562:Z1562))</f>
        <v>1.3513513513513513</v>
      </c>
      <c r="AC1562" s="259">
        <f>SUM(I1562:AA1562)</f>
        <v>100</v>
      </c>
      <c r="AD1562" s="55"/>
      <c r="AE1562" s="55"/>
      <c r="AF1562" s="55"/>
      <c r="AG1562" s="58"/>
      <c r="AH1562" s="59" t="s">
        <v>1406</v>
      </c>
      <c r="AI1562" s="59" t="s">
        <v>1407</v>
      </c>
      <c r="AJ1562" s="59" t="s">
        <v>1408</v>
      </c>
      <c r="AK1562" s="53" t="s">
        <v>1409</v>
      </c>
      <c r="AL1562" s="58">
        <f>(B1562-DATE(1970,1,1))*86400</f>
        <v>1546992000</v>
      </c>
      <c r="AM1562" s="58">
        <f>(C1562-DATE(1970,1,1))*86400</f>
        <v>1547596800</v>
      </c>
      <c r="AN1562" s="58">
        <f>AVERAGE(AL1562:AM1562)</f>
        <v>1547294400</v>
      </c>
    </row>
    <row r="1563" spans="1:40" ht="15.75" customHeight="1" x14ac:dyDescent="0.2">
      <c r="A1563" s="281" t="s">
        <v>123</v>
      </c>
      <c r="B1563" s="54">
        <v>43474</v>
      </c>
      <c r="C1563" s="167">
        <v>43481</v>
      </c>
      <c r="D1563" s="53" t="s">
        <v>154</v>
      </c>
      <c r="E1563" s="323" t="s">
        <v>125</v>
      </c>
      <c r="F1563" s="53"/>
      <c r="G1563" s="53" t="s">
        <v>126</v>
      </c>
      <c r="H1563" s="378">
        <v>1009</v>
      </c>
      <c r="I1563" s="168">
        <v>47</v>
      </c>
      <c r="J1563" s="168"/>
      <c r="K1563" s="168">
        <v>17</v>
      </c>
      <c r="L1563" s="168">
        <v>4</v>
      </c>
      <c r="M1563" s="168">
        <v>6</v>
      </c>
      <c r="N1563" s="168"/>
      <c r="O1563" s="168"/>
      <c r="P1563" s="168">
        <v>4</v>
      </c>
      <c r="Q1563" s="168"/>
      <c r="R1563" s="168">
        <v>16</v>
      </c>
      <c r="S1563" s="168"/>
      <c r="T1563" s="168"/>
      <c r="U1563" s="168"/>
      <c r="V1563" s="168">
        <v>3</v>
      </c>
      <c r="W1563" s="168"/>
      <c r="X1563" s="168">
        <v>1</v>
      </c>
      <c r="Y1563" s="168"/>
      <c r="Z1563" s="168">
        <v>2</v>
      </c>
      <c r="AA1563" s="55">
        <v>0</v>
      </c>
      <c r="AB1563" s="57">
        <f>100/(SUM(I1563:Z1563))</f>
        <v>1</v>
      </c>
      <c r="AC1563" s="259">
        <f>SUM(I1563:AA1563)</f>
        <v>100</v>
      </c>
      <c r="AD1563" s="55"/>
      <c r="AE1563" s="55"/>
      <c r="AF1563" s="55"/>
      <c r="AG1563" s="58"/>
      <c r="AH1563" s="59" t="s">
        <v>1406</v>
      </c>
      <c r="AI1563" s="59" t="s">
        <v>1407</v>
      </c>
      <c r="AJ1563" s="59" t="s">
        <v>1408</v>
      </c>
      <c r="AK1563" s="53" t="s">
        <v>1409</v>
      </c>
      <c r="AL1563" s="58">
        <f>(B1563-DATE(1970,1,1))*86400</f>
        <v>1546992000</v>
      </c>
      <c r="AM1563" s="58">
        <f>(C1563-DATE(1970,1,1))*86400</f>
        <v>1547596800</v>
      </c>
      <c r="AN1563" s="58">
        <f>AVERAGE(AL1563:AM1563)</f>
        <v>1547294400</v>
      </c>
    </row>
    <row r="1564" spans="1:40" ht="15.75" customHeight="1" x14ac:dyDescent="0.2">
      <c r="A1564" s="280" t="s">
        <v>133</v>
      </c>
      <c r="B1564" s="169">
        <v>43472</v>
      </c>
      <c r="C1564" s="169">
        <v>43478</v>
      </c>
      <c r="D1564" s="76" t="s">
        <v>200</v>
      </c>
      <c r="E1564" s="320" t="s">
        <v>125</v>
      </c>
      <c r="F1564" s="76"/>
      <c r="G1564" s="76" t="s">
        <v>126</v>
      </c>
      <c r="H1564" s="383">
        <v>1000</v>
      </c>
      <c r="I1564" s="170">
        <v>35</v>
      </c>
      <c r="J1564" s="170"/>
      <c r="K1564" s="170">
        <v>8</v>
      </c>
      <c r="L1564" s="170">
        <v>3</v>
      </c>
      <c r="M1564" s="170">
        <v>4</v>
      </c>
      <c r="N1564" s="170"/>
      <c r="O1564" s="170"/>
      <c r="P1564" s="170"/>
      <c r="Q1564" s="170"/>
      <c r="R1564" s="170">
        <v>6</v>
      </c>
      <c r="S1564" s="170"/>
      <c r="T1564" s="170"/>
      <c r="U1564" s="170"/>
      <c r="V1564" s="170"/>
      <c r="W1564" s="170"/>
      <c r="X1564" s="170"/>
      <c r="Y1564" s="170"/>
      <c r="Z1564" s="170">
        <v>7</v>
      </c>
      <c r="AA1564" s="78">
        <v>37</v>
      </c>
      <c r="AB1564" s="79">
        <f>100/(SUM(I1564:Z1564))</f>
        <v>1.5873015873015872</v>
      </c>
      <c r="AC1564" s="259">
        <f>SUM(I1564:AA1564)</f>
        <v>100</v>
      </c>
      <c r="AD1564" s="78"/>
      <c r="AE1564" s="78"/>
      <c r="AF1564" s="78"/>
      <c r="AG1564" s="80"/>
      <c r="AH1564" s="81" t="s">
        <v>1410</v>
      </c>
      <c r="AI1564" s="76" t="s">
        <v>1411</v>
      </c>
      <c r="AJ1564" s="76"/>
      <c r="AK1564" s="76" t="s">
        <v>1412</v>
      </c>
      <c r="AL1564" s="80">
        <f>(B1564-DATE(1970,1,1))*86400</f>
        <v>1546819200</v>
      </c>
      <c r="AM1564" s="80">
        <f>(C1564-DATE(1970,1,1))*86400</f>
        <v>1547337600</v>
      </c>
      <c r="AN1564" s="80">
        <f>AVERAGE(AL1564:AM1564)</f>
        <v>1547078400</v>
      </c>
    </row>
    <row r="1565" spans="1:40" ht="15.75" customHeight="1" x14ac:dyDescent="0.2">
      <c r="A1565" s="280" t="s">
        <v>123</v>
      </c>
      <c r="B1565" s="169">
        <v>43472</v>
      </c>
      <c r="C1565" s="169">
        <v>43478</v>
      </c>
      <c r="D1565" s="76" t="s">
        <v>200</v>
      </c>
      <c r="E1565" s="320" t="s">
        <v>125</v>
      </c>
      <c r="F1565" s="76"/>
      <c r="G1565" s="76" t="s">
        <v>126</v>
      </c>
      <c r="H1565" s="383">
        <v>1000</v>
      </c>
      <c r="I1565" s="170">
        <v>53</v>
      </c>
      <c r="J1565" s="170"/>
      <c r="K1565" s="170">
        <v>13</v>
      </c>
      <c r="L1565" s="170">
        <v>5</v>
      </c>
      <c r="M1565" s="170">
        <v>8</v>
      </c>
      <c r="N1565" s="170"/>
      <c r="O1565" s="170"/>
      <c r="P1565" s="170"/>
      <c r="Q1565" s="170"/>
      <c r="R1565" s="170">
        <v>12</v>
      </c>
      <c r="S1565" s="170"/>
      <c r="T1565" s="170"/>
      <c r="U1565" s="170"/>
      <c r="V1565" s="170"/>
      <c r="W1565" s="170"/>
      <c r="X1565" s="170"/>
      <c r="Y1565" s="170"/>
      <c r="Z1565" s="170">
        <v>9</v>
      </c>
      <c r="AA1565" s="78">
        <v>0</v>
      </c>
      <c r="AB1565" s="79">
        <f>100/(SUM(I1565:Z1565))</f>
        <v>1</v>
      </c>
      <c r="AC1565" s="259">
        <f>SUM(I1565:AA1565)</f>
        <v>100</v>
      </c>
      <c r="AD1565" s="78"/>
      <c r="AE1565" s="78"/>
      <c r="AF1565" s="78"/>
      <c r="AG1565" s="80"/>
      <c r="AH1565" s="81" t="s">
        <v>1410</v>
      </c>
      <c r="AI1565" s="76" t="s">
        <v>1411</v>
      </c>
      <c r="AJ1565" s="76"/>
      <c r="AK1565" s="76" t="s">
        <v>1412</v>
      </c>
      <c r="AL1565" s="80">
        <f>(B1565-DATE(1970,1,1))*86400</f>
        <v>1546819200</v>
      </c>
      <c r="AM1565" s="80">
        <f>(C1565-DATE(1970,1,1))*86400</f>
        <v>1547337600</v>
      </c>
      <c r="AN1565" s="80">
        <f>AVERAGE(AL1565:AM1565)</f>
        <v>1547078400</v>
      </c>
    </row>
    <row r="1566" spans="1:40" ht="15.75" customHeight="1" x14ac:dyDescent="0.2">
      <c r="A1566" s="302" t="s">
        <v>123</v>
      </c>
      <c r="B1566" s="254">
        <v>43474</v>
      </c>
      <c r="C1566" s="254">
        <v>43474</v>
      </c>
      <c r="D1566" s="262" t="s">
        <v>2445</v>
      </c>
      <c r="E1566" s="322" t="s">
        <v>184</v>
      </c>
      <c r="F1566" s="121" t="s">
        <v>2007</v>
      </c>
      <c r="G1566" s="262" t="s">
        <v>244</v>
      </c>
      <c r="H1566" s="379">
        <v>500</v>
      </c>
      <c r="I1566" s="123">
        <v>52</v>
      </c>
      <c r="J1566" s="123">
        <v>16</v>
      </c>
      <c r="K1566" s="123">
        <v>15</v>
      </c>
      <c r="L1566" s="124">
        <v>4</v>
      </c>
      <c r="M1566" s="123">
        <v>4</v>
      </c>
      <c r="N1566" s="123"/>
      <c r="O1566" s="123"/>
      <c r="P1566" s="123">
        <v>2</v>
      </c>
      <c r="Q1566" s="123"/>
      <c r="R1566" s="124"/>
      <c r="S1566" s="123"/>
      <c r="T1566" s="123"/>
      <c r="U1566" s="123"/>
      <c r="V1566" s="123"/>
      <c r="W1566" s="123"/>
      <c r="X1566" s="123">
        <v>2</v>
      </c>
      <c r="Y1566" s="123"/>
      <c r="Z1566" s="124">
        <v>5</v>
      </c>
      <c r="AA1566" s="123">
        <v>0</v>
      </c>
      <c r="AB1566" s="125">
        <f>100/(SUM(I1566:Z1566))</f>
        <v>1</v>
      </c>
      <c r="AC1566" s="259">
        <f>SUM(I1566:AA1566)</f>
        <v>100</v>
      </c>
      <c r="AD1566" s="123"/>
      <c r="AE1566" s="123"/>
      <c r="AF1566" s="123"/>
      <c r="AG1566" s="263" t="s">
        <v>719</v>
      </c>
      <c r="AH1566" s="253"/>
      <c r="AI1566" s="253" t="s">
        <v>2001</v>
      </c>
      <c r="AJ1566" s="127"/>
      <c r="AK1566" s="121" t="s">
        <v>2002</v>
      </c>
      <c r="AL1566" s="126">
        <f>(B1566-DATE(1970,1,1))*86400</f>
        <v>1546992000</v>
      </c>
      <c r="AM1566" s="126">
        <f>(C1566-DATE(1970,1,1))*86400</f>
        <v>1546992000</v>
      </c>
      <c r="AN1566" s="126">
        <f>AVERAGE(AL1566:AM1566)</f>
        <v>1546992000</v>
      </c>
    </row>
    <row r="1567" spans="1:40" ht="15.75" customHeight="1" x14ac:dyDescent="0.2">
      <c r="A1567" s="286" t="s">
        <v>133</v>
      </c>
      <c r="B1567" s="162">
        <v>43469</v>
      </c>
      <c r="C1567" s="162">
        <v>43476</v>
      </c>
      <c r="D1567" s="40" t="s">
        <v>148</v>
      </c>
      <c r="E1567" s="325" t="s">
        <v>125</v>
      </c>
      <c r="F1567" s="40"/>
      <c r="G1567" s="40" t="s">
        <v>149</v>
      </c>
      <c r="H1567" s="381">
        <v>1000</v>
      </c>
      <c r="I1567" s="42">
        <v>31.6</v>
      </c>
      <c r="J1567" s="42"/>
      <c r="K1567" s="42">
        <v>11.2</v>
      </c>
      <c r="L1567" s="42">
        <v>2.5</v>
      </c>
      <c r="M1567" s="42">
        <v>5.0999999999999996</v>
      </c>
      <c r="N1567" s="42"/>
      <c r="O1567" s="42"/>
      <c r="P1567" s="42">
        <v>3.5</v>
      </c>
      <c r="Q1567" s="42"/>
      <c r="R1567" s="43">
        <v>8.3000000000000007</v>
      </c>
      <c r="S1567" s="42"/>
      <c r="T1567" s="42"/>
      <c r="U1567" s="42"/>
      <c r="V1567" s="42">
        <v>2.9</v>
      </c>
      <c r="W1567" s="42"/>
      <c r="X1567" s="42">
        <v>0.6</v>
      </c>
      <c r="Y1567" s="42"/>
      <c r="Z1567" s="42">
        <v>1.5</v>
      </c>
      <c r="AA1567" s="42">
        <v>32.799999999999997</v>
      </c>
      <c r="AB1567" s="44">
        <f>100/(SUM(I1567:Z1567))</f>
        <v>1.4880952380952381</v>
      </c>
      <c r="AC1567" s="259">
        <f>SUM(I1567:AA1567)</f>
        <v>100</v>
      </c>
      <c r="AD1567" s="42"/>
      <c r="AE1567" s="42"/>
      <c r="AF1567" s="42"/>
      <c r="AG1567" s="45"/>
      <c r="AH1567" s="40" t="s">
        <v>1383</v>
      </c>
      <c r="AI1567" s="132" t="s">
        <v>1413</v>
      </c>
      <c r="AJ1567" s="132" t="s">
        <v>1414</v>
      </c>
      <c r="AK1567" s="40"/>
      <c r="AL1567" s="45">
        <f>(B1567-DATE(1970,1,1))*86400</f>
        <v>1546560000</v>
      </c>
      <c r="AM1567" s="45">
        <f>(C1567-DATE(1970,1,1))*86400</f>
        <v>1547164800</v>
      </c>
      <c r="AN1567" s="45">
        <f>AVERAGE(AL1567:AM1567)</f>
        <v>1546862400</v>
      </c>
    </row>
    <row r="1568" spans="1:40" ht="15.75" customHeight="1" x14ac:dyDescent="0.2">
      <c r="A1568" s="286" t="s">
        <v>123</v>
      </c>
      <c r="B1568" s="162">
        <v>43469</v>
      </c>
      <c r="C1568" s="162">
        <v>43476</v>
      </c>
      <c r="D1568" s="40" t="s">
        <v>148</v>
      </c>
      <c r="E1568" s="325" t="s">
        <v>125</v>
      </c>
      <c r="F1568" s="40"/>
      <c r="G1568" s="40" t="s">
        <v>149</v>
      </c>
      <c r="H1568" s="381">
        <v>1000</v>
      </c>
      <c r="I1568" s="163">
        <v>48.2</v>
      </c>
      <c r="J1568" s="163"/>
      <c r="K1568" s="164">
        <v>16.600000000000001</v>
      </c>
      <c r="L1568" s="164">
        <v>3.9</v>
      </c>
      <c r="M1568" s="164">
        <v>7.6</v>
      </c>
      <c r="N1568" s="164"/>
      <c r="O1568" s="164"/>
      <c r="P1568" s="164">
        <v>4.7</v>
      </c>
      <c r="Q1568" s="164"/>
      <c r="R1568" s="43">
        <v>13.3</v>
      </c>
      <c r="S1568" s="164"/>
      <c r="T1568" s="164"/>
      <c r="U1568" s="164"/>
      <c r="V1568" s="164">
        <v>2.6</v>
      </c>
      <c r="W1568" s="164"/>
      <c r="X1568" s="164">
        <v>1.1000000000000001</v>
      </c>
      <c r="Y1568" s="164"/>
      <c r="Z1568" s="164">
        <v>2</v>
      </c>
      <c r="AA1568" s="42">
        <v>0</v>
      </c>
      <c r="AB1568" s="44">
        <f>100/(SUM(I1568:Z1568))</f>
        <v>1</v>
      </c>
      <c r="AC1568" s="259">
        <f>SUM(I1568:AA1568)</f>
        <v>100</v>
      </c>
      <c r="AD1568" s="42"/>
      <c r="AE1568" s="42"/>
      <c r="AF1568" s="42"/>
      <c r="AG1568" s="45"/>
      <c r="AH1568" s="40" t="s">
        <v>1383</v>
      </c>
      <c r="AI1568" s="132" t="s">
        <v>1413</v>
      </c>
      <c r="AJ1568" s="132" t="s">
        <v>1414</v>
      </c>
      <c r="AK1568" s="40"/>
      <c r="AL1568" s="45">
        <f>(B1568-DATE(1970,1,1))*86400</f>
        <v>1546560000</v>
      </c>
      <c r="AM1568" s="45">
        <f>(C1568-DATE(1970,1,1))*86400</f>
        <v>1547164800</v>
      </c>
      <c r="AN1568" s="45">
        <f>AVERAGE(AL1568:AM1568)</f>
        <v>1546862400</v>
      </c>
    </row>
    <row r="1569" spans="1:40" ht="15.75" customHeight="1" x14ac:dyDescent="0.2">
      <c r="A1569" s="284" t="s">
        <v>133</v>
      </c>
      <c r="B1569" s="20">
        <v>43451</v>
      </c>
      <c r="C1569" s="20">
        <v>43454</v>
      </c>
      <c r="D1569" s="19" t="s">
        <v>134</v>
      </c>
      <c r="E1569" s="332" t="s">
        <v>125</v>
      </c>
      <c r="F1569" s="19"/>
      <c r="G1569" s="19" t="s">
        <v>135</v>
      </c>
      <c r="H1569" s="382">
        <v>2000</v>
      </c>
      <c r="I1569" s="165">
        <v>35</v>
      </c>
      <c r="J1569" s="165">
        <v>7</v>
      </c>
      <c r="K1569" s="165">
        <v>7</v>
      </c>
      <c r="L1569" s="165">
        <v>3</v>
      </c>
      <c r="M1569" s="165">
        <v>6</v>
      </c>
      <c r="N1569" s="165"/>
      <c r="O1569" s="165">
        <v>2</v>
      </c>
      <c r="P1569" s="165">
        <v>3</v>
      </c>
      <c r="Q1569" s="165"/>
      <c r="R1569" s="22"/>
      <c r="S1569" s="165"/>
      <c r="T1569" s="165"/>
      <c r="U1569" s="165"/>
      <c r="V1569" s="165">
        <v>3</v>
      </c>
      <c r="W1569" s="165"/>
      <c r="X1569" s="165">
        <v>1</v>
      </c>
      <c r="Y1569" s="165"/>
      <c r="Z1569" s="165">
        <v>1</v>
      </c>
      <c r="AA1569" s="21">
        <v>32</v>
      </c>
      <c r="AB1569" s="23">
        <f>100/(SUM(I1569:Z1569))</f>
        <v>1.4705882352941178</v>
      </c>
      <c r="AC1569" s="259">
        <f>SUM(I1569:AA1569)</f>
        <v>100</v>
      </c>
      <c r="AD1569" s="21"/>
      <c r="AE1569" s="21"/>
      <c r="AF1569" s="21"/>
      <c r="AG1569" s="25"/>
      <c r="AH1569" s="83" t="s">
        <v>1415</v>
      </c>
      <c r="AI1569" s="83" t="s">
        <v>1416</v>
      </c>
      <c r="AJ1569" s="83"/>
      <c r="AK1569" s="19"/>
      <c r="AL1569" s="25">
        <f>(B1569-DATE(1970,1,1))*86400</f>
        <v>1545004800</v>
      </c>
      <c r="AM1569" s="25">
        <f>(C1569-DATE(1970,1,1))*86400</f>
        <v>1545264000</v>
      </c>
      <c r="AN1569" s="25">
        <f>AVERAGE(AL1569:AM1569)</f>
        <v>1545134400</v>
      </c>
    </row>
    <row r="1570" spans="1:40" ht="15.75" customHeight="1" x14ac:dyDescent="0.2">
      <c r="A1570" s="284" t="s">
        <v>123</v>
      </c>
      <c r="B1570" s="20">
        <v>43451</v>
      </c>
      <c r="C1570" s="20">
        <v>43454</v>
      </c>
      <c r="D1570" s="19" t="s">
        <v>134</v>
      </c>
      <c r="E1570" s="332" t="s">
        <v>125</v>
      </c>
      <c r="F1570" s="19"/>
      <c r="G1570" s="19" t="s">
        <v>135</v>
      </c>
      <c r="H1570" s="382">
        <v>2000</v>
      </c>
      <c r="I1570" s="165">
        <v>50</v>
      </c>
      <c r="J1570" s="165">
        <v>10</v>
      </c>
      <c r="K1570" s="165">
        <v>11</v>
      </c>
      <c r="L1570" s="165">
        <v>4</v>
      </c>
      <c r="M1570" s="165">
        <v>9</v>
      </c>
      <c r="N1570" s="165"/>
      <c r="O1570" s="165">
        <v>3</v>
      </c>
      <c r="P1570" s="165">
        <v>5</v>
      </c>
      <c r="Q1570" s="165"/>
      <c r="R1570" s="22"/>
      <c r="S1570" s="165"/>
      <c r="T1570" s="165"/>
      <c r="U1570" s="165"/>
      <c r="V1570" s="165">
        <v>4</v>
      </c>
      <c r="W1570" s="165"/>
      <c r="X1570" s="165">
        <v>1</v>
      </c>
      <c r="Y1570" s="165"/>
      <c r="Z1570" s="165">
        <v>2</v>
      </c>
      <c r="AA1570" s="21">
        <v>0</v>
      </c>
      <c r="AB1570" s="23">
        <f>100/(SUM(I1570:Z1570))</f>
        <v>1.0101010101010102</v>
      </c>
      <c r="AC1570" s="259">
        <f>SUM(I1570:AA1570)</f>
        <v>99</v>
      </c>
      <c r="AD1570" s="21"/>
      <c r="AE1570" s="21"/>
      <c r="AF1570" s="21"/>
      <c r="AG1570" s="25"/>
      <c r="AH1570" s="83" t="s">
        <v>1415</v>
      </c>
      <c r="AI1570" s="83" t="s">
        <v>1416</v>
      </c>
      <c r="AJ1570" s="83" t="s">
        <v>1919</v>
      </c>
      <c r="AK1570" s="19"/>
      <c r="AL1570" s="25">
        <f>(B1570-DATE(1970,1,1))*86400</f>
        <v>1545004800</v>
      </c>
      <c r="AM1570" s="25">
        <f>(C1570-DATE(1970,1,1))*86400</f>
        <v>1545264000</v>
      </c>
      <c r="AN1570" s="25">
        <f>AVERAGE(AL1570:AM1570)</f>
        <v>1545134400</v>
      </c>
    </row>
    <row r="1571" spans="1:40" ht="15.75" customHeight="1" x14ac:dyDescent="0.2">
      <c r="A1571" s="281" t="s">
        <v>133</v>
      </c>
      <c r="B1571" s="54">
        <v>43447</v>
      </c>
      <c r="C1571" s="54">
        <v>43453</v>
      </c>
      <c r="D1571" s="53" t="s">
        <v>154</v>
      </c>
      <c r="E1571" s="323" t="s">
        <v>125</v>
      </c>
      <c r="F1571" s="53"/>
      <c r="G1571" s="53" t="s">
        <v>126</v>
      </c>
      <c r="H1571" s="323">
        <v>1000</v>
      </c>
      <c r="I1571" s="55">
        <v>23</v>
      </c>
      <c r="J1571" s="55"/>
      <c r="K1571" s="55">
        <v>9</v>
      </c>
      <c r="L1571" s="55">
        <v>2</v>
      </c>
      <c r="M1571" s="55">
        <v>3</v>
      </c>
      <c r="N1571" s="55"/>
      <c r="O1571" s="55"/>
      <c r="P1571" s="55">
        <v>2</v>
      </c>
      <c r="Q1571" s="55"/>
      <c r="R1571" s="55">
        <v>9</v>
      </c>
      <c r="S1571" s="55"/>
      <c r="T1571" s="55"/>
      <c r="U1571" s="55"/>
      <c r="V1571" s="55">
        <v>1</v>
      </c>
      <c r="W1571" s="55"/>
      <c r="X1571" s="55">
        <v>0</v>
      </c>
      <c r="Y1571" s="55"/>
      <c r="Z1571" s="55">
        <v>1</v>
      </c>
      <c r="AA1571" s="55">
        <v>50</v>
      </c>
      <c r="AB1571" s="57">
        <f>100/(SUM(I1571:Z1571))</f>
        <v>2</v>
      </c>
      <c r="AC1571" s="259">
        <f>SUM(I1571:AA1571)</f>
        <v>100</v>
      </c>
      <c r="AD1571" s="55"/>
      <c r="AE1571" s="55"/>
      <c r="AF1571" s="55"/>
      <c r="AG1571" s="58"/>
      <c r="AH1571" s="59" t="s">
        <v>1417</v>
      </c>
      <c r="AI1571" s="59" t="s">
        <v>1418</v>
      </c>
      <c r="AJ1571" s="53"/>
      <c r="AK1571" s="53" t="s">
        <v>1419</v>
      </c>
      <c r="AL1571" s="58">
        <f>(B1571-DATE(1970,1,1))*86400</f>
        <v>1544659200</v>
      </c>
      <c r="AM1571" s="58">
        <f>(C1571-DATE(1970,1,1))*86400</f>
        <v>1545177600</v>
      </c>
      <c r="AN1571" s="58">
        <f>AVERAGE(AL1571:AM1571)</f>
        <v>1544918400</v>
      </c>
    </row>
    <row r="1572" spans="1:40" ht="15.75" customHeight="1" x14ac:dyDescent="0.2">
      <c r="A1572" s="281" t="s">
        <v>123</v>
      </c>
      <c r="B1572" s="54">
        <v>43447</v>
      </c>
      <c r="C1572" s="54">
        <v>43453</v>
      </c>
      <c r="D1572" s="53" t="s">
        <v>154</v>
      </c>
      <c r="E1572" s="323" t="s">
        <v>125</v>
      </c>
      <c r="F1572" s="53"/>
      <c r="G1572" s="53" t="s">
        <v>126</v>
      </c>
      <c r="H1572" s="323">
        <v>1000</v>
      </c>
      <c r="I1572" s="55">
        <v>33</v>
      </c>
      <c r="J1572" s="55"/>
      <c r="K1572" s="55">
        <v>12</v>
      </c>
      <c r="L1572" s="55">
        <v>3</v>
      </c>
      <c r="M1572" s="55">
        <v>4</v>
      </c>
      <c r="N1572" s="55"/>
      <c r="O1572" s="55"/>
      <c r="P1572" s="55">
        <v>3</v>
      </c>
      <c r="Q1572" s="55"/>
      <c r="R1572" s="55">
        <v>12</v>
      </c>
      <c r="S1572" s="55"/>
      <c r="T1572" s="55"/>
      <c r="U1572" s="55"/>
      <c r="V1572" s="55">
        <v>2</v>
      </c>
      <c r="W1572" s="55"/>
      <c r="X1572" s="55">
        <v>0</v>
      </c>
      <c r="Y1572" s="55"/>
      <c r="Z1572" s="55">
        <v>2</v>
      </c>
      <c r="AA1572" s="55">
        <v>29</v>
      </c>
      <c r="AB1572" s="57">
        <f>100/(SUM(I1572:Z1572))</f>
        <v>1.408450704225352</v>
      </c>
      <c r="AC1572" s="259">
        <f>SUM(I1572:AA1572)</f>
        <v>100</v>
      </c>
      <c r="AD1572" s="55"/>
      <c r="AE1572" s="55"/>
      <c r="AF1572" s="55"/>
      <c r="AG1572" s="58"/>
      <c r="AH1572" s="59" t="s">
        <v>1417</v>
      </c>
      <c r="AI1572" s="59" t="s">
        <v>1418</v>
      </c>
      <c r="AJ1572" s="53"/>
      <c r="AK1572" s="53" t="s">
        <v>1419</v>
      </c>
      <c r="AL1572" s="58">
        <f>(B1572-DATE(1970,1,1))*86400</f>
        <v>1544659200</v>
      </c>
      <c r="AM1572" s="58">
        <f>(C1572-DATE(1970,1,1))*86400</f>
        <v>1545177600</v>
      </c>
      <c r="AN1572" s="58">
        <f>AVERAGE(AL1572:AM1572)</f>
        <v>1544918400</v>
      </c>
    </row>
    <row r="1573" spans="1:40" ht="15.75" customHeight="1" x14ac:dyDescent="0.2">
      <c r="A1573" s="281" t="s">
        <v>123</v>
      </c>
      <c r="B1573" s="54">
        <v>43447</v>
      </c>
      <c r="C1573" s="54">
        <v>43453</v>
      </c>
      <c r="D1573" s="53" t="s">
        <v>154</v>
      </c>
      <c r="E1573" s="323" t="s">
        <v>125</v>
      </c>
      <c r="F1573" s="53"/>
      <c r="G1573" s="53" t="s">
        <v>126</v>
      </c>
      <c r="H1573" s="323">
        <v>1000</v>
      </c>
      <c r="I1573" s="55">
        <v>48</v>
      </c>
      <c r="J1573" s="55"/>
      <c r="K1573" s="55">
        <v>15</v>
      </c>
      <c r="L1573" s="55">
        <v>4</v>
      </c>
      <c r="M1573" s="55">
        <v>6</v>
      </c>
      <c r="N1573" s="55"/>
      <c r="O1573" s="55"/>
      <c r="P1573" s="55">
        <v>4</v>
      </c>
      <c r="Q1573" s="55"/>
      <c r="R1573" s="55">
        <v>16</v>
      </c>
      <c r="S1573" s="55"/>
      <c r="T1573" s="55"/>
      <c r="U1573" s="55"/>
      <c r="V1573" s="55">
        <v>3</v>
      </c>
      <c r="W1573" s="55"/>
      <c r="X1573" s="55">
        <v>1</v>
      </c>
      <c r="Y1573" s="55"/>
      <c r="Z1573" s="55">
        <v>3</v>
      </c>
      <c r="AA1573" s="55">
        <v>0</v>
      </c>
      <c r="AB1573" s="57">
        <f>100/(SUM(I1573:Z1573))</f>
        <v>1</v>
      </c>
      <c r="AC1573" s="259">
        <f>SUM(I1573:AA1573)</f>
        <v>100</v>
      </c>
      <c r="AD1573" s="55"/>
      <c r="AE1573" s="55"/>
      <c r="AF1573" s="55"/>
      <c r="AG1573" s="58"/>
      <c r="AH1573" s="59" t="s">
        <v>1417</v>
      </c>
      <c r="AI1573" s="59" t="s">
        <v>1418</v>
      </c>
      <c r="AJ1573" s="53"/>
      <c r="AK1573" s="53" t="s">
        <v>1419</v>
      </c>
      <c r="AL1573" s="58">
        <f>(B1573-DATE(1970,1,1))*86400</f>
        <v>1544659200</v>
      </c>
      <c r="AM1573" s="58">
        <f>(C1573-DATE(1970,1,1))*86400</f>
        <v>1545177600</v>
      </c>
      <c r="AN1573" s="58">
        <f>AVERAGE(AL1573:AM1573)</f>
        <v>1544918400</v>
      </c>
    </row>
    <row r="1574" spans="1:40" ht="15.75" customHeight="1" x14ac:dyDescent="0.2">
      <c r="A1574" s="286" t="s">
        <v>133</v>
      </c>
      <c r="B1574" s="41">
        <v>43438</v>
      </c>
      <c r="C1574" s="41">
        <v>43448</v>
      </c>
      <c r="D1574" s="40" t="s">
        <v>148</v>
      </c>
      <c r="E1574" s="325" t="s">
        <v>125</v>
      </c>
      <c r="F1574" s="40"/>
      <c r="G1574" s="40" t="s">
        <v>149</v>
      </c>
      <c r="H1574" s="381">
        <v>1000</v>
      </c>
      <c r="I1574" s="42">
        <v>34.9</v>
      </c>
      <c r="J1574" s="42"/>
      <c r="K1574" s="42">
        <v>9.4</v>
      </c>
      <c r="L1574" s="42">
        <v>2.8</v>
      </c>
      <c r="M1574" s="42">
        <v>5.3</v>
      </c>
      <c r="N1574" s="42"/>
      <c r="O1574" s="42"/>
      <c r="P1574" s="42">
        <v>3</v>
      </c>
      <c r="Q1574" s="42"/>
      <c r="R1574" s="43">
        <v>7.7</v>
      </c>
      <c r="S1574" s="42"/>
      <c r="T1574" s="42"/>
      <c r="U1574" s="42"/>
      <c r="V1574" s="42">
        <v>2.4</v>
      </c>
      <c r="W1574" s="42"/>
      <c r="X1574" s="42">
        <v>0.9</v>
      </c>
      <c r="Y1574" s="42"/>
      <c r="Z1574" s="42">
        <v>1.9</v>
      </c>
      <c r="AA1574" s="42">
        <v>31.7</v>
      </c>
      <c r="AB1574" s="44">
        <f>100/(SUM(I1574:Z1574))</f>
        <v>1.4641288433382136</v>
      </c>
      <c r="AC1574" s="259">
        <f>SUM(I1574:AA1574)</f>
        <v>100.00000000000001</v>
      </c>
      <c r="AD1574" s="42"/>
      <c r="AE1574" s="42"/>
      <c r="AF1574" s="42"/>
      <c r="AG1574" s="45"/>
      <c r="AH1574" s="40" t="s">
        <v>1383</v>
      </c>
      <c r="AI1574" s="132" t="s">
        <v>1420</v>
      </c>
      <c r="AJ1574" s="132" t="s">
        <v>1421</v>
      </c>
      <c r="AK1574" s="40"/>
      <c r="AL1574" s="45">
        <f>(B1574-DATE(1970,1,1))*86400</f>
        <v>1543881600</v>
      </c>
      <c r="AM1574" s="45">
        <f>(C1574-DATE(1970,1,1))*86400</f>
        <v>1544745600</v>
      </c>
      <c r="AN1574" s="45">
        <f>AVERAGE(AL1574:AM1574)</f>
        <v>1544313600</v>
      </c>
    </row>
    <row r="1575" spans="1:40" ht="15.75" customHeight="1" x14ac:dyDescent="0.2">
      <c r="A1575" s="286" t="s">
        <v>123</v>
      </c>
      <c r="B1575" s="41">
        <v>43438</v>
      </c>
      <c r="C1575" s="41">
        <v>43448</v>
      </c>
      <c r="D1575" s="40" t="s">
        <v>148</v>
      </c>
      <c r="E1575" s="325" t="s">
        <v>125</v>
      </c>
      <c r="F1575" s="40"/>
      <c r="G1575" s="40" t="s">
        <v>149</v>
      </c>
      <c r="H1575" s="381">
        <v>1000</v>
      </c>
      <c r="I1575" s="43">
        <v>50.7</v>
      </c>
      <c r="J1575" s="43"/>
      <c r="K1575" s="42">
        <v>14.9</v>
      </c>
      <c r="L1575" s="42">
        <v>3.2</v>
      </c>
      <c r="M1575" s="42">
        <v>8</v>
      </c>
      <c r="N1575" s="42"/>
      <c r="O1575" s="42"/>
      <c r="P1575" s="42">
        <v>4.3</v>
      </c>
      <c r="Q1575" s="42"/>
      <c r="R1575" s="43">
        <v>12.4</v>
      </c>
      <c r="S1575" s="42"/>
      <c r="T1575" s="42"/>
      <c r="U1575" s="42"/>
      <c r="V1575" s="42">
        <v>2.9</v>
      </c>
      <c r="W1575" s="42"/>
      <c r="X1575" s="42">
        <v>1.7</v>
      </c>
      <c r="Y1575" s="42"/>
      <c r="Z1575" s="42">
        <v>1.9</v>
      </c>
      <c r="AA1575" s="42">
        <v>0</v>
      </c>
      <c r="AB1575" s="44">
        <f>100/(SUM(I1575:Z1575))</f>
        <v>0.99999999999999967</v>
      </c>
      <c r="AC1575" s="259">
        <f>SUM(I1575:AA1575)</f>
        <v>100.00000000000003</v>
      </c>
      <c r="AD1575" s="42"/>
      <c r="AE1575" s="42"/>
      <c r="AF1575" s="42"/>
      <c r="AG1575" s="45"/>
      <c r="AH1575" s="40" t="s">
        <v>1383</v>
      </c>
      <c r="AI1575" s="132" t="s">
        <v>1420</v>
      </c>
      <c r="AJ1575" s="132" t="s">
        <v>1421</v>
      </c>
      <c r="AK1575" s="40" t="s">
        <v>1422</v>
      </c>
      <c r="AL1575" s="45">
        <f>(B1575-DATE(1970,1,1))*86400</f>
        <v>1543881600</v>
      </c>
      <c r="AM1575" s="45">
        <f>(C1575-DATE(1970,1,1))*86400</f>
        <v>1544745600</v>
      </c>
      <c r="AN1575" s="45">
        <f>AVERAGE(AL1575:AM1575)</f>
        <v>1544313600</v>
      </c>
    </row>
    <row r="1576" spans="1:40" ht="15.75" customHeight="1" x14ac:dyDescent="0.2">
      <c r="A1576" s="279" t="s">
        <v>133</v>
      </c>
      <c r="B1576" s="160">
        <v>43430</v>
      </c>
      <c r="C1576" s="160">
        <v>43449</v>
      </c>
      <c r="D1576" s="13" t="s">
        <v>124</v>
      </c>
      <c r="E1576" s="324" t="s">
        <v>125</v>
      </c>
      <c r="F1576" s="13"/>
      <c r="G1576" s="13" t="s">
        <v>149</v>
      </c>
      <c r="H1576" s="372">
        <v>2000</v>
      </c>
      <c r="I1576" s="161">
        <v>38</v>
      </c>
      <c r="J1576" s="161"/>
      <c r="K1576" s="161">
        <v>9</v>
      </c>
      <c r="L1576" s="161">
        <v>2</v>
      </c>
      <c r="M1576" s="161">
        <v>4</v>
      </c>
      <c r="N1576" s="161"/>
      <c r="O1576" s="161"/>
      <c r="P1576" s="161">
        <v>2</v>
      </c>
      <c r="Q1576" s="161"/>
      <c r="R1576" s="161">
        <v>6</v>
      </c>
      <c r="S1576" s="161"/>
      <c r="T1576" s="161"/>
      <c r="U1576" s="161"/>
      <c r="V1576" s="161">
        <v>2</v>
      </c>
      <c r="W1576" s="161"/>
      <c r="X1576" s="161">
        <v>2</v>
      </c>
      <c r="Y1576" s="161"/>
      <c r="Z1576" s="166"/>
      <c r="AA1576" s="98">
        <v>35</v>
      </c>
      <c r="AB1576" s="16">
        <f>100/(SUM(I1576:Z1576))</f>
        <v>1.5384615384615385</v>
      </c>
      <c r="AC1576" s="259">
        <f>SUM(I1576:AA1576)</f>
        <v>100</v>
      </c>
      <c r="AD1576" s="15"/>
      <c r="AE1576" s="15"/>
      <c r="AF1576" s="15"/>
      <c r="AG1576" s="17"/>
      <c r="AH1576" s="18" t="s">
        <v>1423</v>
      </c>
      <c r="AI1576" s="18" t="s">
        <v>1403</v>
      </c>
      <c r="AJ1576" s="18" t="s">
        <v>1404</v>
      </c>
      <c r="AK1576" s="13" t="s">
        <v>1917</v>
      </c>
      <c r="AL1576" s="17">
        <f>(B1576-DATE(1970,1,1))*86400</f>
        <v>1543190400</v>
      </c>
      <c r="AM1576" s="17">
        <f>(C1576-DATE(1970,1,1))*86400</f>
        <v>1544832000</v>
      </c>
      <c r="AN1576" s="17">
        <f>AVERAGE(AL1576:AM1576)</f>
        <v>1544011200</v>
      </c>
    </row>
    <row r="1577" spans="1:40" ht="15.75" customHeight="1" x14ac:dyDescent="0.2">
      <c r="A1577" s="279" t="s">
        <v>123</v>
      </c>
      <c r="B1577" s="160">
        <v>43430</v>
      </c>
      <c r="C1577" s="160">
        <v>43449</v>
      </c>
      <c r="D1577" s="13" t="s">
        <v>124</v>
      </c>
      <c r="E1577" s="324" t="s">
        <v>125</v>
      </c>
      <c r="F1577" s="13"/>
      <c r="G1577" s="13" t="s">
        <v>149</v>
      </c>
      <c r="H1577" s="372">
        <v>2000</v>
      </c>
      <c r="I1577" s="161">
        <v>54</v>
      </c>
      <c r="J1577" s="161"/>
      <c r="K1577" s="161">
        <v>14</v>
      </c>
      <c r="L1577" s="161">
        <v>4</v>
      </c>
      <c r="M1577" s="161">
        <v>7</v>
      </c>
      <c r="N1577" s="161"/>
      <c r="O1577" s="161"/>
      <c r="P1577" s="161">
        <v>4</v>
      </c>
      <c r="Q1577" s="161"/>
      <c r="R1577" s="161">
        <v>11</v>
      </c>
      <c r="S1577" s="161"/>
      <c r="T1577" s="161"/>
      <c r="U1577" s="161"/>
      <c r="V1577" s="161">
        <v>3</v>
      </c>
      <c r="W1577" s="161"/>
      <c r="X1577" s="161">
        <v>3</v>
      </c>
      <c r="Y1577" s="161"/>
      <c r="Z1577" s="166"/>
      <c r="AA1577" s="15">
        <v>0</v>
      </c>
      <c r="AB1577" s="16">
        <f>100/(SUM(I1577:Z1577))</f>
        <v>1</v>
      </c>
      <c r="AC1577" s="259">
        <f>SUM(I1577:AA1577)</f>
        <v>100</v>
      </c>
      <c r="AD1577" s="15"/>
      <c r="AE1577" s="15"/>
      <c r="AF1577" s="15"/>
      <c r="AG1577" s="17"/>
      <c r="AH1577" s="18" t="s">
        <v>1423</v>
      </c>
      <c r="AI1577" s="18" t="s">
        <v>1916</v>
      </c>
      <c r="AJ1577" s="13"/>
      <c r="AK1577" s="13"/>
      <c r="AL1577" s="17">
        <f>(B1577-DATE(1970,1,1))*86400</f>
        <v>1543190400</v>
      </c>
      <c r="AM1577" s="17">
        <f>(C1577-DATE(1970,1,1))*86400</f>
        <v>1544832000</v>
      </c>
      <c r="AN1577" s="17">
        <f>AVERAGE(AL1577:AM1577)</f>
        <v>1544011200</v>
      </c>
    </row>
    <row r="1578" spans="1:40" ht="15.75" customHeight="1" x14ac:dyDescent="0.2">
      <c r="A1578" s="302" t="s">
        <v>123</v>
      </c>
      <c r="B1578" s="254">
        <v>43439</v>
      </c>
      <c r="C1578" s="254">
        <v>43439</v>
      </c>
      <c r="D1578" s="262" t="s">
        <v>2445</v>
      </c>
      <c r="E1578" s="322" t="s">
        <v>184</v>
      </c>
      <c r="F1578" s="121" t="s">
        <v>2007</v>
      </c>
      <c r="G1578" s="262" t="s">
        <v>244</v>
      </c>
      <c r="H1578" s="379">
        <v>500</v>
      </c>
      <c r="I1578" s="123">
        <v>55</v>
      </c>
      <c r="J1578" s="123">
        <v>15</v>
      </c>
      <c r="K1578" s="123">
        <v>15</v>
      </c>
      <c r="L1578" s="123">
        <v>5</v>
      </c>
      <c r="M1578" s="123">
        <v>4</v>
      </c>
      <c r="N1578" s="123"/>
      <c r="O1578" s="123"/>
      <c r="P1578" s="123">
        <v>1</v>
      </c>
      <c r="Q1578" s="123"/>
      <c r="R1578" s="124"/>
      <c r="S1578" s="123"/>
      <c r="T1578" s="123"/>
      <c r="U1578" s="123"/>
      <c r="V1578" s="123"/>
      <c r="W1578" s="123"/>
      <c r="X1578" s="123">
        <v>4</v>
      </c>
      <c r="Y1578" s="123"/>
      <c r="Z1578" s="124">
        <v>1</v>
      </c>
      <c r="AA1578" s="123">
        <v>0</v>
      </c>
      <c r="AB1578" s="125">
        <f>100/(SUM(I1578:Z1578))</f>
        <v>1</v>
      </c>
      <c r="AC1578" s="259">
        <f>SUM(I1578:AA1578)</f>
        <v>100</v>
      </c>
      <c r="AD1578" s="123"/>
      <c r="AE1578" s="123"/>
      <c r="AF1578" s="123"/>
      <c r="AG1578" s="263" t="s">
        <v>719</v>
      </c>
      <c r="AH1578" s="253"/>
      <c r="AI1578" s="253" t="s">
        <v>2001</v>
      </c>
      <c r="AJ1578" s="127"/>
      <c r="AK1578" s="121" t="s">
        <v>2002</v>
      </c>
      <c r="AL1578" s="126">
        <f>(B1578-DATE(1970,1,1))*86400</f>
        <v>1543968000</v>
      </c>
      <c r="AM1578" s="126">
        <f>(C1578-DATE(1970,1,1))*86400</f>
        <v>1543968000</v>
      </c>
      <c r="AN1578" s="126">
        <f>AVERAGE(AL1578:AM1578)</f>
        <v>1543968000</v>
      </c>
    </row>
    <row r="1579" spans="1:40" ht="15.75" customHeight="1" x14ac:dyDescent="0.2">
      <c r="A1579" s="449" t="s">
        <v>133</v>
      </c>
      <c r="B1579" s="460">
        <v>43434</v>
      </c>
      <c r="C1579" s="462">
        <v>43439</v>
      </c>
      <c r="D1579" s="451" t="s">
        <v>143</v>
      </c>
      <c r="E1579" s="452" t="s">
        <v>125</v>
      </c>
      <c r="F1579" s="451"/>
      <c r="G1579" s="451" t="s">
        <v>149</v>
      </c>
      <c r="H1579" s="454">
        <v>1200</v>
      </c>
      <c r="I1579" s="463">
        <v>41</v>
      </c>
      <c r="J1579" s="463"/>
      <c r="K1579" s="463">
        <v>9</v>
      </c>
      <c r="L1579" s="463">
        <v>3</v>
      </c>
      <c r="M1579" s="463">
        <v>6</v>
      </c>
      <c r="N1579" s="463"/>
      <c r="O1579" s="463"/>
      <c r="P1579" s="463">
        <v>3</v>
      </c>
      <c r="Q1579" s="463"/>
      <c r="R1579" s="456">
        <v>9</v>
      </c>
      <c r="S1579" s="463"/>
      <c r="T1579" s="463"/>
      <c r="U1579" s="463"/>
      <c r="V1579" s="463">
        <v>1</v>
      </c>
      <c r="W1579" s="463"/>
      <c r="X1579" s="463">
        <v>2</v>
      </c>
      <c r="Y1579" s="463"/>
      <c r="Z1579" s="463">
        <v>0</v>
      </c>
      <c r="AA1579" s="455">
        <v>26</v>
      </c>
      <c r="AB1579" s="457">
        <f>100/(SUM(I1579:Z1579))</f>
        <v>1.3513513513513513</v>
      </c>
      <c r="AC1579" s="432">
        <f>SUM(I1579:AA1579)</f>
        <v>100</v>
      </c>
      <c r="AD1579" s="455"/>
      <c r="AE1579" s="455"/>
      <c r="AF1579" s="455"/>
      <c r="AG1579" s="459"/>
      <c r="AH1579" s="451" t="s">
        <v>1183</v>
      </c>
      <c r="AI1579" s="458" t="s">
        <v>1425</v>
      </c>
      <c r="AJ1579" s="458" t="s">
        <v>1426</v>
      </c>
      <c r="AK1579" s="451"/>
      <c r="AL1579" s="459">
        <f>(B1579-DATE(1970,1,1))*86400</f>
        <v>1543536000</v>
      </c>
      <c r="AM1579" s="459">
        <f>(C1579-DATE(1970,1,1))*86400</f>
        <v>1543968000</v>
      </c>
      <c r="AN1579" s="459">
        <f>AVERAGE(AL1579:AM1579)</f>
        <v>1543752000</v>
      </c>
    </row>
    <row r="1580" spans="1:40" ht="15.75" customHeight="1" x14ac:dyDescent="0.2">
      <c r="A1580" s="449" t="s">
        <v>133</v>
      </c>
      <c r="B1580" s="460">
        <v>43434</v>
      </c>
      <c r="C1580" s="462">
        <v>43439</v>
      </c>
      <c r="D1580" s="451" t="s">
        <v>143</v>
      </c>
      <c r="E1580" s="452" t="s">
        <v>125</v>
      </c>
      <c r="F1580" s="451"/>
      <c r="G1580" s="451" t="s">
        <v>149</v>
      </c>
      <c r="H1580" s="454">
        <v>1200</v>
      </c>
      <c r="I1580" s="463">
        <v>56</v>
      </c>
      <c r="J1580" s="463"/>
      <c r="K1580" s="463">
        <v>12</v>
      </c>
      <c r="L1580" s="463">
        <v>4</v>
      </c>
      <c r="M1580" s="463">
        <v>9</v>
      </c>
      <c r="N1580" s="463"/>
      <c r="O1580" s="463"/>
      <c r="P1580" s="463">
        <v>4</v>
      </c>
      <c r="Q1580" s="463"/>
      <c r="R1580" s="456">
        <v>11</v>
      </c>
      <c r="S1580" s="463"/>
      <c r="T1580" s="463"/>
      <c r="U1580" s="463"/>
      <c r="V1580" s="463">
        <v>1</v>
      </c>
      <c r="W1580" s="463"/>
      <c r="X1580" s="463">
        <v>2</v>
      </c>
      <c r="Y1580" s="463"/>
      <c r="Z1580" s="463">
        <v>1</v>
      </c>
      <c r="AA1580" s="455">
        <v>0</v>
      </c>
      <c r="AB1580" s="457">
        <f>100/(SUM(I1580:Z1580))</f>
        <v>1</v>
      </c>
      <c r="AC1580" s="432">
        <f>SUM(I1580:AA1580)</f>
        <v>100</v>
      </c>
      <c r="AD1580" s="455"/>
      <c r="AE1580" s="455"/>
      <c r="AF1580" s="455"/>
      <c r="AG1580" s="459"/>
      <c r="AH1580" s="451" t="s">
        <v>1183</v>
      </c>
      <c r="AI1580" s="458" t="s">
        <v>1425</v>
      </c>
      <c r="AJ1580" s="458" t="s">
        <v>1426</v>
      </c>
      <c r="AK1580" s="451"/>
      <c r="AL1580" s="459">
        <f>(B1580-DATE(1970,1,1))*86400</f>
        <v>1543536000</v>
      </c>
      <c r="AM1580" s="459">
        <f>(C1580-DATE(1970,1,1))*86400</f>
        <v>1543968000</v>
      </c>
      <c r="AN1580" s="459">
        <f>AVERAGE(AL1580:AM1580)</f>
        <v>1543752000</v>
      </c>
    </row>
    <row r="1581" spans="1:40" ht="15.75" customHeight="1" x14ac:dyDescent="0.2">
      <c r="A1581" s="449" t="s">
        <v>123</v>
      </c>
      <c r="B1581" s="460">
        <v>43434</v>
      </c>
      <c r="C1581" s="462">
        <v>43439</v>
      </c>
      <c r="D1581" s="451" t="s">
        <v>143</v>
      </c>
      <c r="E1581" s="452" t="s">
        <v>125</v>
      </c>
      <c r="F1581" s="451"/>
      <c r="G1581" s="451" t="s">
        <v>149</v>
      </c>
      <c r="H1581" s="454">
        <v>1200</v>
      </c>
      <c r="I1581" s="463">
        <v>59</v>
      </c>
      <c r="J1581" s="463"/>
      <c r="K1581" s="463">
        <v>12</v>
      </c>
      <c r="L1581" s="463">
        <v>2</v>
      </c>
      <c r="M1581" s="463">
        <v>10</v>
      </c>
      <c r="N1581" s="463"/>
      <c r="O1581" s="463"/>
      <c r="P1581" s="463">
        <v>3</v>
      </c>
      <c r="Q1581" s="463"/>
      <c r="R1581" s="456">
        <v>10</v>
      </c>
      <c r="S1581" s="463"/>
      <c r="T1581" s="463"/>
      <c r="U1581" s="463"/>
      <c r="V1581" s="463">
        <v>1</v>
      </c>
      <c r="W1581" s="463"/>
      <c r="X1581" s="463">
        <v>2</v>
      </c>
      <c r="Y1581" s="463"/>
      <c r="Z1581" s="463">
        <v>1</v>
      </c>
      <c r="AA1581" s="455">
        <v>0</v>
      </c>
      <c r="AB1581" s="457">
        <f>100/(SUM(I1581:Z1581))</f>
        <v>1</v>
      </c>
      <c r="AC1581" s="432">
        <f>SUM(I1581:AA1581)</f>
        <v>100</v>
      </c>
      <c r="AD1581" s="455"/>
      <c r="AE1581" s="455"/>
      <c r="AF1581" s="455"/>
      <c r="AG1581" s="459"/>
      <c r="AH1581" s="451" t="s">
        <v>1183</v>
      </c>
      <c r="AI1581" s="458" t="s">
        <v>1425</v>
      </c>
      <c r="AJ1581" s="458" t="s">
        <v>1426</v>
      </c>
      <c r="AK1581" s="451"/>
      <c r="AL1581" s="459">
        <f>(B1581-DATE(1970,1,1))*86400</f>
        <v>1543536000</v>
      </c>
      <c r="AM1581" s="459">
        <f>(C1581-DATE(1970,1,1))*86400</f>
        <v>1543968000</v>
      </c>
      <c r="AN1581" s="459">
        <f>AVERAGE(AL1581:AM1581)</f>
        <v>1543752000</v>
      </c>
    </row>
    <row r="1582" spans="1:40" ht="15.75" customHeight="1" x14ac:dyDescent="0.2">
      <c r="A1582" s="284" t="s">
        <v>133</v>
      </c>
      <c r="B1582" s="20">
        <v>43434</v>
      </c>
      <c r="C1582" s="20">
        <v>43437</v>
      </c>
      <c r="D1582" s="19" t="s">
        <v>134</v>
      </c>
      <c r="E1582" s="332" t="s">
        <v>125</v>
      </c>
      <c r="F1582" s="19"/>
      <c r="G1582" s="19" t="s">
        <v>135</v>
      </c>
      <c r="H1582" s="382">
        <v>2000</v>
      </c>
      <c r="I1582" s="165">
        <v>34</v>
      </c>
      <c r="J1582" s="165">
        <v>7</v>
      </c>
      <c r="K1582" s="165">
        <v>8</v>
      </c>
      <c r="L1582" s="165">
        <v>2</v>
      </c>
      <c r="M1582" s="165">
        <v>6</v>
      </c>
      <c r="N1582" s="165"/>
      <c r="O1582" s="165">
        <v>1</v>
      </c>
      <c r="P1582" s="165">
        <v>3</v>
      </c>
      <c r="Q1582" s="165"/>
      <c r="R1582" s="22"/>
      <c r="S1582" s="165"/>
      <c r="T1582" s="165"/>
      <c r="U1582" s="165"/>
      <c r="V1582" s="165">
        <v>3</v>
      </c>
      <c r="W1582" s="165"/>
      <c r="X1582" s="165">
        <v>1</v>
      </c>
      <c r="Y1582" s="165"/>
      <c r="Z1582" s="165">
        <v>1</v>
      </c>
      <c r="AA1582" s="21">
        <v>34</v>
      </c>
      <c r="AB1582" s="23">
        <f>100/(SUM(I1582:Z1582))</f>
        <v>1.5151515151515151</v>
      </c>
      <c r="AC1582" s="259">
        <f>SUM(I1582:AA1582)</f>
        <v>100</v>
      </c>
      <c r="AD1582" s="21"/>
      <c r="AE1582" s="21"/>
      <c r="AF1582" s="21"/>
      <c r="AG1582" s="25"/>
      <c r="AH1582" s="83" t="s">
        <v>1427</v>
      </c>
      <c r="AI1582" s="83" t="s">
        <v>1921</v>
      </c>
      <c r="AJ1582" s="19"/>
      <c r="AK1582" s="19"/>
      <c r="AL1582" s="25">
        <f>(B1582-DATE(1970,1,1))*86400</f>
        <v>1543536000</v>
      </c>
      <c r="AM1582" s="25">
        <f>(C1582-DATE(1970,1,1))*86400</f>
        <v>1543795200</v>
      </c>
      <c r="AN1582" s="25">
        <f>AVERAGE(AL1582:AM1582)</f>
        <v>1543665600</v>
      </c>
    </row>
    <row r="1583" spans="1:40" ht="15.75" customHeight="1" x14ac:dyDescent="0.2">
      <c r="A1583" s="284" t="s">
        <v>123</v>
      </c>
      <c r="B1583" s="20">
        <v>43434</v>
      </c>
      <c r="C1583" s="20">
        <v>43437</v>
      </c>
      <c r="D1583" s="19" t="s">
        <v>134</v>
      </c>
      <c r="E1583" s="332" t="s">
        <v>125</v>
      </c>
      <c r="F1583" s="19"/>
      <c r="G1583" s="19" t="s">
        <v>135</v>
      </c>
      <c r="H1583" s="382">
        <v>2000</v>
      </c>
      <c r="I1583" s="165">
        <v>51</v>
      </c>
      <c r="J1583" s="165">
        <v>10</v>
      </c>
      <c r="K1583" s="165">
        <v>12</v>
      </c>
      <c r="L1583" s="165">
        <v>3</v>
      </c>
      <c r="M1583" s="165">
        <v>9</v>
      </c>
      <c r="N1583" s="165"/>
      <c r="O1583" s="165">
        <v>2</v>
      </c>
      <c r="P1583" s="165">
        <v>5</v>
      </c>
      <c r="Q1583" s="165"/>
      <c r="R1583" s="22"/>
      <c r="S1583" s="165"/>
      <c r="T1583" s="165"/>
      <c r="U1583" s="165"/>
      <c r="V1583" s="165">
        <v>4</v>
      </c>
      <c r="W1583" s="165"/>
      <c r="X1583" s="165">
        <v>2</v>
      </c>
      <c r="Y1583" s="165"/>
      <c r="Z1583" s="165">
        <v>2</v>
      </c>
      <c r="AA1583" s="21">
        <v>0</v>
      </c>
      <c r="AB1583" s="23">
        <f>100/(SUM(I1583:Z1583))</f>
        <v>1</v>
      </c>
      <c r="AC1583" s="259">
        <f>SUM(I1583:AA1583)</f>
        <v>100</v>
      </c>
      <c r="AD1583" s="21"/>
      <c r="AE1583" s="21"/>
      <c r="AF1583" s="21"/>
      <c r="AG1583" s="25"/>
      <c r="AH1583" s="83" t="s">
        <v>1427</v>
      </c>
      <c r="AI1583" s="83"/>
      <c r="AJ1583" s="19"/>
      <c r="AK1583" s="19"/>
      <c r="AL1583" s="25">
        <f>(B1583-DATE(1970,1,1))*86400</f>
        <v>1543536000</v>
      </c>
      <c r="AM1583" s="25">
        <f>(C1583-DATE(1970,1,1))*86400</f>
        <v>1543795200</v>
      </c>
      <c r="AN1583" s="25">
        <f>AVERAGE(AL1583:AM1583)</f>
        <v>1543665600</v>
      </c>
    </row>
    <row r="1584" spans="1:40" ht="15.75" customHeight="1" x14ac:dyDescent="0.2">
      <c r="A1584" s="279" t="s">
        <v>133</v>
      </c>
      <c r="B1584" s="160">
        <v>43414</v>
      </c>
      <c r="C1584" s="160">
        <v>43431</v>
      </c>
      <c r="D1584" s="13" t="s">
        <v>124</v>
      </c>
      <c r="E1584" s="324" t="s">
        <v>125</v>
      </c>
      <c r="F1584" s="13"/>
      <c r="G1584" s="13" t="s">
        <v>149</v>
      </c>
      <c r="H1584" s="372">
        <v>2000</v>
      </c>
      <c r="I1584" s="161">
        <v>38</v>
      </c>
      <c r="J1584" s="161"/>
      <c r="K1584" s="161">
        <v>9</v>
      </c>
      <c r="L1584" s="161">
        <v>2</v>
      </c>
      <c r="M1584" s="161">
        <v>4</v>
      </c>
      <c r="N1584" s="161"/>
      <c r="O1584" s="161"/>
      <c r="P1584" s="161">
        <v>2</v>
      </c>
      <c r="Q1584" s="161"/>
      <c r="R1584" s="161">
        <v>6</v>
      </c>
      <c r="S1584" s="161"/>
      <c r="T1584" s="161"/>
      <c r="U1584" s="161"/>
      <c r="V1584" s="161">
        <v>2</v>
      </c>
      <c r="W1584" s="161"/>
      <c r="X1584" s="161">
        <v>2</v>
      </c>
      <c r="Y1584" s="161"/>
      <c r="Z1584" s="166">
        <v>0.5</v>
      </c>
      <c r="AA1584" s="15">
        <v>34.5</v>
      </c>
      <c r="AB1584" s="16">
        <f>100/(SUM(I1584:Z1584))</f>
        <v>1.5267175572519085</v>
      </c>
      <c r="AC1584" s="259">
        <f>SUM(I1584:AA1584)</f>
        <v>100</v>
      </c>
      <c r="AD1584" s="15"/>
      <c r="AE1584" s="15"/>
      <c r="AF1584" s="15"/>
      <c r="AG1584" s="17"/>
      <c r="AH1584" s="18" t="s">
        <v>1428</v>
      </c>
      <c r="AI1584" s="18" t="s">
        <v>1403</v>
      </c>
      <c r="AJ1584" s="18" t="s">
        <v>1404</v>
      </c>
      <c r="AK1584" s="13" t="s">
        <v>1918</v>
      </c>
      <c r="AL1584" s="17">
        <f>(B1584-DATE(1970,1,1))*86400</f>
        <v>1541808000</v>
      </c>
      <c r="AM1584" s="17">
        <f>(C1584-DATE(1970,1,1))*86400</f>
        <v>1543276800</v>
      </c>
      <c r="AN1584" s="17">
        <f>AVERAGE(AL1584:AM1584)</f>
        <v>1542542400</v>
      </c>
    </row>
    <row r="1585" spans="1:40" ht="15.75" customHeight="1" x14ac:dyDescent="0.2">
      <c r="A1585" s="279" t="s">
        <v>123</v>
      </c>
      <c r="B1585" s="160">
        <v>43414</v>
      </c>
      <c r="C1585" s="160">
        <v>43431</v>
      </c>
      <c r="D1585" s="13" t="s">
        <v>124</v>
      </c>
      <c r="E1585" s="324" t="s">
        <v>125</v>
      </c>
      <c r="F1585" s="13"/>
      <c r="G1585" s="13" t="s">
        <v>149</v>
      </c>
      <c r="H1585" s="372">
        <v>2000</v>
      </c>
      <c r="I1585" s="161">
        <v>53</v>
      </c>
      <c r="J1585" s="161"/>
      <c r="K1585" s="161">
        <v>15</v>
      </c>
      <c r="L1585" s="161">
        <v>4</v>
      </c>
      <c r="M1585" s="161">
        <v>7</v>
      </c>
      <c r="N1585" s="161"/>
      <c r="O1585" s="161"/>
      <c r="P1585" s="161">
        <v>4</v>
      </c>
      <c r="Q1585" s="161"/>
      <c r="R1585" s="161">
        <v>10</v>
      </c>
      <c r="S1585" s="161"/>
      <c r="T1585" s="161"/>
      <c r="U1585" s="161"/>
      <c r="V1585" s="161">
        <v>4</v>
      </c>
      <c r="W1585" s="161"/>
      <c r="X1585" s="161">
        <v>2</v>
      </c>
      <c r="Y1585" s="161"/>
      <c r="Z1585" s="161">
        <v>1</v>
      </c>
      <c r="AA1585" s="15">
        <v>0</v>
      </c>
      <c r="AB1585" s="16">
        <f>100/(SUM(I1585:Z1585))</f>
        <v>1</v>
      </c>
      <c r="AC1585" s="259">
        <f>SUM(I1585:AA1585)</f>
        <v>100</v>
      </c>
      <c r="AD1585" s="15"/>
      <c r="AE1585" s="15"/>
      <c r="AF1585" s="15"/>
      <c r="AG1585" s="17"/>
      <c r="AH1585" s="18" t="s">
        <v>1428</v>
      </c>
      <c r="AI1585" s="13"/>
      <c r="AJ1585" s="13"/>
      <c r="AK1585" s="13"/>
      <c r="AL1585" s="17">
        <f>(B1585-DATE(1970,1,1))*86400</f>
        <v>1541808000</v>
      </c>
      <c r="AM1585" s="17">
        <f>(C1585-DATE(1970,1,1))*86400</f>
        <v>1543276800</v>
      </c>
      <c r="AN1585" s="17">
        <f>AVERAGE(AL1585:AM1585)</f>
        <v>1542542400</v>
      </c>
    </row>
    <row r="1586" spans="1:40" ht="15.75" customHeight="1" x14ac:dyDescent="0.2">
      <c r="A1586" s="281" t="s">
        <v>133</v>
      </c>
      <c r="B1586" s="54">
        <v>43418</v>
      </c>
      <c r="C1586" s="54">
        <v>43425</v>
      </c>
      <c r="D1586" s="53" t="s">
        <v>154</v>
      </c>
      <c r="E1586" s="323" t="s">
        <v>125</v>
      </c>
      <c r="F1586" s="53"/>
      <c r="G1586" s="171" t="s">
        <v>126</v>
      </c>
      <c r="H1586" s="384">
        <v>1000</v>
      </c>
      <c r="I1586" s="172">
        <v>25</v>
      </c>
      <c r="J1586" s="172"/>
      <c r="K1586" s="172">
        <v>8</v>
      </c>
      <c r="L1586" s="172">
        <v>2</v>
      </c>
      <c r="M1586" s="172">
        <v>2</v>
      </c>
      <c r="N1586" s="172"/>
      <c r="O1586" s="172"/>
      <c r="P1586" s="172">
        <v>1</v>
      </c>
      <c r="Q1586" s="172"/>
      <c r="R1586" s="172">
        <v>8</v>
      </c>
      <c r="S1586" s="172"/>
      <c r="T1586" s="172"/>
      <c r="U1586" s="172"/>
      <c r="V1586" s="172">
        <v>2</v>
      </c>
      <c r="W1586" s="172"/>
      <c r="X1586" s="172">
        <v>1</v>
      </c>
      <c r="Y1586" s="172"/>
      <c r="Z1586" s="172">
        <v>2</v>
      </c>
      <c r="AA1586" s="55">
        <v>49</v>
      </c>
      <c r="AB1586" s="57">
        <f>100/(SUM(I1586:Z1586))</f>
        <v>1.9607843137254901</v>
      </c>
      <c r="AC1586" s="259">
        <f>SUM(I1586:AA1586)</f>
        <v>100</v>
      </c>
      <c r="AD1586" s="55"/>
      <c r="AE1586" s="55"/>
      <c r="AF1586" s="55"/>
      <c r="AG1586" s="58"/>
      <c r="AH1586" s="59" t="s">
        <v>1429</v>
      </c>
      <c r="AI1586" s="59" t="s">
        <v>1430</v>
      </c>
      <c r="AJ1586" s="53"/>
      <c r="AK1586" s="53"/>
      <c r="AL1586" s="58">
        <f>(B1586-DATE(1970,1,1))*86400</f>
        <v>1542153600</v>
      </c>
      <c r="AM1586" s="58">
        <f>(C1586-DATE(1970,1,1))*86400</f>
        <v>1542758400</v>
      </c>
      <c r="AN1586" s="58">
        <f>AVERAGE(AL1586:AM1586)</f>
        <v>1542456000</v>
      </c>
    </row>
    <row r="1587" spans="1:40" ht="15.75" customHeight="1" x14ac:dyDescent="0.2">
      <c r="A1587" s="281" t="s">
        <v>123</v>
      </c>
      <c r="B1587" s="54">
        <v>43418</v>
      </c>
      <c r="C1587" s="54">
        <v>43425</v>
      </c>
      <c r="D1587" s="53" t="s">
        <v>154</v>
      </c>
      <c r="E1587" s="323" t="s">
        <v>125</v>
      </c>
      <c r="F1587" s="53"/>
      <c r="G1587" s="171" t="s">
        <v>126</v>
      </c>
      <c r="H1587" s="384">
        <v>1000</v>
      </c>
      <c r="I1587" s="172">
        <v>54</v>
      </c>
      <c r="J1587" s="172"/>
      <c r="K1587" s="172">
        <v>13</v>
      </c>
      <c r="L1587" s="172">
        <v>4</v>
      </c>
      <c r="M1587" s="172">
        <v>5</v>
      </c>
      <c r="N1587" s="172"/>
      <c r="O1587" s="172"/>
      <c r="P1587" s="172">
        <v>2</v>
      </c>
      <c r="Q1587" s="172"/>
      <c r="R1587" s="172">
        <v>14</v>
      </c>
      <c r="S1587" s="172"/>
      <c r="T1587" s="172"/>
      <c r="U1587" s="172"/>
      <c r="V1587" s="172">
        <v>3</v>
      </c>
      <c r="W1587" s="172"/>
      <c r="X1587" s="172">
        <v>2</v>
      </c>
      <c r="Y1587" s="172"/>
      <c r="Z1587" s="172">
        <v>3</v>
      </c>
      <c r="AA1587" s="55">
        <v>0</v>
      </c>
      <c r="AB1587" s="57">
        <f>100/(SUM(I1587:Z1587))</f>
        <v>1</v>
      </c>
      <c r="AC1587" s="259">
        <f>SUM(I1587:AA1587)</f>
        <v>100</v>
      </c>
      <c r="AD1587" s="55"/>
      <c r="AE1587" s="55"/>
      <c r="AF1587" s="55"/>
      <c r="AG1587" s="58"/>
      <c r="AH1587" s="59" t="s">
        <v>1429</v>
      </c>
      <c r="AI1587" s="59" t="s">
        <v>1430</v>
      </c>
      <c r="AJ1587" s="53"/>
      <c r="AK1587" s="53"/>
      <c r="AL1587" s="58">
        <f>(B1587-DATE(1970,1,1))*86400</f>
        <v>1542153600</v>
      </c>
      <c r="AM1587" s="58">
        <f>(C1587-DATE(1970,1,1))*86400</f>
        <v>1542758400</v>
      </c>
      <c r="AN1587" s="58">
        <f>AVERAGE(AL1587:AM1587)</f>
        <v>1542456000</v>
      </c>
    </row>
    <row r="1588" spans="1:40" ht="15.75" customHeight="1" x14ac:dyDescent="0.2">
      <c r="A1588" s="286" t="s">
        <v>133</v>
      </c>
      <c r="B1588" s="41">
        <v>43417</v>
      </c>
      <c r="C1588" s="41">
        <v>43426</v>
      </c>
      <c r="D1588" s="40" t="s">
        <v>148</v>
      </c>
      <c r="E1588" s="325" t="s">
        <v>125</v>
      </c>
      <c r="F1588" s="40"/>
      <c r="G1588" s="40" t="s">
        <v>149</v>
      </c>
      <c r="H1588" s="381">
        <v>1000</v>
      </c>
      <c r="I1588" s="42">
        <v>35.799999999999997</v>
      </c>
      <c r="J1588" s="42"/>
      <c r="K1588" s="42">
        <v>7.4</v>
      </c>
      <c r="L1588" s="42">
        <v>2.5</v>
      </c>
      <c r="M1588" s="42">
        <v>4.9000000000000004</v>
      </c>
      <c r="N1588" s="42"/>
      <c r="O1588" s="42"/>
      <c r="P1588" s="42">
        <v>3.3</v>
      </c>
      <c r="Q1588" s="42"/>
      <c r="R1588" s="43">
        <v>7.8</v>
      </c>
      <c r="S1588" s="42"/>
      <c r="T1588" s="42"/>
      <c r="U1588" s="42"/>
      <c r="V1588" s="42">
        <v>3.2</v>
      </c>
      <c r="W1588" s="42"/>
      <c r="X1588" s="42">
        <v>0.5</v>
      </c>
      <c r="Y1588" s="42"/>
      <c r="Z1588" s="42">
        <v>1.2</v>
      </c>
      <c r="AA1588" s="42">
        <v>33.4</v>
      </c>
      <c r="AB1588" s="44">
        <f>100/(SUM(I1588:Z1588))</f>
        <v>1.5015015015015016</v>
      </c>
      <c r="AC1588" s="259">
        <f>SUM(I1588:AA1588)</f>
        <v>100</v>
      </c>
      <c r="AD1588" s="42"/>
      <c r="AE1588" s="42"/>
      <c r="AF1588" s="42"/>
      <c r="AG1588" s="45"/>
      <c r="AH1588" s="40" t="s">
        <v>1383</v>
      </c>
      <c r="AI1588" s="132" t="s">
        <v>1420</v>
      </c>
      <c r="AJ1588" s="132" t="s">
        <v>1431</v>
      </c>
      <c r="AK1588" s="40"/>
      <c r="AL1588" s="45">
        <f>(B1588-DATE(1970,1,1))*86400</f>
        <v>1542067200</v>
      </c>
      <c r="AM1588" s="45">
        <f>(C1588-DATE(1970,1,1))*86400</f>
        <v>1542844800</v>
      </c>
      <c r="AN1588" s="45">
        <f>AVERAGE(AL1588:AM1588)</f>
        <v>1542456000</v>
      </c>
    </row>
    <row r="1589" spans="1:40" ht="15.75" customHeight="1" x14ac:dyDescent="0.2">
      <c r="A1589" s="286" t="s">
        <v>123</v>
      </c>
      <c r="B1589" s="41">
        <v>43417</v>
      </c>
      <c r="C1589" s="41">
        <v>43426</v>
      </c>
      <c r="D1589" s="40" t="s">
        <v>148</v>
      </c>
      <c r="E1589" s="325" t="s">
        <v>125</v>
      </c>
      <c r="F1589" s="40"/>
      <c r="G1589" s="40" t="s">
        <v>149</v>
      </c>
      <c r="H1589" s="381">
        <v>1000</v>
      </c>
      <c r="I1589" s="43">
        <v>54.6</v>
      </c>
      <c r="J1589" s="43"/>
      <c r="K1589" s="42">
        <v>12.1</v>
      </c>
      <c r="L1589" s="42">
        <v>3</v>
      </c>
      <c r="M1589" s="42">
        <v>8.3000000000000007</v>
      </c>
      <c r="N1589" s="42"/>
      <c r="O1589" s="42"/>
      <c r="P1589" s="42">
        <v>5.0999999999999996</v>
      </c>
      <c r="Q1589" s="42"/>
      <c r="R1589" s="43">
        <v>12.1</v>
      </c>
      <c r="S1589" s="42"/>
      <c r="T1589" s="42"/>
      <c r="U1589" s="42"/>
      <c r="V1589" s="42">
        <v>2.7</v>
      </c>
      <c r="W1589" s="42"/>
      <c r="X1589" s="42">
        <v>1.3</v>
      </c>
      <c r="Y1589" s="42"/>
      <c r="Z1589" s="42">
        <v>0.8</v>
      </c>
      <c r="AA1589" s="42">
        <v>0</v>
      </c>
      <c r="AB1589" s="44">
        <f>100/(SUM(I1589:Z1589))</f>
        <v>1.0000000000000002</v>
      </c>
      <c r="AC1589" s="259">
        <f>SUM(I1589:AA1589)</f>
        <v>99.999999999999986</v>
      </c>
      <c r="AD1589" s="42"/>
      <c r="AE1589" s="42"/>
      <c r="AF1589" s="42"/>
      <c r="AG1589" s="45"/>
      <c r="AH1589" s="40" t="s">
        <v>1383</v>
      </c>
      <c r="AI1589" s="132" t="s">
        <v>1420</v>
      </c>
      <c r="AJ1589" s="132" t="s">
        <v>1431</v>
      </c>
      <c r="AK1589" s="40"/>
      <c r="AL1589" s="45">
        <f>(B1589-DATE(1970,1,1))*86400</f>
        <v>1542067200</v>
      </c>
      <c r="AM1589" s="45">
        <f>(C1589-DATE(1970,1,1))*86400</f>
        <v>1542844800</v>
      </c>
      <c r="AN1589" s="45">
        <f>AVERAGE(AL1589:AM1589)</f>
        <v>1542456000</v>
      </c>
    </row>
    <row r="1590" spans="1:40" ht="15.75" customHeight="1" x14ac:dyDescent="0.2">
      <c r="A1590" s="302" t="s">
        <v>123</v>
      </c>
      <c r="B1590" s="254">
        <v>43404</v>
      </c>
      <c r="C1590" s="254">
        <v>43404</v>
      </c>
      <c r="D1590" s="262" t="s">
        <v>2445</v>
      </c>
      <c r="E1590" s="322" t="s">
        <v>184</v>
      </c>
      <c r="F1590" s="121" t="s">
        <v>2007</v>
      </c>
      <c r="G1590" s="262" t="s">
        <v>244</v>
      </c>
      <c r="H1590" s="379">
        <v>500</v>
      </c>
      <c r="I1590" s="123">
        <v>56</v>
      </c>
      <c r="J1590" s="123">
        <v>12</v>
      </c>
      <c r="K1590" s="123">
        <v>17</v>
      </c>
      <c r="L1590" s="123">
        <v>5</v>
      </c>
      <c r="M1590" s="123">
        <v>4</v>
      </c>
      <c r="N1590" s="123"/>
      <c r="O1590" s="123"/>
      <c r="P1590" s="123">
        <v>1</v>
      </c>
      <c r="Q1590" s="123"/>
      <c r="R1590" s="124"/>
      <c r="S1590" s="123"/>
      <c r="T1590" s="123"/>
      <c r="U1590" s="123"/>
      <c r="V1590" s="123"/>
      <c r="W1590" s="123"/>
      <c r="X1590" s="123">
        <v>4</v>
      </c>
      <c r="Y1590" s="123"/>
      <c r="Z1590" s="124">
        <v>1</v>
      </c>
      <c r="AA1590" s="123">
        <v>0</v>
      </c>
      <c r="AB1590" s="125">
        <f>100/(SUM(I1590:Z1590))</f>
        <v>1</v>
      </c>
      <c r="AC1590" s="259">
        <f>SUM(I1590:AA1590)</f>
        <v>100</v>
      </c>
      <c r="AD1590" s="123"/>
      <c r="AE1590" s="123"/>
      <c r="AF1590" s="123"/>
      <c r="AG1590" s="263" t="s">
        <v>719</v>
      </c>
      <c r="AH1590" s="253"/>
      <c r="AI1590" s="253" t="s">
        <v>2001</v>
      </c>
      <c r="AJ1590" s="127"/>
      <c r="AK1590" s="121" t="s">
        <v>2002</v>
      </c>
      <c r="AL1590" s="126">
        <f>(B1590-DATE(1970,1,1))*86400</f>
        <v>1540944000</v>
      </c>
      <c r="AM1590" s="126">
        <f>(C1590-DATE(1970,1,1))*86400</f>
        <v>1540944000</v>
      </c>
      <c r="AN1590" s="126">
        <f>AVERAGE(AL1590:AM1590)</f>
        <v>1540944000</v>
      </c>
    </row>
    <row r="1591" spans="1:40" ht="15.75" customHeight="1" x14ac:dyDescent="0.2">
      <c r="A1591" s="284" t="s">
        <v>133</v>
      </c>
      <c r="B1591" s="20">
        <v>43391</v>
      </c>
      <c r="C1591" s="20">
        <v>43395</v>
      </c>
      <c r="D1591" s="19" t="s">
        <v>134</v>
      </c>
      <c r="E1591" s="332" t="s">
        <v>125</v>
      </c>
      <c r="F1591" s="19"/>
      <c r="G1591" s="19" t="s">
        <v>135</v>
      </c>
      <c r="H1591" s="382">
        <v>2000</v>
      </c>
      <c r="I1591" s="165">
        <v>37</v>
      </c>
      <c r="J1591" s="165">
        <v>5</v>
      </c>
      <c r="K1591" s="165">
        <v>11</v>
      </c>
      <c r="L1591" s="165">
        <v>2</v>
      </c>
      <c r="M1591" s="165">
        <v>5</v>
      </c>
      <c r="N1591" s="165"/>
      <c r="O1591" s="165">
        <v>1</v>
      </c>
      <c r="P1591" s="165">
        <v>1</v>
      </c>
      <c r="Q1591" s="165"/>
      <c r="R1591" s="22"/>
      <c r="S1591" s="165"/>
      <c r="T1591" s="165"/>
      <c r="U1591" s="165"/>
      <c r="V1591" s="165">
        <v>3</v>
      </c>
      <c r="W1591" s="165"/>
      <c r="X1591" s="165">
        <v>1</v>
      </c>
      <c r="Y1591" s="165"/>
      <c r="Z1591" s="165">
        <v>1</v>
      </c>
      <c r="AA1591" s="21">
        <v>33</v>
      </c>
      <c r="AB1591" s="23">
        <f>100/(SUM(I1591:Z1591))</f>
        <v>1.4925373134328359</v>
      </c>
      <c r="AC1591" s="259">
        <f>SUM(I1591:AA1591)</f>
        <v>100</v>
      </c>
      <c r="AD1591" s="21"/>
      <c r="AE1591" s="21"/>
      <c r="AF1591" s="21"/>
      <c r="AG1591" s="25"/>
      <c r="AH1591" s="83" t="s">
        <v>1432</v>
      </c>
      <c r="AI1591" s="83" t="s">
        <v>1427</v>
      </c>
      <c r="AJ1591" s="19" t="s">
        <v>1922</v>
      </c>
      <c r="AK1591" s="19" t="s">
        <v>1923</v>
      </c>
      <c r="AL1591" s="25">
        <f>(B1591-DATE(1970,1,1))*86400</f>
        <v>1539820800</v>
      </c>
      <c r="AM1591" s="25">
        <f>(C1591-DATE(1970,1,1))*86400</f>
        <v>1540166400</v>
      </c>
      <c r="AN1591" s="25">
        <f>AVERAGE(AL1591:AM1591)</f>
        <v>1539993600</v>
      </c>
    </row>
    <row r="1592" spans="1:40" ht="15.75" customHeight="1" x14ac:dyDescent="0.2">
      <c r="A1592" s="284" t="s">
        <v>123</v>
      </c>
      <c r="B1592" s="20">
        <v>43391</v>
      </c>
      <c r="C1592" s="20">
        <v>43395</v>
      </c>
      <c r="D1592" s="19" t="s">
        <v>134</v>
      </c>
      <c r="E1592" s="332" t="s">
        <v>125</v>
      </c>
      <c r="F1592" s="19"/>
      <c r="G1592" s="19" t="s">
        <v>135</v>
      </c>
      <c r="H1592" s="382">
        <v>2000</v>
      </c>
      <c r="I1592" s="165">
        <v>55</v>
      </c>
      <c r="J1592" s="165">
        <v>8</v>
      </c>
      <c r="K1592" s="165">
        <v>18</v>
      </c>
      <c r="L1592" s="165">
        <v>3</v>
      </c>
      <c r="M1592" s="165">
        <v>7</v>
      </c>
      <c r="N1592" s="165"/>
      <c r="O1592" s="165">
        <v>1</v>
      </c>
      <c r="P1592" s="165">
        <v>2</v>
      </c>
      <c r="Q1592" s="165"/>
      <c r="R1592" s="22"/>
      <c r="S1592" s="165"/>
      <c r="T1592" s="165"/>
      <c r="U1592" s="165"/>
      <c r="V1592" s="165">
        <v>4</v>
      </c>
      <c r="W1592" s="165"/>
      <c r="X1592" s="165">
        <v>1</v>
      </c>
      <c r="Y1592" s="165"/>
      <c r="Z1592" s="165">
        <v>1</v>
      </c>
      <c r="AA1592" s="21">
        <v>0</v>
      </c>
      <c r="AB1592" s="23">
        <f>100/(SUM(I1592:Z1592))</f>
        <v>1</v>
      </c>
      <c r="AC1592" s="259">
        <f>SUM(I1592:AA1592)</f>
        <v>100</v>
      </c>
      <c r="AD1592" s="21"/>
      <c r="AE1592" s="21"/>
      <c r="AF1592" s="21"/>
      <c r="AG1592" s="25"/>
      <c r="AH1592" s="83" t="s">
        <v>1432</v>
      </c>
      <c r="AI1592" s="83" t="s">
        <v>1427</v>
      </c>
      <c r="AJ1592" s="19"/>
      <c r="AK1592" s="19"/>
      <c r="AL1592" s="25">
        <f>(B1592-DATE(1970,1,1))*86400</f>
        <v>1539820800</v>
      </c>
      <c r="AM1592" s="25">
        <f>(C1592-DATE(1970,1,1))*86400</f>
        <v>1540166400</v>
      </c>
      <c r="AN1592" s="25">
        <f>AVERAGE(AL1592:AM1592)</f>
        <v>1539993600</v>
      </c>
    </row>
    <row r="1593" spans="1:40" ht="15.75" customHeight="1" x14ac:dyDescent="0.2">
      <c r="A1593" s="279" t="s">
        <v>133</v>
      </c>
      <c r="B1593" s="160">
        <v>43383</v>
      </c>
      <c r="C1593" s="160">
        <v>43402</v>
      </c>
      <c r="D1593" s="13" t="s">
        <v>124</v>
      </c>
      <c r="E1593" s="324" t="s">
        <v>125</v>
      </c>
      <c r="F1593" s="13"/>
      <c r="G1593" s="13" t="s">
        <v>149</v>
      </c>
      <c r="H1593" s="372">
        <v>2000</v>
      </c>
      <c r="I1593" s="161">
        <v>38</v>
      </c>
      <c r="J1593" s="161"/>
      <c r="K1593" s="161">
        <v>10</v>
      </c>
      <c r="L1593" s="161">
        <v>2</v>
      </c>
      <c r="M1593" s="161">
        <v>4</v>
      </c>
      <c r="N1593" s="161"/>
      <c r="O1593" s="161"/>
      <c r="P1593" s="161">
        <v>2</v>
      </c>
      <c r="Q1593" s="161"/>
      <c r="R1593" s="161">
        <v>5</v>
      </c>
      <c r="S1593" s="161"/>
      <c r="T1593" s="161"/>
      <c r="U1593" s="161"/>
      <c r="V1593" s="161">
        <v>2</v>
      </c>
      <c r="W1593" s="161"/>
      <c r="X1593" s="161">
        <v>1</v>
      </c>
      <c r="Y1593" s="161"/>
      <c r="Z1593" s="166">
        <v>0.5</v>
      </c>
      <c r="AA1593" s="15">
        <v>35.5</v>
      </c>
      <c r="AB1593" s="16">
        <f>100/(SUM(I1593:Z1593))</f>
        <v>1.5503875968992249</v>
      </c>
      <c r="AC1593" s="259">
        <f>SUM(I1593:AA1593)</f>
        <v>100</v>
      </c>
      <c r="AD1593" s="15"/>
      <c r="AE1593" s="15"/>
      <c r="AF1593" s="15"/>
      <c r="AG1593" s="17"/>
      <c r="AH1593" s="18" t="s">
        <v>1433</v>
      </c>
      <c r="AI1593" s="18" t="s">
        <v>1403</v>
      </c>
      <c r="AJ1593" s="18" t="s">
        <v>1404</v>
      </c>
      <c r="AK1593" s="13" t="s">
        <v>1395</v>
      </c>
      <c r="AL1593" s="17">
        <f>(B1593-DATE(1970,1,1))*86400</f>
        <v>1539129600</v>
      </c>
      <c r="AM1593" s="17">
        <f>(C1593-DATE(1970,1,1))*86400</f>
        <v>1540771200</v>
      </c>
      <c r="AN1593" s="17">
        <f>AVERAGE(AL1593:AM1593)</f>
        <v>1539950400</v>
      </c>
    </row>
    <row r="1594" spans="1:40" ht="15.75" customHeight="1" x14ac:dyDescent="0.2">
      <c r="A1594" s="279" t="s">
        <v>123</v>
      </c>
      <c r="B1594" s="160">
        <v>43383</v>
      </c>
      <c r="C1594" s="160">
        <v>43402</v>
      </c>
      <c r="D1594" s="13" t="s">
        <v>124</v>
      </c>
      <c r="E1594" s="324" t="s">
        <v>125</v>
      </c>
      <c r="F1594" s="13"/>
      <c r="G1594" s="13" t="s">
        <v>149</v>
      </c>
      <c r="H1594" s="372">
        <v>2000</v>
      </c>
      <c r="I1594" s="161">
        <v>51</v>
      </c>
      <c r="J1594" s="161"/>
      <c r="K1594" s="161">
        <v>17</v>
      </c>
      <c r="L1594" s="161">
        <v>4</v>
      </c>
      <c r="M1594" s="161">
        <v>8</v>
      </c>
      <c r="N1594" s="161"/>
      <c r="O1594" s="161"/>
      <c r="P1594" s="161">
        <v>4</v>
      </c>
      <c r="Q1594" s="161"/>
      <c r="R1594" s="161">
        <v>10</v>
      </c>
      <c r="S1594" s="161"/>
      <c r="T1594" s="161"/>
      <c r="U1594" s="161"/>
      <c r="V1594" s="161">
        <v>4</v>
      </c>
      <c r="W1594" s="161"/>
      <c r="X1594" s="161">
        <v>1</v>
      </c>
      <c r="Y1594" s="161"/>
      <c r="Z1594" s="173">
        <v>1</v>
      </c>
      <c r="AA1594" s="15">
        <v>0</v>
      </c>
      <c r="AB1594" s="16">
        <f>100/(SUM(I1594:Z1594))</f>
        <v>1</v>
      </c>
      <c r="AC1594" s="259">
        <f>SUM(I1594:AA1594)</f>
        <v>100</v>
      </c>
      <c r="AD1594" s="15"/>
      <c r="AE1594" s="15"/>
      <c r="AF1594" s="15"/>
      <c r="AG1594" s="17"/>
      <c r="AH1594" s="18" t="s">
        <v>1433</v>
      </c>
      <c r="AI1594" s="13"/>
      <c r="AJ1594" s="13"/>
      <c r="AK1594" s="13"/>
      <c r="AL1594" s="17">
        <f>(B1594-DATE(1970,1,1))*86400</f>
        <v>1539129600</v>
      </c>
      <c r="AM1594" s="17">
        <f>(C1594-DATE(1970,1,1))*86400</f>
        <v>1540771200</v>
      </c>
      <c r="AN1594" s="17">
        <f>AVERAGE(AL1594:AM1594)</f>
        <v>1539950400</v>
      </c>
    </row>
    <row r="1595" spans="1:40" ht="15.75" customHeight="1" x14ac:dyDescent="0.2">
      <c r="A1595" s="286" t="s">
        <v>133</v>
      </c>
      <c r="B1595" s="41">
        <v>43385</v>
      </c>
      <c r="C1595" s="41">
        <v>43394</v>
      </c>
      <c r="D1595" s="40" t="s">
        <v>148</v>
      </c>
      <c r="E1595" s="325" t="s">
        <v>125</v>
      </c>
      <c r="F1595" s="40"/>
      <c r="G1595" s="40" t="s">
        <v>149</v>
      </c>
      <c r="H1595" s="381">
        <v>1000</v>
      </c>
      <c r="I1595" s="42">
        <v>35.5</v>
      </c>
      <c r="J1595" s="42"/>
      <c r="K1595" s="42">
        <v>8.4</v>
      </c>
      <c r="L1595" s="42">
        <v>2.2999999999999998</v>
      </c>
      <c r="M1595" s="42">
        <v>5</v>
      </c>
      <c r="N1595" s="42"/>
      <c r="O1595" s="42"/>
      <c r="P1595" s="42">
        <v>2.4</v>
      </c>
      <c r="Q1595" s="42"/>
      <c r="R1595" s="43">
        <v>8</v>
      </c>
      <c r="S1595" s="42"/>
      <c r="T1595" s="42"/>
      <c r="U1595" s="42"/>
      <c r="V1595" s="42">
        <v>1.6</v>
      </c>
      <c r="W1595" s="42"/>
      <c r="X1595" s="42">
        <v>0.9</v>
      </c>
      <c r="Y1595" s="42"/>
      <c r="Z1595" s="42">
        <v>1.6</v>
      </c>
      <c r="AA1595" s="42">
        <v>34.299999999999997</v>
      </c>
      <c r="AB1595" s="44">
        <f>100/(SUM(I1595:Z1595))</f>
        <v>1.5220700152207005</v>
      </c>
      <c r="AC1595" s="259">
        <f>SUM(I1595:AA1595)</f>
        <v>99.999999999999986</v>
      </c>
      <c r="AD1595" s="42"/>
      <c r="AE1595" s="42"/>
      <c r="AF1595" s="42"/>
      <c r="AG1595" s="45"/>
      <c r="AH1595" s="40" t="s">
        <v>1383</v>
      </c>
      <c r="AI1595" s="132" t="s">
        <v>1420</v>
      </c>
      <c r="AJ1595" s="132" t="s">
        <v>1434</v>
      </c>
      <c r="AK1595" s="40"/>
      <c r="AL1595" s="45">
        <f>(B1595-DATE(1970,1,1))*86400</f>
        <v>1539302400</v>
      </c>
      <c r="AM1595" s="45">
        <f>(C1595-DATE(1970,1,1))*86400</f>
        <v>1540080000</v>
      </c>
      <c r="AN1595" s="45">
        <f>AVERAGE(AL1595:AM1595)</f>
        <v>1539691200</v>
      </c>
    </row>
    <row r="1596" spans="1:40" ht="15.75" customHeight="1" x14ac:dyDescent="0.2">
      <c r="A1596" s="286" t="s">
        <v>123</v>
      </c>
      <c r="B1596" s="41">
        <v>43385</v>
      </c>
      <c r="C1596" s="41">
        <v>43394</v>
      </c>
      <c r="D1596" s="40" t="s">
        <v>148</v>
      </c>
      <c r="E1596" s="325" t="s">
        <v>125</v>
      </c>
      <c r="F1596" s="40"/>
      <c r="G1596" s="40" t="s">
        <v>149</v>
      </c>
      <c r="H1596" s="381">
        <v>1000</v>
      </c>
      <c r="I1596" s="43">
        <v>56.8</v>
      </c>
      <c r="J1596" s="43"/>
      <c r="K1596" s="42">
        <v>11.7</v>
      </c>
      <c r="L1596" s="42">
        <v>2.9</v>
      </c>
      <c r="M1596" s="42">
        <v>7.3</v>
      </c>
      <c r="N1596" s="42"/>
      <c r="O1596" s="42"/>
      <c r="P1596" s="42">
        <v>4.3</v>
      </c>
      <c r="Q1596" s="42"/>
      <c r="R1596" s="43">
        <v>13.1</v>
      </c>
      <c r="S1596" s="42"/>
      <c r="T1596" s="42"/>
      <c r="U1596" s="42"/>
      <c r="V1596" s="42">
        <v>1.6</v>
      </c>
      <c r="W1596" s="42"/>
      <c r="X1596" s="42">
        <v>1</v>
      </c>
      <c r="Y1596" s="42"/>
      <c r="Z1596" s="42">
        <v>1.3</v>
      </c>
      <c r="AA1596" s="42">
        <v>0</v>
      </c>
      <c r="AB1596" s="44">
        <f>100/(SUM(I1596:Z1596))</f>
        <v>1.0000000000000002</v>
      </c>
      <c r="AC1596" s="259">
        <f>SUM(I1596:AA1596)</f>
        <v>99.999999999999986</v>
      </c>
      <c r="AD1596" s="42"/>
      <c r="AE1596" s="42"/>
      <c r="AF1596" s="42"/>
      <c r="AG1596" s="45"/>
      <c r="AH1596" s="40" t="s">
        <v>1383</v>
      </c>
      <c r="AI1596" s="132" t="s">
        <v>1420</v>
      </c>
      <c r="AJ1596" s="132" t="s">
        <v>1434</v>
      </c>
      <c r="AK1596" s="40"/>
      <c r="AL1596" s="45">
        <f>(B1596-DATE(1970,1,1))*86400</f>
        <v>1539302400</v>
      </c>
      <c r="AM1596" s="45">
        <f>(C1596-DATE(1970,1,1))*86400</f>
        <v>1540080000</v>
      </c>
      <c r="AN1596" s="45">
        <f>AVERAGE(AL1596:AM1596)</f>
        <v>1539691200</v>
      </c>
    </row>
    <row r="1597" spans="1:40" ht="15.75" customHeight="1" x14ac:dyDescent="0.2">
      <c r="A1597" s="449" t="s">
        <v>133</v>
      </c>
      <c r="B1597" s="460">
        <v>43385</v>
      </c>
      <c r="C1597" s="462">
        <v>43390</v>
      </c>
      <c r="D1597" s="451" t="s">
        <v>143</v>
      </c>
      <c r="E1597" s="452" t="s">
        <v>125</v>
      </c>
      <c r="F1597" s="451"/>
      <c r="G1597" s="451" t="s">
        <v>149</v>
      </c>
      <c r="H1597" s="454">
        <v>1200</v>
      </c>
      <c r="I1597" s="463">
        <v>45</v>
      </c>
      <c r="J1597" s="463">
        <v>6</v>
      </c>
      <c r="K1597" s="463">
        <v>8</v>
      </c>
      <c r="L1597" s="463">
        <v>2</v>
      </c>
      <c r="M1597" s="463">
        <v>5</v>
      </c>
      <c r="N1597" s="463"/>
      <c r="O1597" s="463">
        <v>1</v>
      </c>
      <c r="P1597" s="463">
        <v>3</v>
      </c>
      <c r="Q1597" s="463"/>
      <c r="R1597" s="456"/>
      <c r="S1597" s="463"/>
      <c r="T1597" s="463"/>
      <c r="U1597" s="463"/>
      <c r="V1597" s="463">
        <v>1</v>
      </c>
      <c r="W1597" s="463"/>
      <c r="X1597" s="463">
        <v>1</v>
      </c>
      <c r="Y1597" s="463"/>
      <c r="Z1597" s="463">
        <v>1</v>
      </c>
      <c r="AA1597" s="455">
        <v>27</v>
      </c>
      <c r="AB1597" s="457">
        <f>100/(SUM(I1597:Z1597))</f>
        <v>1.3698630136986301</v>
      </c>
      <c r="AC1597" s="432">
        <f>SUM(I1597:AA1597)</f>
        <v>100</v>
      </c>
      <c r="AD1597" s="455">
        <v>56</v>
      </c>
      <c r="AE1597" s="455"/>
      <c r="AF1597" s="455"/>
      <c r="AG1597" s="459"/>
      <c r="AH1597" s="451" t="s">
        <v>1183</v>
      </c>
      <c r="AI1597" s="458" t="s">
        <v>1435</v>
      </c>
      <c r="AJ1597" s="451"/>
      <c r="AK1597" s="451"/>
      <c r="AL1597" s="459">
        <f>(B1597-DATE(1970,1,1))*86400</f>
        <v>1539302400</v>
      </c>
      <c r="AM1597" s="459">
        <f>(C1597-DATE(1970,1,1))*86400</f>
        <v>1539734400</v>
      </c>
      <c r="AN1597" s="459">
        <f>AVERAGE(AL1597:AM1597)</f>
        <v>1539518400</v>
      </c>
    </row>
    <row r="1598" spans="1:40" ht="15.75" customHeight="1" x14ac:dyDescent="0.2">
      <c r="A1598" s="449" t="s">
        <v>133</v>
      </c>
      <c r="B1598" s="460">
        <v>43385</v>
      </c>
      <c r="C1598" s="462">
        <v>43390</v>
      </c>
      <c r="D1598" s="451" t="s">
        <v>143</v>
      </c>
      <c r="E1598" s="452" t="s">
        <v>125</v>
      </c>
      <c r="F1598" s="451"/>
      <c r="G1598" s="451" t="s">
        <v>149</v>
      </c>
      <c r="H1598" s="454">
        <v>1200</v>
      </c>
      <c r="I1598" s="463">
        <v>61</v>
      </c>
      <c r="J1598" s="463">
        <v>8</v>
      </c>
      <c r="K1598" s="463">
        <v>11</v>
      </c>
      <c r="L1598" s="463">
        <v>3</v>
      </c>
      <c r="M1598" s="463">
        <v>7</v>
      </c>
      <c r="N1598" s="463"/>
      <c r="O1598" s="463">
        <v>1</v>
      </c>
      <c r="P1598" s="463">
        <v>4</v>
      </c>
      <c r="Q1598" s="463"/>
      <c r="R1598" s="456"/>
      <c r="S1598" s="463"/>
      <c r="T1598" s="463"/>
      <c r="U1598" s="463"/>
      <c r="V1598" s="463">
        <v>2</v>
      </c>
      <c r="W1598" s="463"/>
      <c r="X1598" s="463">
        <v>1</v>
      </c>
      <c r="Y1598" s="463"/>
      <c r="Z1598" s="463">
        <v>1</v>
      </c>
      <c r="AA1598" s="455">
        <v>0</v>
      </c>
      <c r="AB1598" s="457">
        <f>100/(SUM(I1598:Z1598))</f>
        <v>1.0101010101010102</v>
      </c>
      <c r="AC1598" s="432">
        <f>SUM(I1598:AA1598)</f>
        <v>99</v>
      </c>
      <c r="AD1598" s="455"/>
      <c r="AE1598" s="455"/>
      <c r="AF1598" s="455"/>
      <c r="AG1598" s="459"/>
      <c r="AH1598" s="451" t="s">
        <v>1183</v>
      </c>
      <c r="AI1598" s="458" t="s">
        <v>1435</v>
      </c>
      <c r="AJ1598" s="451"/>
      <c r="AK1598" s="451"/>
      <c r="AL1598" s="459">
        <f>(B1598-DATE(1970,1,1))*86400</f>
        <v>1539302400</v>
      </c>
      <c r="AM1598" s="459">
        <f>(C1598-DATE(1970,1,1))*86400</f>
        <v>1539734400</v>
      </c>
      <c r="AN1598" s="459">
        <f>AVERAGE(AL1598:AM1598)</f>
        <v>1539518400</v>
      </c>
    </row>
    <row r="1599" spans="1:40" ht="15.75" customHeight="1" x14ac:dyDescent="0.2">
      <c r="A1599" s="449" t="s">
        <v>123</v>
      </c>
      <c r="B1599" s="460">
        <v>43385</v>
      </c>
      <c r="C1599" s="462">
        <v>43390</v>
      </c>
      <c r="D1599" s="451" t="s">
        <v>143</v>
      </c>
      <c r="E1599" s="452" t="s">
        <v>125</v>
      </c>
      <c r="F1599" s="451"/>
      <c r="G1599" s="451" t="s">
        <v>149</v>
      </c>
      <c r="H1599" s="454">
        <v>1200</v>
      </c>
      <c r="I1599" s="463">
        <v>63</v>
      </c>
      <c r="J1599" s="463">
        <v>8</v>
      </c>
      <c r="K1599" s="463">
        <v>11</v>
      </c>
      <c r="L1599" s="463">
        <v>2</v>
      </c>
      <c r="M1599" s="463">
        <v>9</v>
      </c>
      <c r="N1599" s="463"/>
      <c r="O1599" s="463">
        <v>1</v>
      </c>
      <c r="P1599" s="463">
        <v>3</v>
      </c>
      <c r="Q1599" s="463"/>
      <c r="R1599" s="456"/>
      <c r="S1599" s="463"/>
      <c r="T1599" s="463"/>
      <c r="U1599" s="463"/>
      <c r="V1599" s="463">
        <v>1</v>
      </c>
      <c r="W1599" s="463"/>
      <c r="X1599" s="463">
        <v>1</v>
      </c>
      <c r="Y1599" s="463"/>
      <c r="Z1599" s="463">
        <v>1</v>
      </c>
      <c r="AA1599" s="455">
        <v>0</v>
      </c>
      <c r="AB1599" s="457">
        <f>100/(SUM(I1599:Z1599))</f>
        <v>1</v>
      </c>
      <c r="AC1599" s="432">
        <f>SUM(I1599:AA1599)</f>
        <v>100</v>
      </c>
      <c r="AD1599" s="455"/>
      <c r="AE1599" s="455"/>
      <c r="AF1599" s="455"/>
      <c r="AG1599" s="459"/>
      <c r="AH1599" s="451" t="s">
        <v>1183</v>
      </c>
      <c r="AI1599" s="458" t="s">
        <v>1435</v>
      </c>
      <c r="AJ1599" s="451"/>
      <c r="AK1599" s="451"/>
      <c r="AL1599" s="459">
        <f>(B1599-DATE(1970,1,1))*86400</f>
        <v>1539302400</v>
      </c>
      <c r="AM1599" s="459">
        <f>(C1599-DATE(1970,1,1))*86400</f>
        <v>1539734400</v>
      </c>
      <c r="AN1599" s="459">
        <f>AVERAGE(AL1599:AM1599)</f>
        <v>1539518400</v>
      </c>
    </row>
    <row r="1600" spans="1:40" ht="15.75" customHeight="1" x14ac:dyDescent="0.2">
      <c r="A1600" s="281" t="s">
        <v>133</v>
      </c>
      <c r="B1600" s="54">
        <v>43384</v>
      </c>
      <c r="C1600" s="54">
        <v>43390</v>
      </c>
      <c r="D1600" s="53" t="s">
        <v>154</v>
      </c>
      <c r="E1600" s="323" t="s">
        <v>125</v>
      </c>
      <c r="F1600" s="53"/>
      <c r="G1600" s="171" t="s">
        <v>126</v>
      </c>
      <c r="H1600" s="384">
        <v>1007</v>
      </c>
      <c r="I1600" s="172">
        <v>24</v>
      </c>
      <c r="J1600" s="172"/>
      <c r="K1600" s="172">
        <v>9</v>
      </c>
      <c r="L1600" s="172">
        <v>2</v>
      </c>
      <c r="M1600" s="172">
        <v>3</v>
      </c>
      <c r="N1600" s="172"/>
      <c r="O1600" s="172"/>
      <c r="P1600" s="172">
        <v>1</v>
      </c>
      <c r="Q1600" s="172"/>
      <c r="R1600" s="172">
        <v>9</v>
      </c>
      <c r="S1600" s="172"/>
      <c r="T1600" s="172"/>
      <c r="U1600" s="172"/>
      <c r="V1600" s="172">
        <v>2</v>
      </c>
      <c r="W1600" s="172"/>
      <c r="X1600" s="172">
        <v>1</v>
      </c>
      <c r="Y1600" s="172"/>
      <c r="Z1600" s="172">
        <v>2</v>
      </c>
      <c r="AA1600" s="55">
        <v>47</v>
      </c>
      <c r="AB1600" s="57">
        <f>100/(SUM(I1600:Z1600))</f>
        <v>1.8867924528301887</v>
      </c>
      <c r="AC1600" s="259">
        <f>SUM(I1600:AA1600)</f>
        <v>100</v>
      </c>
      <c r="AD1600" s="55"/>
      <c r="AE1600" s="55"/>
      <c r="AF1600" s="55"/>
      <c r="AG1600" s="58"/>
      <c r="AH1600" s="59" t="s">
        <v>1436</v>
      </c>
      <c r="AI1600" s="59" t="s">
        <v>1437</v>
      </c>
      <c r="AJ1600" s="53"/>
      <c r="AK1600" s="53"/>
      <c r="AL1600" s="58">
        <f>(B1600-DATE(1970,1,1))*86400</f>
        <v>1539216000</v>
      </c>
      <c r="AM1600" s="58">
        <f>(C1600-DATE(1970,1,1))*86400</f>
        <v>1539734400</v>
      </c>
      <c r="AN1600" s="58">
        <f>AVERAGE(AL1600:AM1600)</f>
        <v>1539475200</v>
      </c>
    </row>
    <row r="1601" spans="1:40" ht="15.75" customHeight="1" x14ac:dyDescent="0.2">
      <c r="A1601" s="281" t="s">
        <v>123</v>
      </c>
      <c r="B1601" s="54">
        <v>43384</v>
      </c>
      <c r="C1601" s="54">
        <v>43390</v>
      </c>
      <c r="D1601" s="53" t="s">
        <v>154</v>
      </c>
      <c r="E1601" s="323" t="s">
        <v>125</v>
      </c>
      <c r="F1601" s="53"/>
      <c r="G1601" s="171" t="s">
        <v>126</v>
      </c>
      <c r="H1601" s="384">
        <v>1007</v>
      </c>
      <c r="I1601" s="172">
        <v>52</v>
      </c>
      <c r="J1601" s="172"/>
      <c r="K1601" s="172">
        <v>14</v>
      </c>
      <c r="L1601" s="172">
        <v>4</v>
      </c>
      <c r="M1601" s="172">
        <v>5</v>
      </c>
      <c r="N1601" s="172"/>
      <c r="O1601" s="172"/>
      <c r="P1601" s="172">
        <v>2</v>
      </c>
      <c r="Q1601" s="172"/>
      <c r="R1601" s="172">
        <v>15</v>
      </c>
      <c r="S1601" s="172"/>
      <c r="T1601" s="172"/>
      <c r="U1601" s="172"/>
      <c r="V1601" s="172">
        <v>3</v>
      </c>
      <c r="W1601" s="172"/>
      <c r="X1601" s="172">
        <v>1</v>
      </c>
      <c r="Y1601" s="172"/>
      <c r="Z1601" s="172">
        <v>3</v>
      </c>
      <c r="AA1601" s="55">
        <v>0</v>
      </c>
      <c r="AB1601" s="57">
        <f>100/(SUM(I1601:Z1601))</f>
        <v>1.0101010101010102</v>
      </c>
      <c r="AC1601" s="259">
        <f>SUM(I1601:AA1601)</f>
        <v>99</v>
      </c>
      <c r="AD1601" s="55"/>
      <c r="AE1601" s="55"/>
      <c r="AF1601" s="55"/>
      <c r="AG1601" s="58"/>
      <c r="AH1601" s="59" t="s">
        <v>1436</v>
      </c>
      <c r="AI1601" s="59" t="s">
        <v>1437</v>
      </c>
      <c r="AJ1601" s="53"/>
      <c r="AK1601" s="53"/>
      <c r="AL1601" s="58">
        <f>(B1601-DATE(1970,1,1))*86400</f>
        <v>1539216000</v>
      </c>
      <c r="AM1601" s="58">
        <f>(C1601-DATE(1970,1,1))*86400</f>
        <v>1539734400</v>
      </c>
      <c r="AN1601" s="58">
        <f>AVERAGE(AL1601:AM1601)</f>
        <v>1539475200</v>
      </c>
    </row>
    <row r="1602" spans="1:40" ht="15.75" customHeight="1" x14ac:dyDescent="0.2">
      <c r="A1602" s="302" t="s">
        <v>123</v>
      </c>
      <c r="B1602" s="254">
        <v>43376</v>
      </c>
      <c r="C1602" s="254">
        <v>43376</v>
      </c>
      <c r="D1602" s="262" t="s">
        <v>2445</v>
      </c>
      <c r="E1602" s="322" t="s">
        <v>184</v>
      </c>
      <c r="F1602" s="121" t="s">
        <v>2007</v>
      </c>
      <c r="G1602" s="262" t="s">
        <v>244</v>
      </c>
      <c r="H1602" s="379">
        <v>500</v>
      </c>
      <c r="I1602" s="123">
        <v>58</v>
      </c>
      <c r="J1602" s="123">
        <v>11</v>
      </c>
      <c r="K1602" s="123">
        <v>16</v>
      </c>
      <c r="L1602" s="123">
        <v>5</v>
      </c>
      <c r="M1602" s="123">
        <v>4</v>
      </c>
      <c r="N1602" s="123"/>
      <c r="O1602" s="123"/>
      <c r="P1602" s="123">
        <v>2</v>
      </c>
      <c r="Q1602" s="123"/>
      <c r="R1602" s="124"/>
      <c r="S1602" s="123"/>
      <c r="T1602" s="123"/>
      <c r="U1602" s="123"/>
      <c r="V1602" s="123"/>
      <c r="W1602" s="123"/>
      <c r="X1602" s="123">
        <v>2</v>
      </c>
      <c r="Y1602" s="123"/>
      <c r="Z1602" s="124">
        <v>2</v>
      </c>
      <c r="AA1602" s="123">
        <v>0</v>
      </c>
      <c r="AB1602" s="125">
        <f>100/(SUM(I1602:Z1602))</f>
        <v>1</v>
      </c>
      <c r="AC1602" s="259">
        <f>SUM(I1602:AA1602)</f>
        <v>100</v>
      </c>
      <c r="AD1602" s="123"/>
      <c r="AE1602" s="123"/>
      <c r="AF1602" s="123"/>
      <c r="AG1602" s="263" t="s">
        <v>719</v>
      </c>
      <c r="AH1602" s="253"/>
      <c r="AI1602" s="253" t="s">
        <v>2001</v>
      </c>
      <c r="AJ1602" s="127"/>
      <c r="AK1602" s="121" t="s">
        <v>2002</v>
      </c>
      <c r="AL1602" s="126">
        <f>(B1602-DATE(1970,1,1))*86400</f>
        <v>1538524800</v>
      </c>
      <c r="AM1602" s="126">
        <f>(C1602-DATE(1970,1,1))*86400</f>
        <v>1538524800</v>
      </c>
      <c r="AN1602" s="126">
        <f>AVERAGE(AL1602:AM1602)</f>
        <v>1538524800</v>
      </c>
    </row>
    <row r="1603" spans="1:40" ht="15.75" customHeight="1" x14ac:dyDescent="0.2">
      <c r="A1603" s="281" t="s">
        <v>123</v>
      </c>
      <c r="B1603" s="167">
        <v>43355</v>
      </c>
      <c r="C1603" s="167">
        <v>43362</v>
      </c>
      <c r="D1603" s="53" t="s">
        <v>154</v>
      </c>
      <c r="E1603" s="323" t="s">
        <v>125</v>
      </c>
      <c r="F1603" s="53"/>
      <c r="G1603" s="53" t="s">
        <v>126</v>
      </c>
      <c r="H1603" s="384">
        <v>1001</v>
      </c>
      <c r="I1603" s="172">
        <v>53</v>
      </c>
      <c r="J1603" s="172"/>
      <c r="K1603" s="172">
        <v>14</v>
      </c>
      <c r="L1603" s="172">
        <v>5</v>
      </c>
      <c r="M1603" s="172">
        <v>5</v>
      </c>
      <c r="N1603" s="172"/>
      <c r="O1603" s="172"/>
      <c r="P1603" s="172">
        <v>2</v>
      </c>
      <c r="Q1603" s="172"/>
      <c r="R1603" s="172">
        <v>15</v>
      </c>
      <c r="S1603" s="172"/>
      <c r="T1603" s="172"/>
      <c r="U1603" s="172"/>
      <c r="V1603" s="172">
        <v>3</v>
      </c>
      <c r="W1603" s="172"/>
      <c r="X1603" s="172">
        <v>0</v>
      </c>
      <c r="Y1603" s="172"/>
      <c r="Z1603" s="172">
        <v>3</v>
      </c>
      <c r="AA1603" s="55">
        <v>0</v>
      </c>
      <c r="AB1603" s="57">
        <f>100/(SUM(I1603:Z1603))</f>
        <v>1</v>
      </c>
      <c r="AC1603" s="259">
        <f>SUM(I1603:AA1603)</f>
        <v>100</v>
      </c>
      <c r="AD1603" s="55"/>
      <c r="AE1603" s="55"/>
      <c r="AF1603" s="55"/>
      <c r="AG1603" s="58"/>
      <c r="AH1603" s="59" t="s">
        <v>1438</v>
      </c>
      <c r="AI1603" s="53"/>
      <c r="AJ1603" s="53"/>
      <c r="AK1603" s="53"/>
      <c r="AL1603" s="58">
        <f>(B1603-DATE(1970,1,1))*86400</f>
        <v>1536710400</v>
      </c>
      <c r="AM1603" s="58">
        <f>(C1603-DATE(1970,1,1))*86400</f>
        <v>1537315200</v>
      </c>
      <c r="AN1603" s="58">
        <f>AVERAGE(AL1603:AM1603)</f>
        <v>1537012800</v>
      </c>
    </row>
    <row r="1604" spans="1:40" ht="15.75" customHeight="1" x14ac:dyDescent="0.2">
      <c r="A1604" s="281" t="s">
        <v>133</v>
      </c>
      <c r="B1604" s="167">
        <v>43355</v>
      </c>
      <c r="C1604" s="167">
        <v>43361</v>
      </c>
      <c r="D1604" s="53" t="s">
        <v>154</v>
      </c>
      <c r="E1604" s="323" t="s">
        <v>125</v>
      </c>
      <c r="F1604" s="53"/>
      <c r="G1604" s="53" t="s">
        <v>126</v>
      </c>
      <c r="H1604" s="384">
        <v>1001</v>
      </c>
      <c r="I1604" s="172">
        <v>26</v>
      </c>
      <c r="J1604" s="172"/>
      <c r="K1604" s="172">
        <v>9</v>
      </c>
      <c r="L1604" s="172">
        <v>3</v>
      </c>
      <c r="M1604" s="172">
        <v>3</v>
      </c>
      <c r="N1604" s="172"/>
      <c r="O1604" s="172"/>
      <c r="P1604" s="172">
        <v>1</v>
      </c>
      <c r="Q1604" s="172"/>
      <c r="R1604" s="172">
        <v>9</v>
      </c>
      <c r="S1604" s="172"/>
      <c r="T1604" s="172"/>
      <c r="U1604" s="172"/>
      <c r="V1604" s="172">
        <v>2</v>
      </c>
      <c r="W1604" s="172"/>
      <c r="X1604" s="172">
        <v>0</v>
      </c>
      <c r="Y1604" s="172"/>
      <c r="Z1604" s="172">
        <v>1</v>
      </c>
      <c r="AA1604" s="55">
        <v>45</v>
      </c>
      <c r="AB1604" s="57">
        <f>100/(SUM(I1604:Z1604))</f>
        <v>1.8518518518518519</v>
      </c>
      <c r="AC1604" s="259">
        <f>SUM(I1604:AA1604)</f>
        <v>99</v>
      </c>
      <c r="AD1604" s="55"/>
      <c r="AE1604" s="55"/>
      <c r="AF1604" s="55"/>
      <c r="AG1604" s="58"/>
      <c r="AH1604" s="59" t="s">
        <v>1438</v>
      </c>
      <c r="AI1604" s="53"/>
      <c r="AJ1604" s="53"/>
      <c r="AK1604" s="53"/>
      <c r="AL1604" s="58">
        <f>(B1604-DATE(1970,1,1))*86400</f>
        <v>1536710400</v>
      </c>
      <c r="AM1604" s="58">
        <f>(C1604-DATE(1970,1,1))*86400</f>
        <v>1537228800</v>
      </c>
      <c r="AN1604" s="58">
        <f>AVERAGE(AL1604:AM1604)</f>
        <v>1536969600</v>
      </c>
    </row>
    <row r="1605" spans="1:40" ht="15.75" customHeight="1" x14ac:dyDescent="0.2">
      <c r="A1605" s="286" t="s">
        <v>133</v>
      </c>
      <c r="B1605" s="41">
        <v>43354</v>
      </c>
      <c r="C1605" s="41">
        <v>43362</v>
      </c>
      <c r="D1605" s="40" t="s">
        <v>148</v>
      </c>
      <c r="E1605" s="325" t="s">
        <v>125</v>
      </c>
      <c r="F1605" s="40"/>
      <c r="G1605" s="40" t="s">
        <v>149</v>
      </c>
      <c r="H1605" s="381">
        <v>1000</v>
      </c>
      <c r="I1605" s="42">
        <v>35.4</v>
      </c>
      <c r="J1605" s="42"/>
      <c r="K1605" s="42">
        <v>9.6999999999999993</v>
      </c>
      <c r="L1605" s="42">
        <v>3.4</v>
      </c>
      <c r="M1605" s="42">
        <v>4.0999999999999996</v>
      </c>
      <c r="N1605" s="42"/>
      <c r="O1605" s="42"/>
      <c r="P1605" s="42">
        <v>2</v>
      </c>
      <c r="Q1605" s="42"/>
      <c r="R1605" s="43">
        <v>7.5</v>
      </c>
      <c r="S1605" s="42"/>
      <c r="T1605" s="42"/>
      <c r="U1605" s="42"/>
      <c r="V1605" s="42">
        <v>2.4</v>
      </c>
      <c r="W1605" s="42"/>
      <c r="X1605" s="42">
        <v>0.9</v>
      </c>
      <c r="Y1605" s="42"/>
      <c r="Z1605" s="42">
        <v>0.6</v>
      </c>
      <c r="AA1605" s="42">
        <v>34</v>
      </c>
      <c r="AB1605" s="44">
        <f>100/(SUM(I1605:Z1605))</f>
        <v>1.5151515151515151</v>
      </c>
      <c r="AC1605" s="259">
        <f>SUM(I1605:AA1605)</f>
        <v>100</v>
      </c>
      <c r="AD1605" s="42"/>
      <c r="AE1605" s="42"/>
      <c r="AF1605" s="42"/>
      <c r="AG1605" s="45"/>
      <c r="AH1605" s="40" t="s">
        <v>1383</v>
      </c>
      <c r="AI1605" s="132" t="s">
        <v>1420</v>
      </c>
      <c r="AJ1605" s="132" t="s">
        <v>1439</v>
      </c>
      <c r="AK1605" s="40"/>
      <c r="AL1605" s="45">
        <f>(B1605-DATE(1970,1,1))*86400</f>
        <v>1536624000</v>
      </c>
      <c r="AM1605" s="45">
        <f>(C1605-DATE(1970,1,1))*86400</f>
        <v>1537315200</v>
      </c>
      <c r="AN1605" s="45">
        <f>AVERAGE(AL1605:AM1605)</f>
        <v>1536969600</v>
      </c>
    </row>
    <row r="1606" spans="1:40" ht="15.75" customHeight="1" x14ac:dyDescent="0.2">
      <c r="A1606" s="286" t="s">
        <v>123</v>
      </c>
      <c r="B1606" s="41">
        <v>43354</v>
      </c>
      <c r="C1606" s="41">
        <v>43362</v>
      </c>
      <c r="D1606" s="40" t="s">
        <v>148</v>
      </c>
      <c r="E1606" s="325" t="s">
        <v>125</v>
      </c>
      <c r="F1606" s="40"/>
      <c r="G1606" s="40" t="s">
        <v>149</v>
      </c>
      <c r="H1606" s="381">
        <v>1000</v>
      </c>
      <c r="I1606" s="43">
        <v>56.9</v>
      </c>
      <c r="J1606" s="43"/>
      <c r="K1606" s="42">
        <v>13.7</v>
      </c>
      <c r="L1606" s="42">
        <v>4.2</v>
      </c>
      <c r="M1606" s="42">
        <v>6.6</v>
      </c>
      <c r="N1606" s="42"/>
      <c r="O1606" s="42"/>
      <c r="P1606" s="42">
        <v>3</v>
      </c>
      <c r="Q1606" s="42"/>
      <c r="R1606" s="43">
        <v>11.8</v>
      </c>
      <c r="S1606" s="42"/>
      <c r="T1606" s="42"/>
      <c r="U1606" s="42"/>
      <c r="V1606" s="42">
        <v>1.9</v>
      </c>
      <c r="W1606" s="42"/>
      <c r="X1606" s="42">
        <v>1.9</v>
      </c>
      <c r="Y1606" s="42"/>
      <c r="Z1606" s="42">
        <v>0</v>
      </c>
      <c r="AA1606" s="42">
        <v>0</v>
      </c>
      <c r="AB1606" s="44">
        <f>100/(SUM(I1606:Z1606))</f>
        <v>1</v>
      </c>
      <c r="AC1606" s="259">
        <f>SUM(I1606:AA1606)</f>
        <v>100</v>
      </c>
      <c r="AD1606" s="42"/>
      <c r="AE1606" s="42"/>
      <c r="AF1606" s="42"/>
      <c r="AG1606" s="45"/>
      <c r="AH1606" s="40" t="s">
        <v>1383</v>
      </c>
      <c r="AI1606" s="132" t="s">
        <v>1420</v>
      </c>
      <c r="AJ1606" s="132" t="s">
        <v>1439</v>
      </c>
      <c r="AK1606" s="40"/>
      <c r="AL1606" s="45">
        <f>(B1606-DATE(1970,1,1))*86400</f>
        <v>1536624000</v>
      </c>
      <c r="AM1606" s="45">
        <f>(C1606-DATE(1970,1,1))*86400</f>
        <v>1537315200</v>
      </c>
      <c r="AN1606" s="45">
        <f>AVERAGE(AL1606:AM1606)</f>
        <v>1536969600</v>
      </c>
    </row>
    <row r="1607" spans="1:40" ht="15.75" customHeight="1" x14ac:dyDescent="0.2">
      <c r="A1607" s="449" t="s">
        <v>133</v>
      </c>
      <c r="B1607" s="460">
        <v>43355</v>
      </c>
      <c r="C1607" s="462">
        <v>43360</v>
      </c>
      <c r="D1607" s="451" t="s">
        <v>143</v>
      </c>
      <c r="E1607" s="452" t="s">
        <v>125</v>
      </c>
      <c r="F1607" s="451"/>
      <c r="G1607" s="451" t="s">
        <v>149</v>
      </c>
      <c r="H1607" s="454">
        <v>1200</v>
      </c>
      <c r="I1607" s="463">
        <v>37</v>
      </c>
      <c r="J1607" s="463"/>
      <c r="K1607" s="463">
        <v>9</v>
      </c>
      <c r="L1607" s="463">
        <v>3</v>
      </c>
      <c r="M1607" s="463">
        <v>6</v>
      </c>
      <c r="N1607" s="463"/>
      <c r="O1607" s="463"/>
      <c r="P1607" s="463">
        <v>2</v>
      </c>
      <c r="Q1607" s="463"/>
      <c r="R1607" s="456">
        <v>9</v>
      </c>
      <c r="S1607" s="463"/>
      <c r="T1607" s="463"/>
      <c r="U1607" s="463"/>
      <c r="V1607" s="463">
        <v>1</v>
      </c>
      <c r="W1607" s="463"/>
      <c r="X1607" s="463">
        <v>1</v>
      </c>
      <c r="Y1607" s="463"/>
      <c r="Z1607" s="463">
        <v>1</v>
      </c>
      <c r="AA1607" s="455">
        <v>31</v>
      </c>
      <c r="AB1607" s="457">
        <f>100/(SUM(I1607:Z1607))</f>
        <v>1.4492753623188406</v>
      </c>
      <c r="AC1607" s="432">
        <f>SUM(I1607:AA1607)</f>
        <v>100</v>
      </c>
      <c r="AD1607" s="455">
        <v>53</v>
      </c>
      <c r="AE1607" s="455"/>
      <c r="AF1607" s="455"/>
      <c r="AG1607" s="459"/>
      <c r="AH1607" s="451" t="s">
        <v>1183</v>
      </c>
      <c r="AI1607" s="458" t="s">
        <v>1435</v>
      </c>
      <c r="AJ1607" s="458" t="s">
        <v>1440</v>
      </c>
      <c r="AK1607" s="451" t="s">
        <v>1441</v>
      </c>
      <c r="AL1607" s="459">
        <f>(B1607-DATE(1970,1,1))*86400</f>
        <v>1536710400</v>
      </c>
      <c r="AM1607" s="459">
        <f>(C1607-DATE(1970,1,1))*86400</f>
        <v>1537142400</v>
      </c>
      <c r="AN1607" s="459">
        <f>AVERAGE(AL1607:AM1607)</f>
        <v>1536926400</v>
      </c>
    </row>
    <row r="1608" spans="1:40" ht="15.75" customHeight="1" x14ac:dyDescent="0.2">
      <c r="A1608" s="449" t="s">
        <v>133</v>
      </c>
      <c r="B1608" s="460">
        <v>43355</v>
      </c>
      <c r="C1608" s="462">
        <v>43360</v>
      </c>
      <c r="D1608" s="451" t="s">
        <v>143</v>
      </c>
      <c r="E1608" s="452" t="s">
        <v>125</v>
      </c>
      <c r="F1608" s="451"/>
      <c r="G1608" s="451" t="s">
        <v>149</v>
      </c>
      <c r="H1608" s="454">
        <v>1200</v>
      </c>
      <c r="I1608" s="463">
        <v>53</v>
      </c>
      <c r="J1608" s="463"/>
      <c r="K1608" s="463">
        <v>13</v>
      </c>
      <c r="L1608" s="463">
        <v>5</v>
      </c>
      <c r="M1608" s="463">
        <v>9</v>
      </c>
      <c r="N1608" s="463"/>
      <c r="O1608" s="463"/>
      <c r="P1608" s="463">
        <v>3</v>
      </c>
      <c r="Q1608" s="463"/>
      <c r="R1608" s="456">
        <v>13</v>
      </c>
      <c r="S1608" s="463"/>
      <c r="T1608" s="463"/>
      <c r="U1608" s="463"/>
      <c r="V1608" s="463">
        <v>2</v>
      </c>
      <c r="W1608" s="463"/>
      <c r="X1608" s="463">
        <v>1</v>
      </c>
      <c r="Y1608" s="463"/>
      <c r="Z1608" s="463">
        <v>1</v>
      </c>
      <c r="AA1608" s="455">
        <v>0</v>
      </c>
      <c r="AB1608" s="457">
        <f>100/(SUM(I1608:Z1608))</f>
        <v>1</v>
      </c>
      <c r="AC1608" s="432">
        <f>SUM(I1608:AA1608)</f>
        <v>100</v>
      </c>
      <c r="AD1608" s="455"/>
      <c r="AE1608" s="455"/>
      <c r="AF1608" s="455"/>
      <c r="AG1608" s="459"/>
      <c r="AH1608" s="451" t="s">
        <v>1183</v>
      </c>
      <c r="AI1608" s="458" t="s">
        <v>1435</v>
      </c>
      <c r="AJ1608" s="458" t="s">
        <v>1440</v>
      </c>
      <c r="AK1608" s="451"/>
      <c r="AL1608" s="459">
        <f>(B1608-DATE(1970,1,1))*86400</f>
        <v>1536710400</v>
      </c>
      <c r="AM1608" s="459">
        <f>(C1608-DATE(1970,1,1))*86400</f>
        <v>1537142400</v>
      </c>
      <c r="AN1608" s="459">
        <f>AVERAGE(AL1608:AM1608)</f>
        <v>1536926400</v>
      </c>
    </row>
    <row r="1609" spans="1:40" ht="15.75" customHeight="1" x14ac:dyDescent="0.2">
      <c r="A1609" s="449" t="s">
        <v>123</v>
      </c>
      <c r="B1609" s="460">
        <v>43355</v>
      </c>
      <c r="C1609" s="462">
        <v>43360</v>
      </c>
      <c r="D1609" s="451" t="s">
        <v>143</v>
      </c>
      <c r="E1609" s="452" t="s">
        <v>125</v>
      </c>
      <c r="F1609" s="451"/>
      <c r="G1609" s="451" t="s">
        <v>149</v>
      </c>
      <c r="H1609" s="454">
        <v>1200</v>
      </c>
      <c r="I1609" s="463">
        <v>60</v>
      </c>
      <c r="J1609" s="463"/>
      <c r="K1609" s="463">
        <v>11</v>
      </c>
      <c r="L1609" s="463">
        <v>4</v>
      </c>
      <c r="M1609" s="463">
        <v>10</v>
      </c>
      <c r="N1609" s="463"/>
      <c r="O1609" s="463"/>
      <c r="P1609" s="463">
        <v>2</v>
      </c>
      <c r="Q1609" s="463"/>
      <c r="R1609" s="456">
        <v>9</v>
      </c>
      <c r="S1609" s="463"/>
      <c r="T1609" s="463"/>
      <c r="U1609" s="463"/>
      <c r="V1609" s="463">
        <v>1</v>
      </c>
      <c r="W1609" s="463"/>
      <c r="X1609" s="463">
        <v>2</v>
      </c>
      <c r="Y1609" s="463"/>
      <c r="Z1609" s="463">
        <v>1</v>
      </c>
      <c r="AA1609" s="455">
        <v>0</v>
      </c>
      <c r="AB1609" s="457">
        <f>100/(SUM(I1609:Z1609))</f>
        <v>1</v>
      </c>
      <c r="AC1609" s="432">
        <f>SUM(I1609:AA1609)</f>
        <v>100</v>
      </c>
      <c r="AD1609" s="455"/>
      <c r="AE1609" s="455"/>
      <c r="AF1609" s="455"/>
      <c r="AG1609" s="459"/>
      <c r="AH1609" s="451" t="s">
        <v>1183</v>
      </c>
      <c r="AI1609" s="458" t="s">
        <v>1435</v>
      </c>
      <c r="AJ1609" s="458"/>
      <c r="AK1609" s="451"/>
      <c r="AL1609" s="459">
        <f>(B1609-DATE(1970,1,1))*86400</f>
        <v>1536710400</v>
      </c>
      <c r="AM1609" s="459">
        <f>(C1609-DATE(1970,1,1))*86400</f>
        <v>1537142400</v>
      </c>
      <c r="AN1609" s="459">
        <f>AVERAGE(AL1609:AM1609)</f>
        <v>1536926400</v>
      </c>
    </row>
    <row r="1610" spans="1:40" ht="15.75" customHeight="1" x14ac:dyDescent="0.2">
      <c r="A1610" s="279" t="s">
        <v>133</v>
      </c>
      <c r="B1610" s="160">
        <v>43341</v>
      </c>
      <c r="C1610" s="160">
        <v>43361</v>
      </c>
      <c r="D1610" s="13" t="s">
        <v>124</v>
      </c>
      <c r="E1610" s="324" t="s">
        <v>125</v>
      </c>
      <c r="F1610" s="13"/>
      <c r="G1610" s="13" t="s">
        <v>149</v>
      </c>
      <c r="H1610" s="372">
        <v>2000</v>
      </c>
      <c r="I1610" s="161">
        <v>39</v>
      </c>
      <c r="J1610" s="161"/>
      <c r="K1610" s="161">
        <v>10</v>
      </c>
      <c r="L1610" s="161">
        <v>3</v>
      </c>
      <c r="M1610" s="161">
        <v>5</v>
      </c>
      <c r="N1610" s="174"/>
      <c r="O1610" s="174"/>
      <c r="P1610" s="161">
        <v>2</v>
      </c>
      <c r="Q1610" s="161"/>
      <c r="R1610" s="161">
        <v>5</v>
      </c>
      <c r="S1610" s="161"/>
      <c r="T1610" s="161"/>
      <c r="U1610" s="161"/>
      <c r="V1610" s="161">
        <v>2</v>
      </c>
      <c r="W1610" s="161"/>
      <c r="X1610" s="161">
        <v>1</v>
      </c>
      <c r="Y1610" s="161"/>
      <c r="Z1610" s="161">
        <v>0</v>
      </c>
      <c r="AA1610" s="15">
        <v>33</v>
      </c>
      <c r="AB1610" s="16">
        <f>100/(SUM(I1610:Z1610))</f>
        <v>1.4925373134328359</v>
      </c>
      <c r="AC1610" s="259">
        <f>SUM(I1610:AA1610)</f>
        <v>100</v>
      </c>
      <c r="AD1610" s="15"/>
      <c r="AE1610" s="15"/>
      <c r="AF1610" s="15"/>
      <c r="AG1610" s="17"/>
      <c r="AH1610" s="18" t="s">
        <v>1442</v>
      </c>
      <c r="AI1610" s="18" t="s">
        <v>1403</v>
      </c>
      <c r="AJ1610" s="18" t="s">
        <v>1404</v>
      </c>
      <c r="AK1610" s="13" t="s">
        <v>1424</v>
      </c>
      <c r="AL1610" s="17">
        <f>(B1610-DATE(1970,1,1))*86400</f>
        <v>1535500800</v>
      </c>
      <c r="AM1610" s="17">
        <f>(C1610-DATE(1970,1,1))*86400</f>
        <v>1537228800</v>
      </c>
      <c r="AN1610" s="17">
        <f>AVERAGE(AL1610:AM1610)</f>
        <v>1536364800</v>
      </c>
    </row>
    <row r="1611" spans="1:40" ht="15.75" customHeight="1" x14ac:dyDescent="0.2">
      <c r="A1611" s="279" t="s">
        <v>123</v>
      </c>
      <c r="B1611" s="160">
        <v>43341</v>
      </c>
      <c r="C1611" s="160">
        <v>43361</v>
      </c>
      <c r="D1611" s="13" t="s">
        <v>124</v>
      </c>
      <c r="E1611" s="324" t="s">
        <v>125</v>
      </c>
      <c r="F1611" s="13"/>
      <c r="G1611" s="13" t="s">
        <v>149</v>
      </c>
      <c r="H1611" s="372">
        <v>2000</v>
      </c>
      <c r="I1611" s="161">
        <v>52</v>
      </c>
      <c r="J1611" s="161"/>
      <c r="K1611" s="161">
        <v>18</v>
      </c>
      <c r="L1611" s="161">
        <v>5</v>
      </c>
      <c r="M1611" s="161">
        <v>8</v>
      </c>
      <c r="N1611" s="161"/>
      <c r="O1611" s="161"/>
      <c r="P1611" s="161">
        <v>3</v>
      </c>
      <c r="Q1611" s="161"/>
      <c r="R1611" s="161">
        <v>8</v>
      </c>
      <c r="S1611" s="161"/>
      <c r="T1611" s="161"/>
      <c r="U1611" s="161"/>
      <c r="V1611" s="161">
        <v>3</v>
      </c>
      <c r="W1611" s="161"/>
      <c r="X1611" s="161">
        <v>1</v>
      </c>
      <c r="Y1611" s="161"/>
      <c r="Z1611" s="166">
        <v>2</v>
      </c>
      <c r="AA1611" s="15">
        <v>0</v>
      </c>
      <c r="AB1611" s="16">
        <f>100/(SUM(I1611:Z1611))</f>
        <v>1</v>
      </c>
      <c r="AC1611" s="259">
        <f>SUM(I1611:AA1611)</f>
        <v>100</v>
      </c>
      <c r="AD1611" s="15"/>
      <c r="AE1611" s="15"/>
      <c r="AF1611" s="15"/>
      <c r="AG1611" s="17"/>
      <c r="AH1611" s="18" t="s">
        <v>1442</v>
      </c>
      <c r="AI1611" s="18" t="s">
        <v>1403</v>
      </c>
      <c r="AJ1611" s="18" t="s">
        <v>1404</v>
      </c>
      <c r="AK1611" s="13" t="s">
        <v>1424</v>
      </c>
      <c r="AL1611" s="17">
        <f>(B1611-DATE(1970,1,1))*86400</f>
        <v>1535500800</v>
      </c>
      <c r="AM1611" s="17">
        <f>(C1611-DATE(1970,1,1))*86400</f>
        <v>1537228800</v>
      </c>
      <c r="AN1611" s="17">
        <f>AVERAGE(AL1611:AM1611)</f>
        <v>1536364800</v>
      </c>
    </row>
    <row r="1612" spans="1:40" ht="15.75" customHeight="1" x14ac:dyDescent="0.2">
      <c r="A1612" s="280" t="s">
        <v>133</v>
      </c>
      <c r="B1612" s="169">
        <v>43346</v>
      </c>
      <c r="C1612" s="169">
        <v>43353</v>
      </c>
      <c r="D1612" s="76" t="s">
        <v>200</v>
      </c>
      <c r="E1612" s="320" t="s">
        <v>125</v>
      </c>
      <c r="F1612" s="76"/>
      <c r="G1612" s="76" t="s">
        <v>126</v>
      </c>
      <c r="H1612" s="383">
        <v>1000</v>
      </c>
      <c r="I1612" s="170">
        <v>36</v>
      </c>
      <c r="J1612" s="170"/>
      <c r="K1612" s="170">
        <v>8</v>
      </c>
      <c r="L1612" s="170">
        <v>3</v>
      </c>
      <c r="M1612" s="170">
        <v>4</v>
      </c>
      <c r="N1612" s="170"/>
      <c r="O1612" s="170"/>
      <c r="P1612" s="170"/>
      <c r="Q1612" s="170"/>
      <c r="R1612" s="170">
        <v>7</v>
      </c>
      <c r="S1612" s="170"/>
      <c r="T1612" s="170"/>
      <c r="U1612" s="170"/>
      <c r="V1612" s="170"/>
      <c r="W1612" s="170"/>
      <c r="X1612" s="170"/>
      <c r="Y1612" s="170"/>
      <c r="Z1612" s="170">
        <v>7</v>
      </c>
      <c r="AA1612" s="78">
        <v>35</v>
      </c>
      <c r="AB1612" s="79">
        <f>100/(SUM(I1612:Z1612))</f>
        <v>1.5384615384615385</v>
      </c>
      <c r="AC1612" s="259">
        <f>SUM(I1612:AA1612)</f>
        <v>100</v>
      </c>
      <c r="AD1612" s="78"/>
      <c r="AE1612" s="78"/>
      <c r="AF1612" s="78"/>
      <c r="AG1612" s="80"/>
      <c r="AH1612" s="81" t="s">
        <v>1443</v>
      </c>
      <c r="AI1612" s="76" t="s">
        <v>1444</v>
      </c>
      <c r="AJ1612" s="76"/>
      <c r="AK1612" s="76" t="s">
        <v>1412</v>
      </c>
      <c r="AL1612" s="80">
        <f>(B1612-DATE(1970,1,1))*86400</f>
        <v>1535932800</v>
      </c>
      <c r="AM1612" s="80">
        <f>(C1612-DATE(1970,1,1))*86400</f>
        <v>1536537600</v>
      </c>
      <c r="AN1612" s="80">
        <f>AVERAGE(AL1612:AM1612)</f>
        <v>1536235200</v>
      </c>
    </row>
    <row r="1613" spans="1:40" ht="15.75" customHeight="1" x14ac:dyDescent="0.2">
      <c r="A1613" s="280" t="s">
        <v>123</v>
      </c>
      <c r="B1613" s="169">
        <v>43346</v>
      </c>
      <c r="C1613" s="169">
        <v>43353</v>
      </c>
      <c r="D1613" s="76" t="s">
        <v>200</v>
      </c>
      <c r="E1613" s="320" t="s">
        <v>125</v>
      </c>
      <c r="F1613" s="76"/>
      <c r="G1613" s="76" t="s">
        <v>126</v>
      </c>
      <c r="H1613" s="383">
        <v>1000</v>
      </c>
      <c r="I1613" s="170">
        <v>53</v>
      </c>
      <c r="J1613" s="170"/>
      <c r="K1613" s="170">
        <v>14</v>
      </c>
      <c r="L1613" s="170">
        <v>5</v>
      </c>
      <c r="M1613" s="170">
        <v>7</v>
      </c>
      <c r="N1613" s="170"/>
      <c r="O1613" s="170"/>
      <c r="P1613" s="170"/>
      <c r="Q1613" s="170"/>
      <c r="R1613" s="170">
        <v>13</v>
      </c>
      <c r="S1613" s="170"/>
      <c r="T1613" s="170"/>
      <c r="U1613" s="170"/>
      <c r="V1613" s="170"/>
      <c r="W1613" s="170"/>
      <c r="X1613" s="170"/>
      <c r="Y1613" s="170"/>
      <c r="Z1613" s="170">
        <v>8</v>
      </c>
      <c r="AA1613" s="78">
        <v>0</v>
      </c>
      <c r="AB1613" s="79">
        <f>100/(SUM(I1613:Z1613))</f>
        <v>1</v>
      </c>
      <c r="AC1613" s="259">
        <f>SUM(I1613:AA1613)</f>
        <v>100</v>
      </c>
      <c r="AD1613" s="78"/>
      <c r="AE1613" s="78"/>
      <c r="AF1613" s="78"/>
      <c r="AG1613" s="80"/>
      <c r="AH1613" s="81" t="s">
        <v>1443</v>
      </c>
      <c r="AI1613" s="76" t="s">
        <v>1444</v>
      </c>
      <c r="AJ1613" s="76"/>
      <c r="AK1613" s="76" t="s">
        <v>1412</v>
      </c>
      <c r="AL1613" s="80">
        <f>(B1613-DATE(1970,1,1))*86400</f>
        <v>1535932800</v>
      </c>
      <c r="AM1613" s="80">
        <f>(C1613-DATE(1970,1,1))*86400</f>
        <v>1536537600</v>
      </c>
      <c r="AN1613" s="80">
        <f>AVERAGE(AL1613:AM1613)</f>
        <v>1536235200</v>
      </c>
    </row>
    <row r="1614" spans="1:40" ht="15.75" customHeight="1" x14ac:dyDescent="0.2">
      <c r="A1614" s="302" t="s">
        <v>123</v>
      </c>
      <c r="B1614" s="254">
        <v>43348</v>
      </c>
      <c r="C1614" s="254">
        <v>43348</v>
      </c>
      <c r="D1614" s="262" t="s">
        <v>2445</v>
      </c>
      <c r="E1614" s="322" t="s">
        <v>184</v>
      </c>
      <c r="F1614" s="121" t="s">
        <v>2007</v>
      </c>
      <c r="G1614" s="262" t="s">
        <v>244</v>
      </c>
      <c r="H1614" s="379">
        <v>500</v>
      </c>
      <c r="I1614" s="123">
        <v>57</v>
      </c>
      <c r="J1614" s="123">
        <v>12</v>
      </c>
      <c r="K1614" s="123">
        <v>15</v>
      </c>
      <c r="L1614" s="123">
        <v>4</v>
      </c>
      <c r="M1614" s="123">
        <v>5</v>
      </c>
      <c r="N1614" s="123"/>
      <c r="O1614" s="123"/>
      <c r="P1614" s="123">
        <v>2</v>
      </c>
      <c r="Q1614" s="123"/>
      <c r="R1614" s="124"/>
      <c r="S1614" s="123"/>
      <c r="T1614" s="123"/>
      <c r="U1614" s="123"/>
      <c r="V1614" s="123"/>
      <c r="W1614" s="123"/>
      <c r="X1614" s="123">
        <v>2</v>
      </c>
      <c r="Y1614" s="123"/>
      <c r="Z1614" s="124">
        <v>3</v>
      </c>
      <c r="AA1614" s="123">
        <v>0</v>
      </c>
      <c r="AB1614" s="125">
        <f>100/(SUM(I1614:Z1614))</f>
        <v>1</v>
      </c>
      <c r="AC1614" s="259">
        <f>SUM(I1614:AA1614)</f>
        <v>100</v>
      </c>
      <c r="AD1614" s="123"/>
      <c r="AE1614" s="123"/>
      <c r="AF1614" s="123"/>
      <c r="AG1614" s="263" t="s">
        <v>719</v>
      </c>
      <c r="AH1614" s="253"/>
      <c r="AI1614" s="253" t="s">
        <v>2001</v>
      </c>
      <c r="AJ1614" s="127"/>
      <c r="AK1614" s="121" t="s">
        <v>2002</v>
      </c>
      <c r="AL1614" s="126">
        <f>(B1614-DATE(1970,1,1))*86400</f>
        <v>1536105600</v>
      </c>
      <c r="AM1614" s="126">
        <f>(C1614-DATE(1970,1,1))*86400</f>
        <v>1536105600</v>
      </c>
      <c r="AN1614" s="126">
        <f>AVERAGE(AL1614:AM1614)</f>
        <v>1536105600</v>
      </c>
    </row>
    <row r="1615" spans="1:40" ht="15.75" customHeight="1" x14ac:dyDescent="0.2">
      <c r="A1615" s="302" t="s">
        <v>123</v>
      </c>
      <c r="B1615" s="254">
        <v>43327</v>
      </c>
      <c r="C1615" s="254">
        <v>43327</v>
      </c>
      <c r="D1615" s="262" t="s">
        <v>2445</v>
      </c>
      <c r="E1615" s="322" t="s">
        <v>184</v>
      </c>
      <c r="F1615" s="121" t="s">
        <v>2007</v>
      </c>
      <c r="G1615" s="262" t="s">
        <v>244</v>
      </c>
      <c r="H1615" s="379">
        <v>500</v>
      </c>
      <c r="I1615" s="123">
        <v>56</v>
      </c>
      <c r="J1615" s="123">
        <v>10</v>
      </c>
      <c r="K1615" s="123">
        <v>14</v>
      </c>
      <c r="L1615" s="123">
        <v>6</v>
      </c>
      <c r="M1615" s="123">
        <v>5</v>
      </c>
      <c r="N1615" s="123"/>
      <c r="O1615" s="123"/>
      <c r="P1615" s="123">
        <v>2</v>
      </c>
      <c r="Q1615" s="123"/>
      <c r="R1615" s="124"/>
      <c r="S1615" s="123"/>
      <c r="T1615" s="123"/>
      <c r="U1615" s="123"/>
      <c r="V1615" s="123"/>
      <c r="W1615" s="123"/>
      <c r="X1615" s="123">
        <v>1</v>
      </c>
      <c r="Y1615" s="123"/>
      <c r="Z1615" s="124">
        <v>6</v>
      </c>
      <c r="AA1615" s="123">
        <v>0</v>
      </c>
      <c r="AB1615" s="125">
        <f>100/(SUM(I1615:Z1615))</f>
        <v>1</v>
      </c>
      <c r="AC1615" s="259">
        <f>SUM(I1615:AA1615)</f>
        <v>100</v>
      </c>
      <c r="AD1615" s="123"/>
      <c r="AE1615" s="123"/>
      <c r="AF1615" s="123"/>
      <c r="AG1615" s="263" t="s">
        <v>719</v>
      </c>
      <c r="AH1615" s="253"/>
      <c r="AI1615" s="253" t="s">
        <v>2003</v>
      </c>
      <c r="AJ1615" s="127"/>
      <c r="AK1615" s="121" t="s">
        <v>2005</v>
      </c>
      <c r="AL1615" s="126">
        <f>(B1615-DATE(1970,1,1))*86400</f>
        <v>1534291200</v>
      </c>
      <c r="AM1615" s="126">
        <f>(C1615-DATE(1970,1,1))*86400</f>
        <v>1534291200</v>
      </c>
      <c r="AN1615" s="126">
        <f>AVERAGE(AL1615:AM1615)</f>
        <v>1534291200</v>
      </c>
    </row>
    <row r="1616" spans="1:40" ht="15.75" customHeight="1" x14ac:dyDescent="0.2">
      <c r="A1616" s="286" t="s">
        <v>133</v>
      </c>
      <c r="B1616" s="41">
        <v>43322</v>
      </c>
      <c r="C1616" s="41">
        <v>43330</v>
      </c>
      <c r="D1616" s="40" t="s">
        <v>148</v>
      </c>
      <c r="E1616" s="325" t="s">
        <v>125</v>
      </c>
      <c r="F1616" s="40"/>
      <c r="G1616" s="40" t="s">
        <v>149</v>
      </c>
      <c r="H1616" s="381">
        <v>1000</v>
      </c>
      <c r="I1616" s="42">
        <v>34.9</v>
      </c>
      <c r="J1616" s="42"/>
      <c r="K1616" s="42">
        <v>10.3</v>
      </c>
      <c r="L1616" s="42">
        <v>3.4</v>
      </c>
      <c r="M1616" s="42">
        <v>4</v>
      </c>
      <c r="N1616" s="42"/>
      <c r="O1616" s="42"/>
      <c r="P1616" s="42">
        <v>1.7</v>
      </c>
      <c r="Q1616" s="42"/>
      <c r="R1616" s="43">
        <v>7.1</v>
      </c>
      <c r="S1616" s="42"/>
      <c r="T1616" s="42"/>
      <c r="U1616" s="42"/>
      <c r="V1616" s="42">
        <v>2.6</v>
      </c>
      <c r="W1616" s="42"/>
      <c r="X1616" s="42"/>
      <c r="Y1616" s="42"/>
      <c r="Z1616" s="42">
        <v>1.5</v>
      </c>
      <c r="AA1616" s="42">
        <v>34.5</v>
      </c>
      <c r="AB1616" s="44">
        <f>100/(SUM(I1616:Z1616))</f>
        <v>1.5267175572519085</v>
      </c>
      <c r="AC1616" s="259">
        <f>SUM(I1616:AA1616)</f>
        <v>100</v>
      </c>
      <c r="AD1616" s="42"/>
      <c r="AE1616" s="42"/>
      <c r="AF1616" s="42"/>
      <c r="AG1616" s="45"/>
      <c r="AH1616" s="40" t="s">
        <v>1383</v>
      </c>
      <c r="AI1616" s="132" t="s">
        <v>1420</v>
      </c>
      <c r="AJ1616" s="132" t="s">
        <v>1445</v>
      </c>
      <c r="AK1616" s="40"/>
      <c r="AL1616" s="45">
        <f>(B1616-DATE(1970,1,1))*86400</f>
        <v>1533859200</v>
      </c>
      <c r="AM1616" s="45">
        <f>(C1616-DATE(1970,1,1))*86400</f>
        <v>1534550400</v>
      </c>
      <c r="AN1616" s="45">
        <f>AVERAGE(AL1616:AM1616)</f>
        <v>1534204800</v>
      </c>
    </row>
    <row r="1617" spans="1:65" ht="15.75" customHeight="1" x14ac:dyDescent="0.2">
      <c r="A1617" s="286" t="s">
        <v>123</v>
      </c>
      <c r="B1617" s="41">
        <v>43322</v>
      </c>
      <c r="C1617" s="41">
        <v>43330</v>
      </c>
      <c r="D1617" s="40" t="s">
        <v>148</v>
      </c>
      <c r="E1617" s="325" t="s">
        <v>125</v>
      </c>
      <c r="F1617" s="40"/>
      <c r="G1617" s="40" t="s">
        <v>149</v>
      </c>
      <c r="H1617" s="381">
        <v>1000</v>
      </c>
      <c r="I1617" s="43">
        <v>56</v>
      </c>
      <c r="J1617" s="43"/>
      <c r="K1617" s="42">
        <v>14.3</v>
      </c>
      <c r="L1617" s="42">
        <v>5</v>
      </c>
      <c r="M1617" s="42">
        <v>6.8</v>
      </c>
      <c r="N1617" s="42"/>
      <c r="O1617" s="42"/>
      <c r="P1617" s="42">
        <v>2.2000000000000002</v>
      </c>
      <c r="Q1617" s="42"/>
      <c r="R1617" s="43">
        <v>12.1</v>
      </c>
      <c r="S1617" s="42"/>
      <c r="T1617" s="42"/>
      <c r="U1617" s="42"/>
      <c r="V1617" s="42">
        <v>2.9</v>
      </c>
      <c r="W1617" s="42"/>
      <c r="X1617" s="42"/>
      <c r="Y1617" s="42"/>
      <c r="Z1617" s="42">
        <v>0.7</v>
      </c>
      <c r="AA1617" s="42">
        <v>0</v>
      </c>
      <c r="AB1617" s="44">
        <f>100/(SUM(I1617:Z1617))</f>
        <v>1</v>
      </c>
      <c r="AC1617" s="259">
        <f>SUM(I1617:AA1617)</f>
        <v>100</v>
      </c>
      <c r="AD1617" s="42"/>
      <c r="AE1617" s="42"/>
      <c r="AF1617" s="42"/>
      <c r="AG1617" s="45"/>
      <c r="AH1617" s="40" t="s">
        <v>1383</v>
      </c>
      <c r="AI1617" s="132" t="s">
        <v>1420</v>
      </c>
      <c r="AJ1617" s="132" t="s">
        <v>1445</v>
      </c>
      <c r="AK1617" s="40" t="s">
        <v>1446</v>
      </c>
      <c r="AL1617" s="45">
        <f>(B1617-DATE(1970,1,1))*86400</f>
        <v>1533859200</v>
      </c>
      <c r="AM1617" s="45">
        <f>(C1617-DATE(1970,1,1))*86400</f>
        <v>1534550400</v>
      </c>
      <c r="AN1617" s="45">
        <f>AVERAGE(AL1617:AM1617)</f>
        <v>1534204800</v>
      </c>
    </row>
    <row r="1618" spans="1:65" ht="15.75" customHeight="1" x14ac:dyDescent="0.2">
      <c r="A1618" s="281" t="s">
        <v>133</v>
      </c>
      <c r="B1618" s="167">
        <v>43322</v>
      </c>
      <c r="C1618" s="167">
        <v>43329</v>
      </c>
      <c r="D1618" s="53" t="s">
        <v>154</v>
      </c>
      <c r="E1618" s="323" t="s">
        <v>125</v>
      </c>
      <c r="F1618" s="53"/>
      <c r="G1618" s="53" t="s">
        <v>126</v>
      </c>
      <c r="H1618" s="384">
        <v>998</v>
      </c>
      <c r="I1618" s="172">
        <v>25</v>
      </c>
      <c r="J1618" s="172"/>
      <c r="K1618" s="172">
        <v>10</v>
      </c>
      <c r="L1618" s="172">
        <v>3</v>
      </c>
      <c r="M1618" s="172">
        <v>2</v>
      </c>
      <c r="N1618" s="175"/>
      <c r="O1618" s="175"/>
      <c r="P1618" s="172">
        <v>1</v>
      </c>
      <c r="Q1618" s="172"/>
      <c r="R1618" s="172">
        <v>9</v>
      </c>
      <c r="S1618" s="172"/>
      <c r="T1618" s="172"/>
      <c r="U1618" s="175"/>
      <c r="V1618" s="172">
        <v>1</v>
      </c>
      <c r="W1618" s="172"/>
      <c r="X1618" s="175"/>
      <c r="Y1618" s="175"/>
      <c r="Z1618" s="172">
        <v>1</v>
      </c>
      <c r="AA1618" s="55">
        <v>49</v>
      </c>
      <c r="AB1618" s="57">
        <f>100/(SUM(I1618:Z1618))</f>
        <v>1.9230769230769231</v>
      </c>
      <c r="AC1618" s="259">
        <f>SUM(I1618:AA1618)</f>
        <v>101</v>
      </c>
      <c r="AD1618" s="55"/>
      <c r="AE1618" s="55"/>
      <c r="AF1618" s="55"/>
      <c r="AG1618" s="58"/>
      <c r="AH1618" s="59" t="s">
        <v>1447</v>
      </c>
      <c r="AI1618" s="59" t="s">
        <v>1448</v>
      </c>
      <c r="AJ1618" s="53"/>
      <c r="AK1618" s="53" t="s">
        <v>1449</v>
      </c>
      <c r="AL1618" s="58">
        <f>(B1618-DATE(1970,1,1))*86400</f>
        <v>1533859200</v>
      </c>
      <c r="AM1618" s="58">
        <f>(C1618-DATE(1970,1,1))*86400</f>
        <v>1534464000</v>
      </c>
      <c r="AN1618" s="58">
        <f>AVERAGE(AL1618:AM1618)</f>
        <v>1534161600</v>
      </c>
    </row>
    <row r="1619" spans="1:65" ht="15.75" customHeight="1" x14ac:dyDescent="0.2">
      <c r="A1619" s="281" t="s">
        <v>123</v>
      </c>
      <c r="B1619" s="167">
        <v>43322</v>
      </c>
      <c r="C1619" s="167">
        <v>43329</v>
      </c>
      <c r="D1619" s="53" t="s">
        <v>154</v>
      </c>
      <c r="E1619" s="323" t="s">
        <v>125</v>
      </c>
      <c r="F1619" s="53"/>
      <c r="G1619" s="53" t="s">
        <v>126</v>
      </c>
      <c r="H1619" s="384">
        <v>998</v>
      </c>
      <c r="I1619" s="172">
        <v>52</v>
      </c>
      <c r="J1619" s="172"/>
      <c r="K1619" s="172">
        <v>16</v>
      </c>
      <c r="L1619" s="172">
        <v>4</v>
      </c>
      <c r="M1619" s="172">
        <v>4</v>
      </c>
      <c r="N1619" s="172"/>
      <c r="O1619" s="172"/>
      <c r="P1619" s="172">
        <v>2</v>
      </c>
      <c r="Q1619" s="172"/>
      <c r="R1619" s="172">
        <v>15</v>
      </c>
      <c r="S1619" s="172"/>
      <c r="T1619" s="172"/>
      <c r="U1619" s="172"/>
      <c r="V1619" s="172">
        <v>3</v>
      </c>
      <c r="W1619" s="172"/>
      <c r="X1619" s="172"/>
      <c r="Y1619" s="172"/>
      <c r="Z1619" s="172">
        <v>3</v>
      </c>
      <c r="AA1619" s="55">
        <v>0</v>
      </c>
      <c r="AB1619" s="57">
        <f>100/(SUM(I1619:Z1619))</f>
        <v>1.0101010101010102</v>
      </c>
      <c r="AC1619" s="259">
        <f>SUM(I1619:AA1619)</f>
        <v>99</v>
      </c>
      <c r="AD1619" s="55"/>
      <c r="AE1619" s="55"/>
      <c r="AF1619" s="55"/>
      <c r="AG1619" s="58"/>
      <c r="AH1619" s="59" t="s">
        <v>1447</v>
      </c>
      <c r="AI1619" s="59" t="s">
        <v>1448</v>
      </c>
      <c r="AJ1619" s="53"/>
      <c r="AK1619" s="53" t="s">
        <v>1450</v>
      </c>
      <c r="AL1619" s="58">
        <f>(B1619-DATE(1970,1,1))*86400</f>
        <v>1533859200</v>
      </c>
      <c r="AM1619" s="58">
        <f>(C1619-DATE(1970,1,1))*86400</f>
        <v>1534464000</v>
      </c>
      <c r="AN1619" s="58">
        <f>AVERAGE(AL1619:AM1619)</f>
        <v>1534161600</v>
      </c>
    </row>
    <row r="1620" spans="1:65" ht="15.75" customHeight="1" x14ac:dyDescent="0.2">
      <c r="A1620" s="279" t="s">
        <v>133</v>
      </c>
      <c r="B1620" s="160">
        <v>43300</v>
      </c>
      <c r="C1620" s="160">
        <v>43326</v>
      </c>
      <c r="D1620" s="13" t="s">
        <v>124</v>
      </c>
      <c r="E1620" s="324" t="s">
        <v>125</v>
      </c>
      <c r="F1620" s="13"/>
      <c r="G1620" s="13" t="s">
        <v>149</v>
      </c>
      <c r="H1620" s="372">
        <v>2000</v>
      </c>
      <c r="I1620" s="161">
        <v>41</v>
      </c>
      <c r="J1620" s="161"/>
      <c r="K1620" s="161">
        <v>10</v>
      </c>
      <c r="L1620" s="161">
        <v>3</v>
      </c>
      <c r="M1620" s="161">
        <v>4</v>
      </c>
      <c r="N1620" s="161"/>
      <c r="O1620" s="161"/>
      <c r="P1620" s="161">
        <v>2</v>
      </c>
      <c r="Q1620" s="161"/>
      <c r="R1620" s="161">
        <v>6</v>
      </c>
      <c r="S1620" s="161"/>
      <c r="T1620" s="161"/>
      <c r="U1620" s="161"/>
      <c r="V1620" s="161">
        <v>1</v>
      </c>
      <c r="W1620" s="161"/>
      <c r="X1620" s="161">
        <v>1</v>
      </c>
      <c r="Y1620" s="161"/>
      <c r="Z1620" s="166">
        <v>1</v>
      </c>
      <c r="AA1620" s="98">
        <v>31</v>
      </c>
      <c r="AB1620" s="16">
        <f>100/(SUM(I1620:Z1620))</f>
        <v>1.4492753623188406</v>
      </c>
      <c r="AC1620" s="259">
        <f>SUM(I1620:AA1620)</f>
        <v>100</v>
      </c>
      <c r="AD1620" s="15"/>
      <c r="AE1620" s="15"/>
      <c r="AF1620" s="15"/>
      <c r="AG1620" s="17"/>
      <c r="AH1620" s="18" t="s">
        <v>1451</v>
      </c>
      <c r="AI1620" s="18" t="s">
        <v>1452</v>
      </c>
      <c r="AJ1620" s="18" t="s">
        <v>1404</v>
      </c>
      <c r="AK1620" s="13" t="s">
        <v>1453</v>
      </c>
      <c r="AL1620" s="17">
        <f>(B1620-DATE(1970,1,1))*86400</f>
        <v>1531958400</v>
      </c>
      <c r="AM1620" s="17">
        <f>(C1620-DATE(1970,1,1))*86400</f>
        <v>1534204800</v>
      </c>
      <c r="AN1620" s="17">
        <f>AVERAGE(AL1620:AM1620)</f>
        <v>1533081600</v>
      </c>
    </row>
    <row r="1621" spans="1:65" ht="15.75" customHeight="1" x14ac:dyDescent="0.2">
      <c r="A1621" s="279" t="s">
        <v>123</v>
      </c>
      <c r="B1621" s="160">
        <v>43300</v>
      </c>
      <c r="C1621" s="160">
        <v>43326</v>
      </c>
      <c r="D1621" s="13" t="s">
        <v>124</v>
      </c>
      <c r="E1621" s="324" t="s">
        <v>125</v>
      </c>
      <c r="F1621" s="13"/>
      <c r="G1621" s="13" t="s">
        <v>149</v>
      </c>
      <c r="H1621" s="372">
        <v>2000</v>
      </c>
      <c r="I1621" s="161">
        <v>54</v>
      </c>
      <c r="J1621" s="161"/>
      <c r="K1621" s="161">
        <v>17</v>
      </c>
      <c r="L1621" s="161">
        <v>5</v>
      </c>
      <c r="M1621" s="161">
        <v>7</v>
      </c>
      <c r="N1621" s="161"/>
      <c r="O1621" s="161"/>
      <c r="P1621" s="161">
        <v>4</v>
      </c>
      <c r="Q1621" s="161"/>
      <c r="R1621" s="161">
        <v>9</v>
      </c>
      <c r="S1621" s="161"/>
      <c r="T1621" s="161"/>
      <c r="U1621" s="161"/>
      <c r="V1621" s="161">
        <v>2</v>
      </c>
      <c r="W1621" s="161"/>
      <c r="X1621" s="161">
        <v>1</v>
      </c>
      <c r="Y1621" s="161"/>
      <c r="Z1621" s="166">
        <v>1</v>
      </c>
      <c r="AA1621" s="15">
        <v>0</v>
      </c>
      <c r="AB1621" s="16">
        <f>100/(SUM(I1621:Z1621))</f>
        <v>1</v>
      </c>
      <c r="AC1621" s="259">
        <f>SUM(I1621:AA1621)</f>
        <v>100</v>
      </c>
      <c r="AD1621" s="15"/>
      <c r="AE1621" s="15"/>
      <c r="AF1621" s="15"/>
      <c r="AG1621" s="17"/>
      <c r="AH1621" s="18" t="s">
        <v>1451</v>
      </c>
      <c r="AI1621" s="18" t="s">
        <v>1452</v>
      </c>
      <c r="AJ1621" s="18" t="s">
        <v>1404</v>
      </c>
      <c r="AK1621" s="13"/>
      <c r="AL1621" s="17">
        <f>(B1621-DATE(1970,1,1))*86400</f>
        <v>1531958400</v>
      </c>
      <c r="AM1621" s="17">
        <f>(C1621-DATE(1970,1,1))*86400</f>
        <v>1534204800</v>
      </c>
      <c r="AN1621" s="17">
        <f>AVERAGE(AL1621:AM1621)</f>
        <v>1533081600</v>
      </c>
      <c r="AO1621" s="6"/>
      <c r="AP1621" s="6"/>
      <c r="AQ1621" s="6"/>
      <c r="AR1621" s="6"/>
      <c r="AS1621" s="6"/>
      <c r="AT1621" s="6"/>
      <c r="AU1621" s="6"/>
      <c r="AV1621" s="6"/>
      <c r="AW1621" s="6"/>
      <c r="AX1621" s="6"/>
      <c r="AY1621" s="6"/>
      <c r="AZ1621" s="6"/>
      <c r="BA1621" s="6"/>
      <c r="BB1621" s="6"/>
      <c r="BC1621" s="6"/>
      <c r="BD1621" s="6"/>
      <c r="BE1621" s="6"/>
      <c r="BF1621" s="6"/>
      <c r="BG1621" s="6"/>
      <c r="BH1621" s="6"/>
      <c r="BI1621" s="6"/>
      <c r="BJ1621" s="6"/>
      <c r="BK1621" s="6"/>
      <c r="BL1621" s="6"/>
      <c r="BM1621" s="6"/>
    </row>
    <row r="1622" spans="1:65" ht="15.75" customHeight="1" x14ac:dyDescent="0.2">
      <c r="A1622" s="302" t="s">
        <v>123</v>
      </c>
      <c r="B1622" s="254">
        <v>43299</v>
      </c>
      <c r="C1622" s="254">
        <v>43299</v>
      </c>
      <c r="D1622" s="262" t="s">
        <v>2445</v>
      </c>
      <c r="E1622" s="322" t="s">
        <v>184</v>
      </c>
      <c r="F1622" s="121" t="s">
        <v>2007</v>
      </c>
      <c r="G1622" s="262" t="s">
        <v>244</v>
      </c>
      <c r="H1622" s="379">
        <v>500</v>
      </c>
      <c r="I1622" s="123">
        <v>56</v>
      </c>
      <c r="J1622" s="123">
        <v>13</v>
      </c>
      <c r="K1622" s="123">
        <v>17</v>
      </c>
      <c r="L1622" s="123">
        <v>6</v>
      </c>
      <c r="M1622" s="123">
        <v>6</v>
      </c>
      <c r="N1622" s="123"/>
      <c r="O1622" s="123"/>
      <c r="P1622" s="124">
        <v>0</v>
      </c>
      <c r="Q1622" s="123"/>
      <c r="R1622" s="124"/>
      <c r="S1622" s="123"/>
      <c r="T1622" s="123"/>
      <c r="U1622" s="123"/>
      <c r="V1622" s="123"/>
      <c r="W1622" s="123"/>
      <c r="X1622" s="123">
        <v>1</v>
      </c>
      <c r="Y1622" s="123"/>
      <c r="Z1622" s="124">
        <v>1</v>
      </c>
      <c r="AA1622" s="123">
        <v>0</v>
      </c>
      <c r="AB1622" s="125">
        <f>100/(SUM(I1622:Z1622))</f>
        <v>1</v>
      </c>
      <c r="AC1622" s="259">
        <f>SUM(I1622:AA1622)</f>
        <v>100</v>
      </c>
      <c r="AD1622" s="123"/>
      <c r="AE1622" s="123"/>
      <c r="AF1622" s="123"/>
      <c r="AG1622" s="263" t="s">
        <v>719</v>
      </c>
      <c r="AH1622" s="253"/>
      <c r="AI1622" s="253" t="s">
        <v>2003</v>
      </c>
      <c r="AJ1622" s="127"/>
      <c r="AK1622" s="121" t="s">
        <v>2005</v>
      </c>
      <c r="AL1622" s="126">
        <f>(B1622-DATE(1970,1,1))*86400</f>
        <v>1531872000</v>
      </c>
      <c r="AM1622" s="126">
        <f>(C1622-DATE(1970,1,1))*86400</f>
        <v>1531872000</v>
      </c>
      <c r="AN1622" s="126">
        <f>AVERAGE(AL1622:AM1622)</f>
        <v>1531872000</v>
      </c>
    </row>
    <row r="1623" spans="1:65" ht="15.75" customHeight="1" x14ac:dyDescent="0.2">
      <c r="A1623" s="286" t="s">
        <v>133</v>
      </c>
      <c r="B1623" s="41">
        <v>43291</v>
      </c>
      <c r="C1623" s="41">
        <v>43299</v>
      </c>
      <c r="D1623" s="40" t="s">
        <v>148</v>
      </c>
      <c r="E1623" s="325" t="s">
        <v>125</v>
      </c>
      <c r="F1623" s="40"/>
      <c r="G1623" s="40" t="s">
        <v>149</v>
      </c>
      <c r="H1623" s="381">
        <v>1000</v>
      </c>
      <c r="I1623" s="42">
        <v>33.5</v>
      </c>
      <c r="J1623" s="42"/>
      <c r="K1623" s="42">
        <v>10</v>
      </c>
      <c r="L1623" s="42">
        <v>2.6</v>
      </c>
      <c r="M1623" s="42">
        <v>4.8</v>
      </c>
      <c r="N1623" s="42"/>
      <c r="O1623" s="42"/>
      <c r="P1623" s="42">
        <v>1.3</v>
      </c>
      <c r="Q1623" s="42"/>
      <c r="R1623" s="43">
        <v>7.1</v>
      </c>
      <c r="S1623" s="42"/>
      <c r="T1623" s="42"/>
      <c r="U1623" s="42"/>
      <c r="V1623" s="42">
        <v>2.1</v>
      </c>
      <c r="W1623" s="42"/>
      <c r="X1623" s="42"/>
      <c r="Y1623" s="42"/>
      <c r="Z1623" s="42">
        <v>1.6</v>
      </c>
      <c r="AA1623" s="42">
        <v>37</v>
      </c>
      <c r="AB1623" s="44">
        <f>100/(SUM(I1623:Z1623))</f>
        <v>1.5873015873015872</v>
      </c>
      <c r="AC1623" s="259">
        <f>SUM(I1623:AA1623)</f>
        <v>100</v>
      </c>
      <c r="AD1623" s="42"/>
      <c r="AE1623" s="42"/>
      <c r="AF1623" s="42"/>
      <c r="AG1623" s="45"/>
      <c r="AH1623" s="40" t="s">
        <v>1383</v>
      </c>
      <c r="AI1623" s="132" t="s">
        <v>1420</v>
      </c>
      <c r="AJ1623" s="132" t="s">
        <v>1454</v>
      </c>
      <c r="AK1623" s="40"/>
      <c r="AL1623" s="45">
        <f>(B1623-DATE(1970,1,1))*86400</f>
        <v>1531180800</v>
      </c>
      <c r="AM1623" s="45">
        <f>(C1623-DATE(1970,1,1))*86400</f>
        <v>1531872000</v>
      </c>
      <c r="AN1623" s="45">
        <f>AVERAGE(AL1623:AM1623)</f>
        <v>1531526400</v>
      </c>
    </row>
    <row r="1624" spans="1:65" ht="15.75" customHeight="1" x14ac:dyDescent="0.2">
      <c r="A1624" s="286" t="s">
        <v>123</v>
      </c>
      <c r="B1624" s="41">
        <v>43291</v>
      </c>
      <c r="C1624" s="41">
        <v>43299</v>
      </c>
      <c r="D1624" s="40" t="s">
        <v>148</v>
      </c>
      <c r="E1624" s="325" t="s">
        <v>125</v>
      </c>
      <c r="F1624" s="40"/>
      <c r="G1624" s="40" t="s">
        <v>149</v>
      </c>
      <c r="H1624" s="381">
        <v>1000</v>
      </c>
      <c r="I1624" s="43">
        <v>54.8</v>
      </c>
      <c r="J1624" s="43"/>
      <c r="K1624" s="42">
        <v>13.2</v>
      </c>
      <c r="L1624" s="42">
        <v>4.7</v>
      </c>
      <c r="M1624" s="42">
        <v>7.4</v>
      </c>
      <c r="N1624" s="42"/>
      <c r="O1624" s="42"/>
      <c r="P1624" s="42">
        <v>1.3</v>
      </c>
      <c r="Q1624" s="42"/>
      <c r="R1624" s="43">
        <v>12.5</v>
      </c>
      <c r="S1624" s="42"/>
      <c r="T1624" s="42"/>
      <c r="U1624" s="42"/>
      <c r="V1624" s="42">
        <v>3.3</v>
      </c>
      <c r="W1624" s="42"/>
      <c r="X1624" s="42"/>
      <c r="Y1624" s="42"/>
      <c r="Z1624" s="42">
        <v>2.8</v>
      </c>
      <c r="AA1624" s="42">
        <v>0</v>
      </c>
      <c r="AB1624" s="44">
        <f>100/(SUM(I1624:Z1624))</f>
        <v>1</v>
      </c>
      <c r="AC1624" s="259">
        <f>SUM(I1624:AA1624)</f>
        <v>100</v>
      </c>
      <c r="AD1624" s="42"/>
      <c r="AE1624" s="42"/>
      <c r="AF1624" s="42"/>
      <c r="AG1624" s="45"/>
      <c r="AH1624" s="40" t="s">
        <v>1383</v>
      </c>
      <c r="AI1624" s="132" t="s">
        <v>1420</v>
      </c>
      <c r="AJ1624" s="132" t="s">
        <v>1454</v>
      </c>
      <c r="AK1624" s="40"/>
      <c r="AL1624" s="45">
        <f>(B1624-DATE(1970,1,1))*86400</f>
        <v>1531180800</v>
      </c>
      <c r="AM1624" s="45">
        <f>(C1624-DATE(1970,1,1))*86400</f>
        <v>1531872000</v>
      </c>
      <c r="AN1624" s="45">
        <f>AVERAGE(AL1624:AM1624)</f>
        <v>1531526400</v>
      </c>
    </row>
    <row r="1625" spans="1:65" ht="15.75" customHeight="1" x14ac:dyDescent="0.2">
      <c r="A1625" s="281" t="s">
        <v>133</v>
      </c>
      <c r="B1625" s="167">
        <v>43291</v>
      </c>
      <c r="C1625" s="167">
        <v>43297</v>
      </c>
      <c r="D1625" s="53" t="s">
        <v>154</v>
      </c>
      <c r="E1625" s="323" t="s">
        <v>125</v>
      </c>
      <c r="F1625" s="53"/>
      <c r="G1625" s="53" t="s">
        <v>126</v>
      </c>
      <c r="H1625" s="384">
        <v>1010</v>
      </c>
      <c r="I1625" s="172">
        <v>25</v>
      </c>
      <c r="J1625" s="172"/>
      <c r="K1625" s="172">
        <v>11</v>
      </c>
      <c r="L1625" s="172">
        <v>3</v>
      </c>
      <c r="M1625" s="172">
        <v>2</v>
      </c>
      <c r="N1625" s="175"/>
      <c r="O1625" s="175"/>
      <c r="P1625" s="172">
        <v>1</v>
      </c>
      <c r="Q1625" s="172"/>
      <c r="R1625" s="172">
        <v>10</v>
      </c>
      <c r="S1625" s="172"/>
      <c r="T1625" s="172"/>
      <c r="U1625" s="175"/>
      <c r="V1625" s="172">
        <v>1</v>
      </c>
      <c r="W1625" s="172"/>
      <c r="X1625" s="175"/>
      <c r="Y1625" s="175"/>
      <c r="Z1625" s="175">
        <v>1</v>
      </c>
      <c r="AA1625" s="55">
        <v>47</v>
      </c>
      <c r="AB1625" s="57">
        <f>100/(SUM(I1625:Z1625))</f>
        <v>1.8518518518518519</v>
      </c>
      <c r="AC1625" s="259">
        <f>SUM(I1625:AA1625)</f>
        <v>101</v>
      </c>
      <c r="AD1625" s="55"/>
      <c r="AE1625" s="55"/>
      <c r="AF1625" s="55"/>
      <c r="AG1625" s="58"/>
      <c r="AH1625" s="59" t="s">
        <v>1455</v>
      </c>
      <c r="AI1625" s="59" t="s">
        <v>1456</v>
      </c>
      <c r="AJ1625" s="59" t="s">
        <v>1457</v>
      </c>
      <c r="AK1625" s="53" t="s">
        <v>1458</v>
      </c>
      <c r="AL1625" s="58">
        <f>(B1625-DATE(1970,1,1))*86400</f>
        <v>1531180800</v>
      </c>
      <c r="AM1625" s="58">
        <f>(C1625-DATE(1970,1,1))*86400</f>
        <v>1531699200</v>
      </c>
      <c r="AN1625" s="58">
        <f>AVERAGE(AL1625:AM1625)</f>
        <v>1531440000</v>
      </c>
    </row>
    <row r="1626" spans="1:65" ht="15.75" customHeight="1" x14ac:dyDescent="0.2">
      <c r="A1626" s="281" t="s">
        <v>123</v>
      </c>
      <c r="B1626" s="167">
        <v>43291</v>
      </c>
      <c r="C1626" s="167">
        <v>43297</v>
      </c>
      <c r="D1626" s="53" t="s">
        <v>154</v>
      </c>
      <c r="E1626" s="323" t="s">
        <v>125</v>
      </c>
      <c r="F1626" s="53"/>
      <c r="G1626" s="53" t="s">
        <v>126</v>
      </c>
      <c r="H1626" s="384">
        <v>1010</v>
      </c>
      <c r="I1626" s="172">
        <v>49</v>
      </c>
      <c r="J1626" s="172"/>
      <c r="K1626" s="172">
        <v>17</v>
      </c>
      <c r="L1626" s="172">
        <v>5</v>
      </c>
      <c r="M1626" s="172">
        <v>4</v>
      </c>
      <c r="N1626" s="172"/>
      <c r="O1626" s="172"/>
      <c r="P1626" s="172">
        <v>2</v>
      </c>
      <c r="Q1626" s="172"/>
      <c r="R1626" s="172">
        <v>16</v>
      </c>
      <c r="S1626" s="172"/>
      <c r="T1626" s="172"/>
      <c r="U1626" s="172"/>
      <c r="V1626" s="172">
        <v>3</v>
      </c>
      <c r="W1626" s="172"/>
      <c r="X1626" s="172"/>
      <c r="Y1626" s="172"/>
      <c r="Z1626" s="175">
        <v>4</v>
      </c>
      <c r="AA1626" s="55">
        <v>0</v>
      </c>
      <c r="AB1626" s="57">
        <f>100/(SUM(I1626:Z1626))</f>
        <v>1</v>
      </c>
      <c r="AC1626" s="259">
        <f>SUM(I1626:AA1626)</f>
        <v>100</v>
      </c>
      <c r="AD1626" s="55"/>
      <c r="AE1626" s="55"/>
      <c r="AF1626" s="55"/>
      <c r="AG1626" s="58"/>
      <c r="AH1626" s="59" t="s">
        <v>1455</v>
      </c>
      <c r="AI1626" s="59" t="s">
        <v>1456</v>
      </c>
      <c r="AJ1626" s="59" t="s">
        <v>1457</v>
      </c>
      <c r="AK1626" s="53" t="s">
        <v>1458</v>
      </c>
      <c r="AL1626" s="58">
        <f>(B1626-DATE(1970,1,1))*86400</f>
        <v>1531180800</v>
      </c>
      <c r="AM1626" s="58">
        <f>(C1626-DATE(1970,1,1))*86400</f>
        <v>1531699200</v>
      </c>
      <c r="AN1626" s="58">
        <f>AVERAGE(AL1626:AM1626)</f>
        <v>1531440000</v>
      </c>
    </row>
    <row r="1627" spans="1:65" ht="15.75" customHeight="1" x14ac:dyDescent="0.2">
      <c r="A1627" s="279" t="s">
        <v>133</v>
      </c>
      <c r="B1627" s="160">
        <v>43282</v>
      </c>
      <c r="C1627" s="160">
        <v>43298</v>
      </c>
      <c r="D1627" s="13" t="s">
        <v>124</v>
      </c>
      <c r="E1627" s="324" t="s">
        <v>125</v>
      </c>
      <c r="F1627" s="13"/>
      <c r="G1627" s="13" t="s">
        <v>149</v>
      </c>
      <c r="H1627" s="372">
        <v>2000</v>
      </c>
      <c r="I1627" s="161">
        <v>42</v>
      </c>
      <c r="J1627" s="161"/>
      <c r="K1627" s="161">
        <v>10</v>
      </c>
      <c r="L1627" s="161">
        <v>3</v>
      </c>
      <c r="M1627" s="161">
        <v>4</v>
      </c>
      <c r="N1627" s="161"/>
      <c r="O1627" s="161"/>
      <c r="P1627" s="161">
        <v>2</v>
      </c>
      <c r="Q1627" s="161"/>
      <c r="R1627" s="161">
        <v>6</v>
      </c>
      <c r="S1627" s="161"/>
      <c r="T1627" s="161"/>
      <c r="U1627" s="161"/>
      <c r="V1627" s="161">
        <v>1</v>
      </c>
      <c r="W1627" s="161"/>
      <c r="X1627" s="161">
        <v>1</v>
      </c>
      <c r="Y1627" s="161"/>
      <c r="Z1627" s="166">
        <v>1</v>
      </c>
      <c r="AA1627" s="98">
        <v>30</v>
      </c>
      <c r="AB1627" s="16">
        <f>100/(SUM(I1627:Z1627))</f>
        <v>1.4285714285714286</v>
      </c>
      <c r="AC1627" s="259">
        <f>SUM(I1627:AA1627)</f>
        <v>100</v>
      </c>
      <c r="AD1627" s="15"/>
      <c r="AE1627" s="15"/>
      <c r="AF1627" s="15"/>
      <c r="AG1627" s="17"/>
      <c r="AH1627" s="18" t="s">
        <v>1459</v>
      </c>
      <c r="AI1627" s="18" t="s">
        <v>1460</v>
      </c>
      <c r="AJ1627" s="18" t="s">
        <v>1404</v>
      </c>
      <c r="AK1627" s="13" t="s">
        <v>1453</v>
      </c>
      <c r="AL1627" s="17">
        <f>(B1627-DATE(1970,1,1))*86400</f>
        <v>1530403200</v>
      </c>
      <c r="AM1627" s="17">
        <f>(C1627-DATE(1970,1,1))*86400</f>
        <v>1531785600</v>
      </c>
      <c r="AN1627" s="17">
        <f>AVERAGE(AL1627:AM1627)</f>
        <v>1531094400</v>
      </c>
    </row>
    <row r="1628" spans="1:65" ht="15.75" customHeight="1" x14ac:dyDescent="0.2">
      <c r="A1628" s="279" t="s">
        <v>123</v>
      </c>
      <c r="B1628" s="160">
        <v>43282</v>
      </c>
      <c r="C1628" s="160">
        <v>43298</v>
      </c>
      <c r="D1628" s="13" t="s">
        <v>124</v>
      </c>
      <c r="E1628" s="324" t="s">
        <v>125</v>
      </c>
      <c r="F1628" s="13"/>
      <c r="G1628" s="13" t="s">
        <v>149</v>
      </c>
      <c r="H1628" s="372">
        <v>2000</v>
      </c>
      <c r="I1628" s="161">
        <v>55</v>
      </c>
      <c r="J1628" s="161"/>
      <c r="K1628" s="161">
        <v>17</v>
      </c>
      <c r="L1628" s="161">
        <v>5</v>
      </c>
      <c r="M1628" s="161">
        <v>6</v>
      </c>
      <c r="N1628" s="161"/>
      <c r="O1628" s="161"/>
      <c r="P1628" s="161">
        <v>4</v>
      </c>
      <c r="Q1628" s="161"/>
      <c r="R1628" s="161">
        <v>9</v>
      </c>
      <c r="S1628" s="161"/>
      <c r="T1628" s="161"/>
      <c r="U1628" s="161"/>
      <c r="V1628" s="161">
        <v>2</v>
      </c>
      <c r="W1628" s="161"/>
      <c r="X1628" s="161">
        <v>1</v>
      </c>
      <c r="Y1628" s="161"/>
      <c r="Z1628" s="166">
        <v>2</v>
      </c>
      <c r="AA1628" s="15">
        <v>0</v>
      </c>
      <c r="AB1628" s="16">
        <f>100/(SUM(I1628:Z1628))</f>
        <v>0.99009900990099009</v>
      </c>
      <c r="AC1628" s="259">
        <f>SUM(I1628:AA1628)</f>
        <v>101</v>
      </c>
      <c r="AD1628" s="15"/>
      <c r="AE1628" s="15"/>
      <c r="AF1628" s="15"/>
      <c r="AG1628" s="17"/>
      <c r="AH1628" s="18" t="s">
        <v>1459</v>
      </c>
      <c r="AI1628" s="18" t="s">
        <v>1460</v>
      </c>
      <c r="AJ1628" s="18" t="s">
        <v>1404</v>
      </c>
      <c r="AK1628" s="13"/>
      <c r="AL1628" s="17">
        <f>(B1628-DATE(1970,1,1))*86400</f>
        <v>1530403200</v>
      </c>
      <c r="AM1628" s="17">
        <f>(C1628-DATE(1970,1,1))*86400</f>
        <v>1531785600</v>
      </c>
      <c r="AN1628" s="17">
        <f>AVERAGE(AL1628:AM1628)</f>
        <v>1531094400</v>
      </c>
    </row>
    <row r="1629" spans="1:65" ht="15.75" customHeight="1" x14ac:dyDescent="0.2">
      <c r="A1629" s="280" t="s">
        <v>133</v>
      </c>
      <c r="B1629" s="169">
        <v>43283</v>
      </c>
      <c r="C1629" s="169">
        <v>43287</v>
      </c>
      <c r="D1629" s="76" t="s">
        <v>200</v>
      </c>
      <c r="E1629" s="320" t="s">
        <v>125</v>
      </c>
      <c r="F1629" s="76"/>
      <c r="G1629" s="76" t="s">
        <v>126</v>
      </c>
      <c r="H1629" s="383">
        <v>1000</v>
      </c>
      <c r="I1629" s="170">
        <v>36</v>
      </c>
      <c r="J1629" s="170"/>
      <c r="K1629" s="170">
        <v>8</v>
      </c>
      <c r="L1629" s="170">
        <v>4</v>
      </c>
      <c r="M1629" s="170">
        <v>4</v>
      </c>
      <c r="N1629" s="170"/>
      <c r="O1629" s="170"/>
      <c r="P1629" s="170"/>
      <c r="Q1629" s="170"/>
      <c r="R1629" s="170">
        <v>9</v>
      </c>
      <c r="S1629" s="170"/>
      <c r="T1629" s="170"/>
      <c r="U1629" s="170"/>
      <c r="V1629" s="170"/>
      <c r="W1629" s="170"/>
      <c r="X1629" s="170"/>
      <c r="Y1629" s="170"/>
      <c r="Z1629" s="170">
        <v>6</v>
      </c>
      <c r="AA1629" s="78">
        <v>33</v>
      </c>
      <c r="AB1629" s="79">
        <f>100/(SUM(I1629:Z1629))</f>
        <v>1.4925373134328359</v>
      </c>
      <c r="AC1629" s="259">
        <f>SUM(I1629:AA1629)</f>
        <v>100</v>
      </c>
      <c r="AD1629" s="78"/>
      <c r="AE1629" s="78"/>
      <c r="AF1629" s="78"/>
      <c r="AG1629" s="80"/>
      <c r="AH1629" s="81" t="s">
        <v>1461</v>
      </c>
      <c r="AI1629" s="76" t="s">
        <v>1462</v>
      </c>
      <c r="AJ1629" s="76" t="s">
        <v>1463</v>
      </c>
      <c r="AK1629" s="76" t="s">
        <v>1412</v>
      </c>
      <c r="AL1629" s="80">
        <f>(B1629-DATE(1970,1,1))*86400</f>
        <v>1530489600</v>
      </c>
      <c r="AM1629" s="80">
        <f>(C1629-DATE(1970,1,1))*86400</f>
        <v>1530835200</v>
      </c>
      <c r="AN1629" s="80">
        <f>AVERAGE(AL1629:AM1629)</f>
        <v>1530662400</v>
      </c>
    </row>
    <row r="1630" spans="1:65" ht="15.75" customHeight="1" x14ac:dyDescent="0.2">
      <c r="A1630" s="280" t="s">
        <v>123</v>
      </c>
      <c r="B1630" s="169">
        <v>43283</v>
      </c>
      <c r="C1630" s="169">
        <v>43287</v>
      </c>
      <c r="D1630" s="76" t="s">
        <v>200</v>
      </c>
      <c r="E1630" s="320" t="s">
        <v>125</v>
      </c>
      <c r="F1630" s="76"/>
      <c r="G1630" s="76" t="s">
        <v>126</v>
      </c>
      <c r="H1630" s="383">
        <v>1000</v>
      </c>
      <c r="I1630" s="170">
        <v>53</v>
      </c>
      <c r="J1630" s="170"/>
      <c r="K1630" s="170">
        <v>13</v>
      </c>
      <c r="L1630" s="170">
        <v>6</v>
      </c>
      <c r="M1630" s="170">
        <v>6</v>
      </c>
      <c r="N1630" s="170"/>
      <c r="O1630" s="170"/>
      <c r="P1630" s="170"/>
      <c r="Q1630" s="170"/>
      <c r="R1630" s="170">
        <v>14</v>
      </c>
      <c r="S1630" s="170"/>
      <c r="T1630" s="170"/>
      <c r="U1630" s="170"/>
      <c r="V1630" s="170"/>
      <c r="W1630" s="170"/>
      <c r="X1630" s="170"/>
      <c r="Y1630" s="170"/>
      <c r="Z1630" s="170">
        <v>8</v>
      </c>
      <c r="AA1630" s="78">
        <v>0</v>
      </c>
      <c r="AB1630" s="79">
        <f>100/(SUM(I1630:Z1630))</f>
        <v>1</v>
      </c>
      <c r="AC1630" s="259">
        <f>SUM(I1630:AA1630)</f>
        <v>100</v>
      </c>
      <c r="AD1630" s="78"/>
      <c r="AE1630" s="78"/>
      <c r="AF1630" s="78"/>
      <c r="AG1630" s="80"/>
      <c r="AH1630" s="81" t="s">
        <v>1461</v>
      </c>
      <c r="AI1630" s="76" t="s">
        <v>1462</v>
      </c>
      <c r="AJ1630" s="76" t="s">
        <v>1463</v>
      </c>
      <c r="AK1630" s="76" t="s">
        <v>1412</v>
      </c>
      <c r="AL1630" s="80">
        <f>(B1630-DATE(1970,1,1))*86400</f>
        <v>1530489600</v>
      </c>
      <c r="AM1630" s="80">
        <f>(C1630-DATE(1970,1,1))*86400</f>
        <v>1530835200</v>
      </c>
      <c r="AN1630" s="80">
        <f>AVERAGE(AL1630:AM1630)</f>
        <v>1530662400</v>
      </c>
    </row>
    <row r="1631" spans="1:65" ht="15.75" customHeight="1" x14ac:dyDescent="0.2">
      <c r="A1631" s="302" t="s">
        <v>123</v>
      </c>
      <c r="B1631" s="254">
        <v>43271</v>
      </c>
      <c r="C1631" s="254">
        <v>43271</v>
      </c>
      <c r="D1631" s="262" t="s">
        <v>2445</v>
      </c>
      <c r="E1631" s="322" t="s">
        <v>184</v>
      </c>
      <c r="F1631" s="121" t="s">
        <v>2007</v>
      </c>
      <c r="G1631" s="262" t="s">
        <v>244</v>
      </c>
      <c r="H1631" s="379">
        <v>500</v>
      </c>
      <c r="I1631" s="123">
        <v>58</v>
      </c>
      <c r="J1631" s="123">
        <v>12</v>
      </c>
      <c r="K1631" s="123">
        <v>15</v>
      </c>
      <c r="L1631" s="123">
        <v>6</v>
      </c>
      <c r="M1631" s="123">
        <v>6</v>
      </c>
      <c r="N1631" s="123">
        <v>1</v>
      </c>
      <c r="O1631" s="123"/>
      <c r="P1631" s="123">
        <v>1</v>
      </c>
      <c r="Q1631" s="123"/>
      <c r="R1631" s="124"/>
      <c r="S1631" s="123"/>
      <c r="T1631" s="123"/>
      <c r="U1631" s="123"/>
      <c r="V1631" s="123"/>
      <c r="W1631" s="123"/>
      <c r="X1631" s="123"/>
      <c r="Y1631" s="123"/>
      <c r="Z1631" s="124">
        <v>1</v>
      </c>
      <c r="AA1631" s="123">
        <v>0</v>
      </c>
      <c r="AB1631" s="125">
        <f>100/(SUM(I1631:Z1631))</f>
        <v>1</v>
      </c>
      <c r="AC1631" s="259">
        <f>SUM(I1631:AA1631)</f>
        <v>100</v>
      </c>
      <c r="AD1631" s="123"/>
      <c r="AE1631" s="123"/>
      <c r="AF1631" s="123"/>
      <c r="AG1631" s="263" t="s">
        <v>719</v>
      </c>
      <c r="AH1631" s="253"/>
      <c r="AI1631" s="253" t="s">
        <v>2003</v>
      </c>
      <c r="AJ1631" s="127"/>
      <c r="AK1631" s="121" t="s">
        <v>2005</v>
      </c>
      <c r="AL1631" s="126">
        <f>(B1631-DATE(1970,1,1))*86400</f>
        <v>1529452800</v>
      </c>
      <c r="AM1631" s="126">
        <f>(C1631-DATE(1970,1,1))*86400</f>
        <v>1529452800</v>
      </c>
      <c r="AN1631" s="126">
        <f>AVERAGE(AL1631:AM1631)</f>
        <v>1529452800</v>
      </c>
    </row>
    <row r="1632" spans="1:65" ht="15.75" customHeight="1" x14ac:dyDescent="0.2">
      <c r="A1632" s="279" t="s">
        <v>133</v>
      </c>
      <c r="B1632" s="160">
        <v>43254</v>
      </c>
      <c r="C1632" s="160">
        <v>43273</v>
      </c>
      <c r="D1632" s="13" t="s">
        <v>124</v>
      </c>
      <c r="E1632" s="324" t="s">
        <v>125</v>
      </c>
      <c r="F1632" s="13"/>
      <c r="G1632" s="13" t="s">
        <v>149</v>
      </c>
      <c r="H1632" s="372">
        <v>2000</v>
      </c>
      <c r="I1632" s="161">
        <v>42</v>
      </c>
      <c r="J1632" s="161"/>
      <c r="K1632" s="161">
        <v>11</v>
      </c>
      <c r="L1632" s="161">
        <v>3</v>
      </c>
      <c r="M1632" s="161">
        <v>3</v>
      </c>
      <c r="N1632" s="173"/>
      <c r="O1632" s="173"/>
      <c r="P1632" s="161">
        <v>2</v>
      </c>
      <c r="Q1632" s="161"/>
      <c r="R1632" s="161">
        <v>6</v>
      </c>
      <c r="S1632" s="161"/>
      <c r="T1632" s="161"/>
      <c r="U1632" s="173"/>
      <c r="V1632" s="161">
        <v>1</v>
      </c>
      <c r="W1632" s="161"/>
      <c r="X1632" s="173"/>
      <c r="Y1632" s="173"/>
      <c r="Z1632" s="166">
        <v>1</v>
      </c>
      <c r="AA1632" s="98">
        <v>31</v>
      </c>
      <c r="AB1632" s="16">
        <f>100/(SUM(I1632:Z1632))</f>
        <v>1.4492753623188406</v>
      </c>
      <c r="AC1632" s="259">
        <f>SUM(I1632:AA1632)</f>
        <v>100</v>
      </c>
      <c r="AD1632" s="15"/>
      <c r="AE1632" s="15"/>
      <c r="AF1632" s="15"/>
      <c r="AG1632" s="17"/>
      <c r="AH1632" s="18" t="s">
        <v>1464</v>
      </c>
      <c r="AI1632" s="18" t="s">
        <v>1403</v>
      </c>
      <c r="AJ1632" s="18" t="s">
        <v>1404</v>
      </c>
      <c r="AK1632" s="13" t="s">
        <v>1465</v>
      </c>
      <c r="AL1632" s="17">
        <f>(B1632-DATE(1970,1,1))*86400</f>
        <v>1527984000</v>
      </c>
      <c r="AM1632" s="17">
        <f>(C1632-DATE(1970,1,1))*86400</f>
        <v>1529625600</v>
      </c>
      <c r="AN1632" s="17">
        <f>AVERAGE(AL1632:AM1632)</f>
        <v>1528804800</v>
      </c>
    </row>
    <row r="1633" spans="1:65" ht="15.75" customHeight="1" x14ac:dyDescent="0.2">
      <c r="A1633" s="279" t="s">
        <v>123</v>
      </c>
      <c r="B1633" s="160">
        <v>43254</v>
      </c>
      <c r="C1633" s="160">
        <v>43273</v>
      </c>
      <c r="D1633" s="13" t="s">
        <v>124</v>
      </c>
      <c r="E1633" s="324" t="s">
        <v>125</v>
      </c>
      <c r="F1633" s="13"/>
      <c r="G1633" s="13" t="s">
        <v>149</v>
      </c>
      <c r="H1633" s="372">
        <v>2000</v>
      </c>
      <c r="I1633" s="161">
        <v>55</v>
      </c>
      <c r="J1633" s="161"/>
      <c r="K1633" s="161">
        <v>18</v>
      </c>
      <c r="L1633" s="161">
        <v>6</v>
      </c>
      <c r="M1633" s="161">
        <v>5</v>
      </c>
      <c r="N1633" s="173"/>
      <c r="O1633" s="173"/>
      <c r="P1633" s="161">
        <v>4</v>
      </c>
      <c r="Q1633" s="161"/>
      <c r="R1633" s="161">
        <v>9</v>
      </c>
      <c r="S1633" s="161"/>
      <c r="T1633" s="161"/>
      <c r="U1633" s="173"/>
      <c r="V1633" s="161">
        <v>2</v>
      </c>
      <c r="W1633" s="161"/>
      <c r="X1633" s="173"/>
      <c r="Y1633" s="173"/>
      <c r="Z1633" s="166">
        <v>1</v>
      </c>
      <c r="AA1633" s="15">
        <v>0</v>
      </c>
      <c r="AB1633" s="16">
        <f>100/(SUM(I1633:Z1633))</f>
        <v>1</v>
      </c>
      <c r="AC1633" s="259">
        <f>SUM(I1633:AA1633)</f>
        <v>100</v>
      </c>
      <c r="AD1633" s="15"/>
      <c r="AE1633" s="15"/>
      <c r="AF1633" s="15"/>
      <c r="AG1633" s="17"/>
      <c r="AH1633" s="18" t="s">
        <v>1464</v>
      </c>
      <c r="AI1633" s="18" t="s">
        <v>1403</v>
      </c>
      <c r="AJ1633" s="18" t="s">
        <v>1404</v>
      </c>
      <c r="AK1633" s="13" t="s">
        <v>1465</v>
      </c>
      <c r="AL1633" s="17">
        <f>(B1633-DATE(1970,1,1))*86400</f>
        <v>1527984000</v>
      </c>
      <c r="AM1633" s="17">
        <f>(C1633-DATE(1970,1,1))*86400</f>
        <v>1529625600</v>
      </c>
      <c r="AN1633" s="17">
        <f>AVERAGE(AL1633:AM1633)</f>
        <v>1528804800</v>
      </c>
    </row>
    <row r="1634" spans="1:65" ht="15.75" customHeight="1" x14ac:dyDescent="0.2">
      <c r="A1634" s="281" t="s">
        <v>133</v>
      </c>
      <c r="B1634" s="167">
        <v>43258</v>
      </c>
      <c r="C1634" s="167">
        <v>43264</v>
      </c>
      <c r="D1634" s="53" t="s">
        <v>154</v>
      </c>
      <c r="E1634" s="323" t="s">
        <v>125</v>
      </c>
      <c r="F1634" s="53"/>
      <c r="G1634" s="53" t="s">
        <v>126</v>
      </c>
      <c r="H1634" s="384">
        <v>996</v>
      </c>
      <c r="I1634" s="172">
        <v>25</v>
      </c>
      <c r="J1634" s="172"/>
      <c r="K1634" s="172">
        <v>11</v>
      </c>
      <c r="L1634" s="172">
        <v>3</v>
      </c>
      <c r="M1634" s="172">
        <v>3</v>
      </c>
      <c r="N1634" s="172"/>
      <c r="O1634" s="172"/>
      <c r="P1634" s="172">
        <v>2</v>
      </c>
      <c r="Q1634" s="172"/>
      <c r="R1634" s="172">
        <v>11</v>
      </c>
      <c r="S1634" s="172"/>
      <c r="T1634" s="172"/>
      <c r="U1634" s="172"/>
      <c r="V1634" s="172">
        <v>2</v>
      </c>
      <c r="W1634" s="172"/>
      <c r="X1634" s="172"/>
      <c r="Y1634" s="172"/>
      <c r="Z1634" s="172">
        <v>2</v>
      </c>
      <c r="AA1634" s="55">
        <v>42</v>
      </c>
      <c r="AB1634" s="57">
        <f>100/(SUM(I1634:Z1634))</f>
        <v>1.6949152542372881</v>
      </c>
      <c r="AC1634" s="259">
        <f>SUM(I1634:AA1634)</f>
        <v>101</v>
      </c>
      <c r="AD1634" s="55"/>
      <c r="AE1634" s="55"/>
      <c r="AF1634" s="55"/>
      <c r="AG1634" s="58"/>
      <c r="AH1634" s="59" t="s">
        <v>1466</v>
      </c>
      <c r="AI1634" s="59" t="s">
        <v>1467</v>
      </c>
      <c r="AJ1634" s="53"/>
      <c r="AK1634" s="53" t="s">
        <v>1468</v>
      </c>
      <c r="AL1634" s="58">
        <f>(B1634-DATE(1970,1,1))*86400</f>
        <v>1528329600</v>
      </c>
      <c r="AM1634" s="58">
        <f>(C1634-DATE(1970,1,1))*86400</f>
        <v>1528848000</v>
      </c>
      <c r="AN1634" s="58">
        <f>AVERAGE(AL1634:AM1634)</f>
        <v>1528588800</v>
      </c>
    </row>
    <row r="1635" spans="1:65" ht="15.75" customHeight="1" x14ac:dyDescent="0.2">
      <c r="A1635" s="281" t="s">
        <v>123</v>
      </c>
      <c r="B1635" s="167">
        <v>43258</v>
      </c>
      <c r="C1635" s="167">
        <v>43264</v>
      </c>
      <c r="D1635" s="53" t="s">
        <v>154</v>
      </c>
      <c r="E1635" s="323" t="s">
        <v>125</v>
      </c>
      <c r="F1635" s="53"/>
      <c r="G1635" s="53" t="s">
        <v>126</v>
      </c>
      <c r="H1635" s="384">
        <v>996</v>
      </c>
      <c r="I1635" s="172">
        <v>48</v>
      </c>
      <c r="J1635" s="172"/>
      <c r="K1635" s="172">
        <v>16</v>
      </c>
      <c r="L1635" s="172">
        <v>5</v>
      </c>
      <c r="M1635" s="172">
        <v>4</v>
      </c>
      <c r="N1635" s="172"/>
      <c r="O1635" s="172"/>
      <c r="P1635" s="172">
        <v>3</v>
      </c>
      <c r="Q1635" s="172"/>
      <c r="R1635" s="172">
        <v>16</v>
      </c>
      <c r="S1635" s="172"/>
      <c r="T1635" s="172"/>
      <c r="U1635" s="172"/>
      <c r="V1635" s="172">
        <v>3</v>
      </c>
      <c r="W1635" s="172"/>
      <c r="X1635" s="172"/>
      <c r="Y1635" s="172"/>
      <c r="Z1635" s="175">
        <v>5</v>
      </c>
      <c r="AA1635" s="55">
        <v>0</v>
      </c>
      <c r="AB1635" s="57">
        <f>100/(SUM(I1635:Z1635))</f>
        <v>1</v>
      </c>
      <c r="AC1635" s="259">
        <f>SUM(I1635:AA1635)</f>
        <v>100</v>
      </c>
      <c r="AD1635" s="55"/>
      <c r="AE1635" s="55"/>
      <c r="AF1635" s="55"/>
      <c r="AG1635" s="58"/>
      <c r="AH1635" s="59" t="s">
        <v>1466</v>
      </c>
      <c r="AI1635" s="59" t="s">
        <v>1467</v>
      </c>
      <c r="AJ1635" s="53"/>
      <c r="AK1635" s="53" t="s">
        <v>1469</v>
      </c>
      <c r="AL1635" s="58">
        <f>(B1635-DATE(1970,1,1))*86400</f>
        <v>1528329600</v>
      </c>
      <c r="AM1635" s="58">
        <f>(C1635-DATE(1970,1,1))*86400</f>
        <v>1528848000</v>
      </c>
      <c r="AN1635" s="58">
        <f>AVERAGE(AL1635:AM1635)</f>
        <v>1528588800</v>
      </c>
    </row>
    <row r="1636" spans="1:65" ht="15.75" customHeight="1" x14ac:dyDescent="0.2">
      <c r="A1636" s="286" t="s">
        <v>133</v>
      </c>
      <c r="B1636" s="41">
        <v>43255</v>
      </c>
      <c r="C1636" s="41">
        <v>43262</v>
      </c>
      <c r="D1636" s="40" t="s">
        <v>148</v>
      </c>
      <c r="E1636" s="325" t="s">
        <v>125</v>
      </c>
      <c r="F1636" s="40"/>
      <c r="G1636" s="40" t="s">
        <v>149</v>
      </c>
      <c r="H1636" s="381">
        <v>1000</v>
      </c>
      <c r="I1636" s="43">
        <v>33</v>
      </c>
      <c r="J1636" s="43"/>
      <c r="K1636" s="42">
        <v>13.3</v>
      </c>
      <c r="L1636" s="42">
        <v>3</v>
      </c>
      <c r="M1636" s="42">
        <v>4.0999999999999996</v>
      </c>
      <c r="N1636" s="42"/>
      <c r="O1636" s="42"/>
      <c r="P1636" s="42">
        <v>1.4</v>
      </c>
      <c r="Q1636" s="42"/>
      <c r="R1636" s="43">
        <v>7.4</v>
      </c>
      <c r="S1636" s="42"/>
      <c r="T1636" s="42"/>
      <c r="U1636" s="42"/>
      <c r="V1636" s="42">
        <v>1.8</v>
      </c>
      <c r="W1636" s="42"/>
      <c r="X1636" s="42"/>
      <c r="Y1636" s="42"/>
      <c r="Z1636" s="42">
        <v>0.8</v>
      </c>
      <c r="AA1636" s="42">
        <v>35.299999999999997</v>
      </c>
      <c r="AB1636" s="44">
        <f>100/(SUM(I1636:Z1636))</f>
        <v>1.5432098765432098</v>
      </c>
      <c r="AC1636" s="259">
        <f>SUM(I1636:AA1636)</f>
        <v>100.1</v>
      </c>
      <c r="AD1636" s="42"/>
      <c r="AE1636" s="42"/>
      <c r="AF1636" s="42"/>
      <c r="AG1636" s="45"/>
      <c r="AH1636" s="40" t="s">
        <v>1383</v>
      </c>
      <c r="AI1636" s="132" t="s">
        <v>1470</v>
      </c>
      <c r="AJ1636" s="40"/>
      <c r="AK1636" s="40"/>
      <c r="AL1636" s="45">
        <f>(B1636-DATE(1970,1,1))*86400</f>
        <v>1528070400</v>
      </c>
      <c r="AM1636" s="45">
        <f>(C1636-DATE(1970,1,1))*86400</f>
        <v>1528675200</v>
      </c>
      <c r="AN1636" s="45">
        <f>AVERAGE(AL1636:AM1636)</f>
        <v>1528372800</v>
      </c>
    </row>
    <row r="1637" spans="1:65" ht="15.75" customHeight="1" x14ac:dyDescent="0.2">
      <c r="A1637" s="286" t="s">
        <v>123</v>
      </c>
      <c r="B1637" s="41">
        <v>43255</v>
      </c>
      <c r="C1637" s="41">
        <v>43262</v>
      </c>
      <c r="D1637" s="40" t="s">
        <v>148</v>
      </c>
      <c r="E1637" s="325" t="s">
        <v>125</v>
      </c>
      <c r="F1637" s="40"/>
      <c r="G1637" s="40" t="s">
        <v>149</v>
      </c>
      <c r="H1637" s="381">
        <v>1000</v>
      </c>
      <c r="I1637" s="43">
        <v>55.3</v>
      </c>
      <c r="J1637" s="43"/>
      <c r="K1637" s="42">
        <v>17.2</v>
      </c>
      <c r="L1637" s="42">
        <v>4.5</v>
      </c>
      <c r="M1637" s="42">
        <v>6.4</v>
      </c>
      <c r="N1637" s="42"/>
      <c r="O1637" s="42"/>
      <c r="P1637" s="42">
        <v>1.8</v>
      </c>
      <c r="Q1637" s="42"/>
      <c r="R1637" s="43">
        <v>11.3</v>
      </c>
      <c r="S1637" s="42"/>
      <c r="T1637" s="42"/>
      <c r="U1637" s="42"/>
      <c r="V1637" s="42">
        <v>2.9</v>
      </c>
      <c r="W1637" s="42"/>
      <c r="X1637" s="42"/>
      <c r="Y1637" s="42"/>
      <c r="Z1637" s="42">
        <v>0.6</v>
      </c>
      <c r="AA1637" s="42">
        <v>0</v>
      </c>
      <c r="AB1637" s="44">
        <f>100/(SUM(I1637:Z1637))</f>
        <v>1</v>
      </c>
      <c r="AC1637" s="259">
        <f>SUM(I1637:AA1637)</f>
        <v>100</v>
      </c>
      <c r="AD1637" s="42"/>
      <c r="AE1637" s="42"/>
      <c r="AF1637" s="42"/>
      <c r="AG1637" s="45"/>
      <c r="AH1637" s="40" t="s">
        <v>1383</v>
      </c>
      <c r="AI1637" s="132" t="s">
        <v>1470</v>
      </c>
      <c r="AJ1637" s="40"/>
      <c r="AK1637" s="40"/>
      <c r="AL1637" s="45">
        <f>(B1637-DATE(1970,1,1))*86400</f>
        <v>1528070400</v>
      </c>
      <c r="AM1637" s="45">
        <f>(C1637-DATE(1970,1,1))*86400</f>
        <v>1528675200</v>
      </c>
      <c r="AN1637" s="45">
        <f>AVERAGE(AL1637:AM1637)</f>
        <v>1528372800</v>
      </c>
      <c r="AO1637" s="6"/>
      <c r="AP1637" s="6"/>
      <c r="AQ1637" s="6"/>
      <c r="AR1637" s="6"/>
      <c r="AS1637" s="6"/>
      <c r="AT1637" s="6"/>
      <c r="AU1637" s="6"/>
      <c r="AV1637" s="6"/>
      <c r="AW1637" s="6"/>
      <c r="AX1637" s="6"/>
      <c r="AY1637" s="6"/>
      <c r="AZ1637" s="6"/>
      <c r="BA1637" s="6"/>
      <c r="BB1637" s="6"/>
      <c r="BC1637" s="6"/>
      <c r="BD1637" s="6"/>
      <c r="BE1637" s="6"/>
      <c r="BF1637" s="6"/>
      <c r="BG1637" s="6"/>
      <c r="BH1637" s="6"/>
      <c r="BI1637" s="6"/>
      <c r="BJ1637" s="6"/>
      <c r="BK1637" s="6"/>
      <c r="BL1637" s="6"/>
      <c r="BM1637" s="6"/>
    </row>
    <row r="1638" spans="1:65" ht="15.75" customHeight="1" x14ac:dyDescent="0.2">
      <c r="A1638" s="302" t="s">
        <v>123</v>
      </c>
      <c r="B1638" s="254">
        <v>43249</v>
      </c>
      <c r="C1638" s="254">
        <v>43249</v>
      </c>
      <c r="D1638" s="262" t="s">
        <v>2445</v>
      </c>
      <c r="E1638" s="322" t="s">
        <v>184</v>
      </c>
      <c r="F1638" s="121" t="s">
        <v>2007</v>
      </c>
      <c r="G1638" s="262" t="s">
        <v>244</v>
      </c>
      <c r="H1638" s="379">
        <v>500</v>
      </c>
      <c r="I1638" s="123">
        <v>64</v>
      </c>
      <c r="J1638" s="123">
        <v>11</v>
      </c>
      <c r="K1638" s="123">
        <v>14</v>
      </c>
      <c r="L1638" s="123">
        <v>3</v>
      </c>
      <c r="M1638" s="123">
        <v>5</v>
      </c>
      <c r="N1638" s="124">
        <v>0</v>
      </c>
      <c r="O1638" s="123"/>
      <c r="P1638" s="124">
        <v>0</v>
      </c>
      <c r="Q1638" s="123"/>
      <c r="R1638" s="124"/>
      <c r="S1638" s="123"/>
      <c r="T1638" s="123"/>
      <c r="U1638" s="123"/>
      <c r="V1638" s="123"/>
      <c r="W1638" s="123"/>
      <c r="X1638" s="123"/>
      <c r="Y1638" s="123"/>
      <c r="Z1638" s="124">
        <v>3</v>
      </c>
      <c r="AA1638" s="123">
        <v>0</v>
      </c>
      <c r="AB1638" s="125">
        <f>100/(SUM(I1638:Z1638))</f>
        <v>1</v>
      </c>
      <c r="AC1638" s="259">
        <f>SUM(I1638:AA1638)</f>
        <v>100</v>
      </c>
      <c r="AD1638" s="123"/>
      <c r="AE1638" s="123"/>
      <c r="AF1638" s="123"/>
      <c r="AG1638" s="263" t="s">
        <v>719</v>
      </c>
      <c r="AH1638" s="253"/>
      <c r="AI1638" s="253" t="s">
        <v>2003</v>
      </c>
      <c r="AJ1638" s="127"/>
      <c r="AK1638" s="121" t="s">
        <v>2005</v>
      </c>
      <c r="AL1638" s="126">
        <f>(B1638-DATE(1970,1,1))*86400</f>
        <v>1527552000</v>
      </c>
      <c r="AM1638" s="126">
        <f>(C1638-DATE(1970,1,1))*86400</f>
        <v>1527552000</v>
      </c>
      <c r="AN1638" s="126">
        <f>AVERAGE(AL1638:AM1638)</f>
        <v>1527552000</v>
      </c>
    </row>
    <row r="1639" spans="1:65" ht="15.75" customHeight="1" x14ac:dyDescent="0.2">
      <c r="A1639" s="449" t="s">
        <v>133</v>
      </c>
      <c r="B1639" s="450">
        <v>43244</v>
      </c>
      <c r="C1639" s="450">
        <v>43251</v>
      </c>
      <c r="D1639" s="451" t="s">
        <v>143</v>
      </c>
      <c r="E1639" s="452" t="s">
        <v>125</v>
      </c>
      <c r="F1639" s="451"/>
      <c r="G1639" s="451" t="s">
        <v>149</v>
      </c>
      <c r="H1639" s="454">
        <v>1200</v>
      </c>
      <c r="I1639" s="463">
        <v>41</v>
      </c>
      <c r="J1639" s="463"/>
      <c r="K1639" s="463">
        <v>13</v>
      </c>
      <c r="L1639" s="463">
        <v>3</v>
      </c>
      <c r="M1639" s="463">
        <v>5</v>
      </c>
      <c r="N1639" s="463"/>
      <c r="O1639" s="463"/>
      <c r="P1639" s="463">
        <v>3</v>
      </c>
      <c r="Q1639" s="463"/>
      <c r="R1639" s="455">
        <v>8</v>
      </c>
      <c r="S1639" s="463"/>
      <c r="T1639" s="463"/>
      <c r="U1639" s="463"/>
      <c r="V1639" s="463">
        <v>1</v>
      </c>
      <c r="W1639" s="463"/>
      <c r="X1639" s="463"/>
      <c r="Y1639" s="463"/>
      <c r="Z1639" s="463">
        <v>1</v>
      </c>
      <c r="AA1639" s="455">
        <v>25</v>
      </c>
      <c r="AB1639" s="457">
        <f>100/(SUM(I1639:Z1639))</f>
        <v>1.3333333333333333</v>
      </c>
      <c r="AC1639" s="432">
        <f>SUM(I1639:AA1639)</f>
        <v>100</v>
      </c>
      <c r="AD1639" s="455"/>
      <c r="AE1639" s="455"/>
      <c r="AF1639" s="455"/>
      <c r="AG1639" s="459"/>
      <c r="AH1639" s="451" t="s">
        <v>1183</v>
      </c>
      <c r="AI1639" s="458" t="s">
        <v>1471</v>
      </c>
      <c r="AJ1639" s="451"/>
      <c r="AK1639" s="451" t="s">
        <v>1472</v>
      </c>
      <c r="AL1639" s="459">
        <f>(B1639-DATE(1970,1,1))*86400</f>
        <v>1527120000</v>
      </c>
      <c r="AM1639" s="459">
        <f>(C1639-DATE(1970,1,1))*86400</f>
        <v>1527724800</v>
      </c>
      <c r="AN1639" s="459">
        <f>AVERAGE(AL1639:AM1639)</f>
        <v>1527422400</v>
      </c>
      <c r="AO1639" s="6"/>
      <c r="AP1639" s="6"/>
      <c r="AQ1639" s="6"/>
      <c r="AR1639" s="6"/>
      <c r="AS1639" s="6"/>
      <c r="AT1639" s="6"/>
      <c r="AU1639" s="6"/>
      <c r="AV1639" s="6"/>
      <c r="AW1639" s="6"/>
      <c r="AX1639" s="6"/>
      <c r="AY1639" s="6"/>
      <c r="AZ1639" s="6"/>
      <c r="BA1639" s="6"/>
      <c r="BB1639" s="6"/>
      <c r="BC1639" s="6"/>
      <c r="BD1639" s="6"/>
      <c r="BE1639" s="6"/>
      <c r="BF1639" s="6"/>
      <c r="BG1639" s="6"/>
      <c r="BH1639" s="6"/>
      <c r="BI1639" s="6"/>
      <c r="BJ1639" s="6"/>
      <c r="BK1639" s="6"/>
      <c r="BL1639" s="6"/>
      <c r="BM1639" s="6"/>
    </row>
    <row r="1640" spans="1:65" ht="15.75" customHeight="1" x14ac:dyDescent="0.2">
      <c r="A1640" s="449" t="s">
        <v>133</v>
      </c>
      <c r="B1640" s="450">
        <v>43244</v>
      </c>
      <c r="C1640" s="450">
        <v>43251</v>
      </c>
      <c r="D1640" s="451" t="s">
        <v>143</v>
      </c>
      <c r="E1640" s="452" t="s">
        <v>125</v>
      </c>
      <c r="F1640" s="451"/>
      <c r="G1640" s="451" t="s">
        <v>149</v>
      </c>
      <c r="H1640" s="454">
        <v>1200</v>
      </c>
      <c r="I1640" s="463">
        <v>55</v>
      </c>
      <c r="J1640" s="463"/>
      <c r="K1640" s="463">
        <v>17</v>
      </c>
      <c r="L1640" s="463">
        <v>4</v>
      </c>
      <c r="M1640" s="463">
        <v>6</v>
      </c>
      <c r="N1640" s="463"/>
      <c r="O1640" s="463"/>
      <c r="P1640" s="463">
        <v>4</v>
      </c>
      <c r="Q1640" s="463"/>
      <c r="R1640" s="455">
        <v>11</v>
      </c>
      <c r="S1640" s="463"/>
      <c r="T1640" s="463"/>
      <c r="U1640" s="463"/>
      <c r="V1640" s="463">
        <v>1</v>
      </c>
      <c r="W1640" s="463"/>
      <c r="X1640" s="463"/>
      <c r="Y1640" s="463"/>
      <c r="Z1640" s="463">
        <v>2</v>
      </c>
      <c r="AA1640" s="455">
        <v>0</v>
      </c>
      <c r="AB1640" s="457">
        <f>100/(SUM(I1640:Z1640))</f>
        <v>1</v>
      </c>
      <c r="AC1640" s="432">
        <f>SUM(I1640:AA1640)</f>
        <v>100</v>
      </c>
      <c r="AD1640" s="455"/>
      <c r="AE1640" s="455"/>
      <c r="AF1640" s="455"/>
      <c r="AG1640" s="459"/>
      <c r="AH1640" s="451" t="s">
        <v>1183</v>
      </c>
      <c r="AI1640" s="458" t="s">
        <v>1471</v>
      </c>
      <c r="AJ1640" s="451"/>
      <c r="AK1640" s="451" t="s">
        <v>1472</v>
      </c>
      <c r="AL1640" s="459">
        <f>(B1640-DATE(1970,1,1))*86400</f>
        <v>1527120000</v>
      </c>
      <c r="AM1640" s="459">
        <f>(C1640-DATE(1970,1,1))*86400</f>
        <v>1527724800</v>
      </c>
      <c r="AN1640" s="459">
        <f>AVERAGE(AL1640:AM1640)</f>
        <v>1527422400</v>
      </c>
    </row>
    <row r="1641" spans="1:65" ht="15.75" customHeight="1" x14ac:dyDescent="0.2">
      <c r="A1641" s="449" t="s">
        <v>123</v>
      </c>
      <c r="B1641" s="450">
        <v>43244</v>
      </c>
      <c r="C1641" s="450">
        <v>43251</v>
      </c>
      <c r="D1641" s="451" t="s">
        <v>143</v>
      </c>
      <c r="E1641" s="452" t="s">
        <v>125</v>
      </c>
      <c r="F1641" s="451"/>
      <c r="G1641" s="451" t="s">
        <v>149</v>
      </c>
      <c r="H1641" s="454">
        <v>1200</v>
      </c>
      <c r="I1641" s="463">
        <v>59</v>
      </c>
      <c r="J1641" s="463"/>
      <c r="K1641" s="463">
        <v>16</v>
      </c>
      <c r="L1641" s="463">
        <v>3</v>
      </c>
      <c r="M1641" s="463">
        <v>7</v>
      </c>
      <c r="N1641" s="463"/>
      <c r="O1641" s="463"/>
      <c r="P1641" s="463">
        <v>3</v>
      </c>
      <c r="Q1641" s="463"/>
      <c r="R1641" s="455">
        <v>11</v>
      </c>
      <c r="S1641" s="463"/>
      <c r="T1641" s="463"/>
      <c r="U1641" s="463"/>
      <c r="V1641" s="463">
        <v>0</v>
      </c>
      <c r="W1641" s="463"/>
      <c r="X1641" s="463"/>
      <c r="Y1641" s="463"/>
      <c r="Z1641" s="463">
        <v>1</v>
      </c>
      <c r="AA1641" s="455">
        <v>0</v>
      </c>
      <c r="AB1641" s="457">
        <f>100/(SUM(I1641:Z1641))</f>
        <v>1</v>
      </c>
      <c r="AC1641" s="432">
        <f>SUM(I1641:AA1641)</f>
        <v>100</v>
      </c>
      <c r="AD1641" s="455"/>
      <c r="AE1641" s="455"/>
      <c r="AF1641" s="455"/>
      <c r="AG1641" s="459"/>
      <c r="AH1641" s="451" t="s">
        <v>1183</v>
      </c>
      <c r="AI1641" s="458" t="s">
        <v>1471</v>
      </c>
      <c r="AJ1641" s="451"/>
      <c r="AK1641" s="451" t="s">
        <v>1472</v>
      </c>
      <c r="AL1641" s="459">
        <f>(B1641-DATE(1970,1,1))*86400</f>
        <v>1527120000</v>
      </c>
      <c r="AM1641" s="459">
        <f>(C1641-DATE(1970,1,1))*86400</f>
        <v>1527724800</v>
      </c>
      <c r="AN1641" s="459">
        <f>AVERAGE(AL1641:AM1641)</f>
        <v>1527422400</v>
      </c>
    </row>
    <row r="1642" spans="1:65" ht="15.75" customHeight="1" x14ac:dyDescent="0.2">
      <c r="A1642" s="279" t="s">
        <v>133</v>
      </c>
      <c r="B1642" s="160">
        <v>43222</v>
      </c>
      <c r="C1642" s="160">
        <v>43242</v>
      </c>
      <c r="D1642" s="13" t="s">
        <v>124</v>
      </c>
      <c r="E1642" s="324" t="s">
        <v>125</v>
      </c>
      <c r="F1642" s="13"/>
      <c r="G1642" s="13" t="s">
        <v>149</v>
      </c>
      <c r="H1642" s="372">
        <v>2000</v>
      </c>
      <c r="I1642" s="161">
        <v>42</v>
      </c>
      <c r="J1642" s="161"/>
      <c r="K1642" s="161">
        <v>11</v>
      </c>
      <c r="L1642" s="161">
        <v>3</v>
      </c>
      <c r="M1642" s="161">
        <v>3</v>
      </c>
      <c r="N1642" s="173"/>
      <c r="O1642" s="173"/>
      <c r="P1642" s="161">
        <v>2</v>
      </c>
      <c r="Q1642" s="161"/>
      <c r="R1642" s="161">
        <v>6</v>
      </c>
      <c r="S1642" s="161"/>
      <c r="T1642" s="161"/>
      <c r="U1642" s="173"/>
      <c r="V1642" s="161">
        <v>1</v>
      </c>
      <c r="W1642" s="161"/>
      <c r="X1642" s="173"/>
      <c r="Y1642" s="173"/>
      <c r="Z1642" s="166">
        <v>1</v>
      </c>
      <c r="AA1642" s="98">
        <v>31</v>
      </c>
      <c r="AB1642" s="16">
        <f>100/(SUM(I1642:Z1642))</f>
        <v>1.4492753623188406</v>
      </c>
      <c r="AC1642" s="259">
        <f>SUM(I1642:AA1642)</f>
        <v>100</v>
      </c>
      <c r="AD1642" s="15"/>
      <c r="AE1642" s="15"/>
      <c r="AF1642" s="15"/>
      <c r="AG1642" s="17"/>
      <c r="AH1642" s="18" t="s">
        <v>1473</v>
      </c>
      <c r="AI1642" s="18" t="s">
        <v>1403</v>
      </c>
      <c r="AJ1642" s="18" t="s">
        <v>1404</v>
      </c>
      <c r="AK1642" s="13" t="s">
        <v>1465</v>
      </c>
      <c r="AL1642" s="17">
        <f>(B1642-DATE(1970,1,1))*86400</f>
        <v>1525219200</v>
      </c>
      <c r="AM1642" s="17">
        <f>(C1642-DATE(1970,1,1))*86400</f>
        <v>1526947200</v>
      </c>
      <c r="AN1642" s="17">
        <f>AVERAGE(AL1642:AM1642)</f>
        <v>1526083200</v>
      </c>
    </row>
    <row r="1643" spans="1:65" ht="15.75" customHeight="1" x14ac:dyDescent="0.2">
      <c r="A1643" s="279" t="s">
        <v>123</v>
      </c>
      <c r="B1643" s="160">
        <v>43222</v>
      </c>
      <c r="C1643" s="160">
        <v>43242</v>
      </c>
      <c r="D1643" s="13" t="s">
        <v>124</v>
      </c>
      <c r="E1643" s="324" t="s">
        <v>125</v>
      </c>
      <c r="F1643" s="13"/>
      <c r="G1643" s="13" t="s">
        <v>149</v>
      </c>
      <c r="H1643" s="372">
        <v>2000</v>
      </c>
      <c r="I1643" s="161">
        <v>54</v>
      </c>
      <c r="J1643" s="161"/>
      <c r="K1643" s="161">
        <v>19</v>
      </c>
      <c r="L1643" s="161">
        <v>6</v>
      </c>
      <c r="M1643" s="161">
        <v>5</v>
      </c>
      <c r="N1643" s="173"/>
      <c r="O1643" s="173"/>
      <c r="P1643" s="161">
        <v>4</v>
      </c>
      <c r="Q1643" s="161"/>
      <c r="R1643" s="161">
        <v>9</v>
      </c>
      <c r="S1643" s="161"/>
      <c r="T1643" s="161"/>
      <c r="U1643" s="173"/>
      <c r="V1643" s="161">
        <v>2</v>
      </c>
      <c r="W1643" s="161"/>
      <c r="X1643" s="173"/>
      <c r="Y1643" s="173"/>
      <c r="Z1643" s="166">
        <v>1</v>
      </c>
      <c r="AA1643" s="15">
        <v>0</v>
      </c>
      <c r="AB1643" s="16">
        <f>100/(SUM(I1643:Z1643))</f>
        <v>1</v>
      </c>
      <c r="AC1643" s="259">
        <f>SUM(I1643:AA1643)</f>
        <v>100</v>
      </c>
      <c r="AD1643" s="15"/>
      <c r="AE1643" s="15"/>
      <c r="AF1643" s="15"/>
      <c r="AG1643" s="17"/>
      <c r="AH1643" s="18" t="s">
        <v>1473</v>
      </c>
      <c r="AI1643" s="18" t="s">
        <v>1403</v>
      </c>
      <c r="AJ1643" s="18" t="s">
        <v>1404</v>
      </c>
      <c r="AK1643" s="13" t="s">
        <v>1465</v>
      </c>
      <c r="AL1643" s="17">
        <f>(B1643-DATE(1970,1,1))*86400</f>
        <v>1525219200</v>
      </c>
      <c r="AM1643" s="17">
        <f>(C1643-DATE(1970,1,1))*86400</f>
        <v>1526947200</v>
      </c>
      <c r="AN1643" s="17">
        <f>AVERAGE(AL1643:AM1643)</f>
        <v>1526083200</v>
      </c>
    </row>
    <row r="1644" spans="1:65" ht="15.75" customHeight="1" x14ac:dyDescent="0.2">
      <c r="A1644" s="286" t="s">
        <v>133</v>
      </c>
      <c r="B1644" s="41">
        <v>43226</v>
      </c>
      <c r="C1644" s="41">
        <v>43233</v>
      </c>
      <c r="D1644" s="40" t="s">
        <v>148</v>
      </c>
      <c r="E1644" s="325" t="s">
        <v>125</v>
      </c>
      <c r="F1644" s="40"/>
      <c r="G1644" s="40" t="s">
        <v>149</v>
      </c>
      <c r="H1644" s="381">
        <v>1000</v>
      </c>
      <c r="I1644" s="43">
        <v>33.1</v>
      </c>
      <c r="J1644" s="43"/>
      <c r="K1644" s="42">
        <v>15.3</v>
      </c>
      <c r="L1644" s="42">
        <v>3.9</v>
      </c>
      <c r="M1644" s="42">
        <v>4.0999999999999996</v>
      </c>
      <c r="N1644" s="42"/>
      <c r="O1644" s="42"/>
      <c r="P1644" s="42">
        <v>2.2000000000000002</v>
      </c>
      <c r="Q1644" s="42"/>
      <c r="R1644" s="43">
        <v>6.6</v>
      </c>
      <c r="S1644" s="42"/>
      <c r="T1644" s="42"/>
      <c r="U1644" s="42"/>
      <c r="V1644" s="42">
        <v>1.5</v>
      </c>
      <c r="W1644" s="42"/>
      <c r="X1644" s="42"/>
      <c r="Y1644" s="42"/>
      <c r="Z1644" s="42">
        <v>2.1</v>
      </c>
      <c r="AA1644" s="42">
        <v>31.2</v>
      </c>
      <c r="AB1644" s="44">
        <f>100/(SUM(I1644:Z1644))</f>
        <v>1.4534883720930234</v>
      </c>
      <c r="AC1644" s="259">
        <f>SUM(I1644:AA1644)</f>
        <v>100</v>
      </c>
      <c r="AD1644" s="42"/>
      <c r="AE1644" s="42"/>
      <c r="AF1644" s="42"/>
      <c r="AG1644" s="45"/>
      <c r="AH1644" s="40" t="s">
        <v>1383</v>
      </c>
      <c r="AI1644" s="132" t="s">
        <v>1474</v>
      </c>
      <c r="AJ1644" s="40"/>
      <c r="AK1644" s="40" t="s">
        <v>1475</v>
      </c>
      <c r="AL1644" s="45">
        <f>(B1644-DATE(1970,1,1))*86400</f>
        <v>1525564800</v>
      </c>
      <c r="AM1644" s="45">
        <f>(C1644-DATE(1970,1,1))*86400</f>
        <v>1526169600</v>
      </c>
      <c r="AN1644" s="45">
        <f>AVERAGE(AL1644:AM1644)</f>
        <v>1525867200</v>
      </c>
      <c r="AO1644" s="6"/>
      <c r="AP1644" s="6"/>
      <c r="AQ1644" s="6"/>
      <c r="AR1644" s="6"/>
      <c r="AS1644" s="6"/>
      <c r="AT1644" s="6"/>
      <c r="AU1644" s="6"/>
      <c r="AV1644" s="6"/>
      <c r="AW1644" s="6"/>
      <c r="AX1644" s="6"/>
      <c r="AY1644" s="6"/>
      <c r="AZ1644" s="6"/>
      <c r="BA1644" s="6"/>
      <c r="BB1644" s="6"/>
      <c r="BC1644" s="6"/>
      <c r="BD1644" s="6"/>
      <c r="BE1644" s="6"/>
      <c r="BF1644" s="6"/>
      <c r="BG1644" s="6"/>
      <c r="BH1644" s="6"/>
      <c r="BI1644" s="6"/>
      <c r="BJ1644" s="6"/>
      <c r="BK1644" s="6"/>
      <c r="BL1644" s="6"/>
      <c r="BM1644" s="6"/>
    </row>
    <row r="1645" spans="1:65" ht="15.75" customHeight="1" x14ac:dyDescent="0.2">
      <c r="A1645" s="286" t="s">
        <v>123</v>
      </c>
      <c r="B1645" s="41">
        <v>43226</v>
      </c>
      <c r="C1645" s="41">
        <v>43233</v>
      </c>
      <c r="D1645" s="40" t="s">
        <v>148</v>
      </c>
      <c r="E1645" s="325" t="s">
        <v>125</v>
      </c>
      <c r="F1645" s="40"/>
      <c r="G1645" s="40" t="s">
        <v>149</v>
      </c>
      <c r="H1645" s="381">
        <v>1000</v>
      </c>
      <c r="I1645" s="43">
        <v>50.6</v>
      </c>
      <c r="J1645" s="43"/>
      <c r="K1645" s="42">
        <v>21.1</v>
      </c>
      <c r="L1645" s="42">
        <v>5.8</v>
      </c>
      <c r="M1645" s="42">
        <v>6.1</v>
      </c>
      <c r="N1645" s="42"/>
      <c r="O1645" s="42"/>
      <c r="P1645" s="42">
        <v>3.3</v>
      </c>
      <c r="Q1645" s="42"/>
      <c r="R1645" s="42">
        <v>10.5</v>
      </c>
      <c r="S1645" s="42"/>
      <c r="T1645" s="42"/>
      <c r="U1645" s="42"/>
      <c r="V1645" s="42">
        <v>1.4</v>
      </c>
      <c r="W1645" s="42"/>
      <c r="X1645" s="42"/>
      <c r="Y1645" s="42"/>
      <c r="Z1645" s="42">
        <v>1.2</v>
      </c>
      <c r="AA1645" s="42">
        <v>0</v>
      </c>
      <c r="AB1645" s="44">
        <f>100/(SUM(I1645:Z1645))</f>
        <v>1</v>
      </c>
      <c r="AC1645" s="259">
        <f>SUM(I1645:AA1645)</f>
        <v>100</v>
      </c>
      <c r="AD1645" s="42"/>
      <c r="AE1645" s="42"/>
      <c r="AF1645" s="42"/>
      <c r="AG1645" s="45"/>
      <c r="AH1645" s="40" t="s">
        <v>1383</v>
      </c>
      <c r="AI1645" s="132" t="s">
        <v>1474</v>
      </c>
      <c r="AJ1645" s="40"/>
      <c r="AK1645" s="40" t="s">
        <v>1476</v>
      </c>
      <c r="AL1645" s="45">
        <f>(B1645-DATE(1970,1,1))*86400</f>
        <v>1525564800</v>
      </c>
      <c r="AM1645" s="45">
        <f>(C1645-DATE(1970,1,1))*86400</f>
        <v>1526169600</v>
      </c>
      <c r="AN1645" s="45">
        <f>AVERAGE(AL1645:AM1645)</f>
        <v>1525867200</v>
      </c>
    </row>
    <row r="1646" spans="1:65" ht="15.75" customHeight="1" x14ac:dyDescent="0.2">
      <c r="A1646" s="281" t="s">
        <v>133</v>
      </c>
      <c r="B1646" s="167">
        <v>43224</v>
      </c>
      <c r="C1646" s="167">
        <v>43229</v>
      </c>
      <c r="D1646" s="53" t="s">
        <v>154</v>
      </c>
      <c r="E1646" s="323" t="s">
        <v>125</v>
      </c>
      <c r="F1646" s="53"/>
      <c r="G1646" s="53" t="s">
        <v>126</v>
      </c>
      <c r="H1646" s="384">
        <v>1008</v>
      </c>
      <c r="I1646" s="172">
        <v>26</v>
      </c>
      <c r="J1646" s="172"/>
      <c r="K1646" s="172">
        <v>13</v>
      </c>
      <c r="L1646" s="172">
        <v>3</v>
      </c>
      <c r="M1646" s="172">
        <v>3</v>
      </c>
      <c r="N1646" s="172">
        <v>1</v>
      </c>
      <c r="O1646" s="172"/>
      <c r="P1646" s="172">
        <v>2</v>
      </c>
      <c r="Q1646" s="172"/>
      <c r="R1646" s="172">
        <v>11</v>
      </c>
      <c r="S1646" s="172"/>
      <c r="T1646" s="172"/>
      <c r="U1646" s="172"/>
      <c r="V1646" s="172">
        <v>1</v>
      </c>
      <c r="W1646" s="172"/>
      <c r="X1646" s="172"/>
      <c r="Y1646" s="172"/>
      <c r="Z1646" s="172">
        <v>0</v>
      </c>
      <c r="AA1646" s="55">
        <v>40</v>
      </c>
      <c r="AB1646" s="57">
        <f>100/(SUM(I1646:Z1646))</f>
        <v>1.6666666666666667</v>
      </c>
      <c r="AC1646" s="259">
        <f>SUM(I1646:AA1646)</f>
        <v>100</v>
      </c>
      <c r="AD1646" s="55"/>
      <c r="AE1646" s="55"/>
      <c r="AF1646" s="55"/>
      <c r="AG1646" s="58"/>
      <c r="AH1646" s="59" t="s">
        <v>1477</v>
      </c>
      <c r="AI1646" s="59" t="s">
        <v>1478</v>
      </c>
      <c r="AJ1646" s="59" t="s">
        <v>1466</v>
      </c>
      <c r="AK1646" s="53" t="s">
        <v>1479</v>
      </c>
      <c r="AL1646" s="58">
        <f>(B1646-DATE(1970,1,1))*86400</f>
        <v>1525392000</v>
      </c>
      <c r="AM1646" s="58">
        <f>(C1646-DATE(1970,1,1))*86400</f>
        <v>1525824000</v>
      </c>
      <c r="AN1646" s="58">
        <f>AVERAGE(AL1646:AM1646)</f>
        <v>1525608000</v>
      </c>
    </row>
    <row r="1647" spans="1:65" ht="15.75" customHeight="1" x14ac:dyDescent="0.2">
      <c r="A1647" s="281" t="s">
        <v>123</v>
      </c>
      <c r="B1647" s="167">
        <v>43224</v>
      </c>
      <c r="C1647" s="167">
        <v>43229</v>
      </c>
      <c r="D1647" s="53" t="s">
        <v>154</v>
      </c>
      <c r="E1647" s="323" t="s">
        <v>125</v>
      </c>
      <c r="F1647" s="53"/>
      <c r="G1647" s="53" t="s">
        <v>126</v>
      </c>
      <c r="H1647" s="384">
        <v>1008</v>
      </c>
      <c r="I1647" s="172">
        <v>35</v>
      </c>
      <c r="J1647" s="172"/>
      <c r="K1647" s="172">
        <v>15</v>
      </c>
      <c r="L1647" s="172">
        <v>4</v>
      </c>
      <c r="M1647" s="172">
        <v>3</v>
      </c>
      <c r="N1647" s="172">
        <v>1</v>
      </c>
      <c r="O1647" s="172"/>
      <c r="P1647" s="172">
        <v>2</v>
      </c>
      <c r="Q1647" s="172"/>
      <c r="R1647" s="172">
        <v>13</v>
      </c>
      <c r="S1647" s="172"/>
      <c r="T1647" s="172"/>
      <c r="U1647" s="172"/>
      <c r="V1647" s="172">
        <v>1</v>
      </c>
      <c r="W1647" s="172"/>
      <c r="X1647" s="172"/>
      <c r="Y1647" s="172"/>
      <c r="Z1647" s="172">
        <v>1</v>
      </c>
      <c r="AA1647" s="55">
        <v>27</v>
      </c>
      <c r="AB1647" s="57">
        <f>100/(SUM(I1647:Z1647))</f>
        <v>1.3333333333333333</v>
      </c>
      <c r="AC1647" s="259">
        <f>SUM(I1647:AA1647)</f>
        <v>102</v>
      </c>
      <c r="AD1647" s="55"/>
      <c r="AE1647" s="55"/>
      <c r="AF1647" s="55"/>
      <c r="AG1647" s="58"/>
      <c r="AH1647" s="59" t="s">
        <v>1477</v>
      </c>
      <c r="AI1647" s="53"/>
      <c r="AJ1647" s="53"/>
      <c r="AK1647" s="53" t="s">
        <v>1481</v>
      </c>
      <c r="AL1647" s="58">
        <f>(B1647-DATE(1970,1,1))*86400</f>
        <v>1525392000</v>
      </c>
      <c r="AM1647" s="58">
        <f>(C1647-DATE(1970,1,1))*86400</f>
        <v>1525824000</v>
      </c>
      <c r="AN1647" s="58">
        <f>AVERAGE(AL1647:AM1647)</f>
        <v>1525608000</v>
      </c>
      <c r="AO1647" s="6"/>
      <c r="AP1647" s="6"/>
      <c r="AQ1647" s="6"/>
      <c r="AR1647" s="6"/>
      <c r="AS1647" s="6"/>
      <c r="AT1647" s="6"/>
      <c r="AU1647" s="6"/>
      <c r="AV1647" s="6"/>
      <c r="AW1647" s="6"/>
      <c r="AX1647" s="6"/>
      <c r="AY1647" s="6"/>
      <c r="AZ1647" s="6"/>
      <c r="BA1647" s="6"/>
      <c r="BB1647" s="6"/>
      <c r="BC1647" s="6"/>
      <c r="BD1647" s="6"/>
      <c r="BE1647" s="6"/>
      <c r="BF1647" s="6"/>
      <c r="BG1647" s="6"/>
      <c r="BH1647" s="6"/>
      <c r="BI1647" s="6"/>
      <c r="BJ1647" s="6"/>
      <c r="BK1647" s="6"/>
      <c r="BL1647" s="6"/>
      <c r="BM1647" s="6"/>
    </row>
    <row r="1648" spans="1:65" ht="15.75" customHeight="1" x14ac:dyDescent="0.2">
      <c r="A1648" s="281" t="s">
        <v>123</v>
      </c>
      <c r="B1648" s="167">
        <v>43224</v>
      </c>
      <c r="C1648" s="167">
        <v>43229</v>
      </c>
      <c r="D1648" s="53" t="s">
        <v>154</v>
      </c>
      <c r="E1648" s="323" t="s">
        <v>125</v>
      </c>
      <c r="F1648" s="53"/>
      <c r="G1648" s="53" t="s">
        <v>126</v>
      </c>
      <c r="H1648" s="384">
        <v>1008</v>
      </c>
      <c r="I1648" s="172">
        <v>48</v>
      </c>
      <c r="J1648" s="172"/>
      <c r="K1648" s="172">
        <v>18</v>
      </c>
      <c r="L1648" s="172">
        <v>5</v>
      </c>
      <c r="M1648" s="172">
        <v>4</v>
      </c>
      <c r="N1648" s="172">
        <v>1</v>
      </c>
      <c r="O1648" s="172"/>
      <c r="P1648" s="172">
        <v>3</v>
      </c>
      <c r="Q1648" s="172"/>
      <c r="R1648" s="172">
        <v>15</v>
      </c>
      <c r="S1648" s="172"/>
      <c r="T1648" s="172"/>
      <c r="U1648" s="172"/>
      <c r="V1648" s="172">
        <v>2</v>
      </c>
      <c r="W1648" s="172"/>
      <c r="X1648" s="172"/>
      <c r="Y1648" s="172"/>
      <c r="Z1648" s="175">
        <v>3</v>
      </c>
      <c r="AA1648" s="55">
        <v>0</v>
      </c>
      <c r="AB1648" s="57">
        <f>100/(SUM(I1648:Z1648))</f>
        <v>1.0101010101010102</v>
      </c>
      <c r="AC1648" s="259">
        <f>SUM(I1648:AA1648)</f>
        <v>99</v>
      </c>
      <c r="AD1648" s="55"/>
      <c r="AE1648" s="55"/>
      <c r="AF1648" s="55"/>
      <c r="AG1648" s="58"/>
      <c r="AH1648" s="59" t="s">
        <v>1477</v>
      </c>
      <c r="AI1648" s="59" t="s">
        <v>1478</v>
      </c>
      <c r="AJ1648" s="53"/>
      <c r="AK1648" s="53" t="s">
        <v>1480</v>
      </c>
      <c r="AL1648" s="58">
        <f>(B1648-DATE(1970,1,1))*86400</f>
        <v>1525392000</v>
      </c>
      <c r="AM1648" s="58">
        <f>(C1648-DATE(1970,1,1))*86400</f>
        <v>1525824000</v>
      </c>
      <c r="AN1648" s="58">
        <f>AVERAGE(AL1648:AM1648)</f>
        <v>1525608000</v>
      </c>
      <c r="AO1648" s="6"/>
      <c r="AP1648" s="6"/>
      <c r="AQ1648" s="6"/>
      <c r="AR1648" s="6"/>
      <c r="AS1648" s="6"/>
      <c r="AT1648" s="6"/>
      <c r="AU1648" s="6"/>
      <c r="AV1648" s="6"/>
      <c r="AW1648" s="6"/>
      <c r="AX1648" s="6"/>
      <c r="AY1648" s="6"/>
      <c r="AZ1648" s="6"/>
      <c r="BA1648" s="6"/>
      <c r="BB1648" s="6"/>
      <c r="BC1648" s="6"/>
      <c r="BD1648" s="6"/>
      <c r="BE1648" s="6"/>
      <c r="BF1648" s="6"/>
      <c r="BG1648" s="6"/>
      <c r="BH1648" s="6"/>
      <c r="BI1648" s="6"/>
      <c r="BJ1648" s="6"/>
      <c r="BK1648" s="6"/>
      <c r="BL1648" s="6"/>
      <c r="BM1648" s="6"/>
    </row>
    <row r="1649" spans="1:65" ht="15.75" customHeight="1" x14ac:dyDescent="0.2">
      <c r="A1649" s="286" t="s">
        <v>133</v>
      </c>
      <c r="B1649" s="106">
        <v>43221</v>
      </c>
      <c r="C1649" s="106">
        <v>43230</v>
      </c>
      <c r="D1649" s="40" t="s">
        <v>148</v>
      </c>
      <c r="E1649" s="325" t="s">
        <v>125</v>
      </c>
      <c r="F1649" s="40" t="s">
        <v>140</v>
      </c>
      <c r="G1649" s="40" t="s">
        <v>149</v>
      </c>
      <c r="H1649" s="385">
        <v>1000</v>
      </c>
      <c r="I1649" s="43"/>
      <c r="J1649" s="43"/>
      <c r="K1649" s="42"/>
      <c r="L1649" s="42"/>
      <c r="M1649" s="42"/>
      <c r="N1649" s="42"/>
      <c r="O1649" s="42"/>
      <c r="P1649" s="42"/>
      <c r="Q1649" s="42"/>
      <c r="R1649" s="42"/>
      <c r="S1649" s="42"/>
      <c r="T1649" s="42"/>
      <c r="U1649" s="42"/>
      <c r="V1649" s="42"/>
      <c r="W1649" s="42"/>
      <c r="X1649" s="42"/>
      <c r="Y1649" s="42"/>
      <c r="Z1649" s="42"/>
      <c r="AA1649" s="42"/>
      <c r="AB1649" s="44" t="e">
        <f>100/(SUM(I1649:Z1649))</f>
        <v>#DIV/0!</v>
      </c>
      <c r="AC1649" s="259">
        <f>SUM(I1649:AA1649)</f>
        <v>0</v>
      </c>
      <c r="AD1649" s="42"/>
      <c r="AE1649" s="42"/>
      <c r="AF1649" s="42"/>
      <c r="AG1649" s="45" t="s">
        <v>1482</v>
      </c>
      <c r="AH1649" s="40"/>
      <c r="AI1649" s="132"/>
      <c r="AJ1649" s="40" t="s">
        <v>1483</v>
      </c>
      <c r="AK1649" s="40" t="s">
        <v>1484</v>
      </c>
      <c r="AL1649" s="45">
        <f>(B1649-DATE(1970,1,1))*86400</f>
        <v>1525132800</v>
      </c>
      <c r="AM1649" s="45">
        <f>(C1649-DATE(1970,1,1))*86400</f>
        <v>1525910400</v>
      </c>
      <c r="AN1649" s="45">
        <f>AVERAGE(AL1649:AM1649)</f>
        <v>1525521600</v>
      </c>
      <c r="AO1649" s="6"/>
      <c r="AP1649" s="6"/>
      <c r="AQ1649" s="6"/>
      <c r="AR1649" s="6"/>
      <c r="AS1649" s="6"/>
      <c r="AT1649" s="6"/>
      <c r="AU1649" s="6"/>
      <c r="AV1649" s="6"/>
      <c r="AW1649" s="6"/>
      <c r="AX1649" s="6"/>
      <c r="AY1649" s="6"/>
      <c r="AZ1649" s="6"/>
      <c r="BA1649" s="6"/>
      <c r="BB1649" s="6"/>
      <c r="BC1649" s="6"/>
      <c r="BD1649" s="6"/>
      <c r="BE1649" s="6"/>
      <c r="BF1649" s="6"/>
      <c r="BG1649" s="6"/>
      <c r="BH1649" s="6"/>
      <c r="BI1649" s="6"/>
      <c r="BJ1649" s="6"/>
      <c r="BK1649" s="6"/>
      <c r="BL1649" s="6"/>
      <c r="BM1649" s="6"/>
    </row>
    <row r="1650" spans="1:65" ht="15.75" customHeight="1" x14ac:dyDescent="0.2">
      <c r="A1650" s="302" t="s">
        <v>123</v>
      </c>
      <c r="B1650" s="254">
        <v>43217</v>
      </c>
      <c r="C1650" s="254">
        <v>43217</v>
      </c>
      <c r="D1650" s="262" t="s">
        <v>2445</v>
      </c>
      <c r="E1650" s="322" t="s">
        <v>184</v>
      </c>
      <c r="F1650" s="121" t="s">
        <v>2007</v>
      </c>
      <c r="G1650" s="262" t="s">
        <v>244</v>
      </c>
      <c r="H1650" s="379">
        <v>500</v>
      </c>
      <c r="I1650" s="123">
        <v>49</v>
      </c>
      <c r="J1650" s="123">
        <v>11</v>
      </c>
      <c r="K1650" s="123">
        <v>19</v>
      </c>
      <c r="L1650" s="123">
        <v>7</v>
      </c>
      <c r="M1650" s="123">
        <v>7</v>
      </c>
      <c r="N1650" s="123">
        <v>1</v>
      </c>
      <c r="O1650" s="123"/>
      <c r="P1650" s="123">
        <v>3</v>
      </c>
      <c r="Q1650" s="123"/>
      <c r="R1650" s="124"/>
      <c r="S1650" s="123"/>
      <c r="T1650" s="123"/>
      <c r="U1650" s="123"/>
      <c r="V1650" s="123"/>
      <c r="W1650" s="123"/>
      <c r="X1650" s="123"/>
      <c r="Y1650" s="123"/>
      <c r="Z1650" s="124">
        <v>3</v>
      </c>
      <c r="AA1650" s="123">
        <v>0</v>
      </c>
      <c r="AB1650" s="125">
        <f>100/(SUM(I1650:Z1650))</f>
        <v>1</v>
      </c>
      <c r="AC1650" s="259">
        <f>SUM(I1650:AA1650)</f>
        <v>100</v>
      </c>
      <c r="AD1650" s="123"/>
      <c r="AE1650" s="123"/>
      <c r="AF1650" s="123"/>
      <c r="AG1650" s="263" t="s">
        <v>719</v>
      </c>
      <c r="AH1650" s="253"/>
      <c r="AI1650" s="253" t="s">
        <v>2003</v>
      </c>
      <c r="AJ1650" s="127"/>
      <c r="AK1650" s="121" t="s">
        <v>2005</v>
      </c>
      <c r="AL1650" s="126">
        <f>(B1650-DATE(1970,1,1))*86400</f>
        <v>1524787200</v>
      </c>
      <c r="AM1650" s="126">
        <f>(C1650-DATE(1970,1,1))*86400</f>
        <v>1524787200</v>
      </c>
      <c r="AN1650" s="126">
        <f>AVERAGE(AL1650:AM1650)</f>
        <v>1524787200</v>
      </c>
    </row>
    <row r="1651" spans="1:65" ht="15.75" customHeight="1" x14ac:dyDescent="0.2">
      <c r="A1651" s="279" t="s">
        <v>133</v>
      </c>
      <c r="B1651" s="160">
        <v>43203</v>
      </c>
      <c r="C1651" s="160">
        <v>43220</v>
      </c>
      <c r="D1651" s="13" t="s">
        <v>124</v>
      </c>
      <c r="E1651" s="324" t="s">
        <v>125</v>
      </c>
      <c r="F1651" s="13"/>
      <c r="G1651" s="13" t="s">
        <v>149</v>
      </c>
      <c r="H1651" s="372">
        <v>2000</v>
      </c>
      <c r="I1651" s="161">
        <v>41</v>
      </c>
      <c r="J1651" s="161"/>
      <c r="K1651" s="161">
        <v>11</v>
      </c>
      <c r="L1651" s="161">
        <v>3</v>
      </c>
      <c r="M1651" s="161">
        <v>4</v>
      </c>
      <c r="N1651" s="173"/>
      <c r="O1651" s="173"/>
      <c r="P1651" s="161">
        <v>2</v>
      </c>
      <c r="Q1651" s="161"/>
      <c r="R1651" s="161">
        <v>6</v>
      </c>
      <c r="S1651" s="161"/>
      <c r="T1651" s="161"/>
      <c r="U1651" s="173"/>
      <c r="V1651" s="161">
        <v>1</v>
      </c>
      <c r="W1651" s="161"/>
      <c r="X1651" s="173"/>
      <c r="Y1651" s="173"/>
      <c r="Z1651" s="166">
        <v>1</v>
      </c>
      <c r="AA1651" s="98">
        <v>31</v>
      </c>
      <c r="AB1651" s="16">
        <f>100/(SUM(I1651:Z1651))</f>
        <v>1.4492753623188406</v>
      </c>
      <c r="AC1651" s="259">
        <f>SUM(I1651:AA1651)</f>
        <v>100</v>
      </c>
      <c r="AD1651" s="15"/>
      <c r="AE1651" s="15"/>
      <c r="AF1651" s="15"/>
      <c r="AG1651" s="17"/>
      <c r="AH1651" s="18" t="s">
        <v>1485</v>
      </c>
      <c r="AI1651" s="18" t="s">
        <v>1403</v>
      </c>
      <c r="AJ1651" s="18" t="s">
        <v>1404</v>
      </c>
      <c r="AK1651" s="13" t="s">
        <v>1465</v>
      </c>
      <c r="AL1651" s="17">
        <f>(B1651-DATE(1970,1,1))*86400</f>
        <v>1523577600</v>
      </c>
      <c r="AM1651" s="17">
        <f>(C1651-DATE(1970,1,1))*86400</f>
        <v>1525046400</v>
      </c>
      <c r="AN1651" s="17">
        <f>AVERAGE(AL1651:AM1651)</f>
        <v>1524312000</v>
      </c>
    </row>
    <row r="1652" spans="1:65" ht="15.75" customHeight="1" x14ac:dyDescent="0.2">
      <c r="A1652" s="279" t="s">
        <v>123</v>
      </c>
      <c r="B1652" s="160">
        <v>43203</v>
      </c>
      <c r="C1652" s="160">
        <v>43220</v>
      </c>
      <c r="D1652" s="13" t="s">
        <v>124</v>
      </c>
      <c r="E1652" s="324" t="s">
        <v>125</v>
      </c>
      <c r="F1652" s="13"/>
      <c r="G1652" s="13" t="s">
        <v>149</v>
      </c>
      <c r="H1652" s="372">
        <v>2000</v>
      </c>
      <c r="I1652" s="161">
        <v>52</v>
      </c>
      <c r="J1652" s="161"/>
      <c r="K1652" s="161">
        <v>19</v>
      </c>
      <c r="L1652" s="161">
        <v>6</v>
      </c>
      <c r="M1652" s="161">
        <v>6</v>
      </c>
      <c r="N1652" s="173"/>
      <c r="O1652" s="173"/>
      <c r="P1652" s="161">
        <v>4</v>
      </c>
      <c r="Q1652" s="161"/>
      <c r="R1652" s="161">
        <v>10</v>
      </c>
      <c r="S1652" s="161"/>
      <c r="T1652" s="161"/>
      <c r="U1652" s="173"/>
      <c r="V1652" s="161">
        <v>2</v>
      </c>
      <c r="W1652" s="161"/>
      <c r="X1652" s="173"/>
      <c r="Y1652" s="173"/>
      <c r="Z1652" s="166">
        <v>1</v>
      </c>
      <c r="AA1652" s="15">
        <v>0</v>
      </c>
      <c r="AB1652" s="16">
        <f>100/(SUM(I1652:Z1652))</f>
        <v>1</v>
      </c>
      <c r="AC1652" s="259">
        <f>SUM(I1652:AA1652)</f>
        <v>100</v>
      </c>
      <c r="AD1652" s="15"/>
      <c r="AE1652" s="15"/>
      <c r="AF1652" s="15"/>
      <c r="AG1652" s="17"/>
      <c r="AH1652" s="18" t="s">
        <v>1485</v>
      </c>
      <c r="AI1652" s="18" t="s">
        <v>1403</v>
      </c>
      <c r="AJ1652" s="18" t="s">
        <v>1404</v>
      </c>
      <c r="AK1652" s="13" t="s">
        <v>1465</v>
      </c>
      <c r="AL1652" s="17">
        <f>(B1652-DATE(1970,1,1))*86400</f>
        <v>1523577600</v>
      </c>
      <c r="AM1652" s="17">
        <f>(C1652-DATE(1970,1,1))*86400</f>
        <v>1525046400</v>
      </c>
      <c r="AN1652" s="17">
        <f>AVERAGE(AL1652:AM1652)</f>
        <v>1524312000</v>
      </c>
    </row>
    <row r="1653" spans="1:65" ht="15.75" customHeight="1" x14ac:dyDescent="0.2">
      <c r="A1653" s="281" t="s">
        <v>133</v>
      </c>
      <c r="B1653" s="167">
        <v>43208</v>
      </c>
      <c r="C1653" s="167">
        <v>43213</v>
      </c>
      <c r="D1653" s="53" t="s">
        <v>154</v>
      </c>
      <c r="E1653" s="323" t="s">
        <v>125</v>
      </c>
      <c r="F1653" s="53"/>
      <c r="G1653" s="53" t="s">
        <v>126</v>
      </c>
      <c r="H1653" s="384">
        <v>995</v>
      </c>
      <c r="I1653" s="172">
        <v>28</v>
      </c>
      <c r="J1653" s="172"/>
      <c r="K1653" s="172">
        <v>13</v>
      </c>
      <c r="L1653" s="172">
        <v>4</v>
      </c>
      <c r="M1653" s="172">
        <v>3</v>
      </c>
      <c r="N1653" s="172"/>
      <c r="O1653" s="172"/>
      <c r="P1653" s="172">
        <v>2</v>
      </c>
      <c r="Q1653" s="172"/>
      <c r="R1653" s="172">
        <v>11</v>
      </c>
      <c r="S1653" s="172"/>
      <c r="T1653" s="172"/>
      <c r="U1653" s="172"/>
      <c r="V1653" s="172">
        <v>1</v>
      </c>
      <c r="W1653" s="172"/>
      <c r="X1653" s="172"/>
      <c r="Y1653" s="172"/>
      <c r="Z1653" s="172">
        <v>2</v>
      </c>
      <c r="AA1653" s="55">
        <v>37</v>
      </c>
      <c r="AB1653" s="57">
        <f>100/(SUM(I1653:Z1653))</f>
        <v>1.5625</v>
      </c>
      <c r="AC1653" s="259">
        <f>SUM(I1653:AA1653)</f>
        <v>101</v>
      </c>
      <c r="AD1653" s="55"/>
      <c r="AE1653" s="55"/>
      <c r="AF1653" s="55"/>
      <c r="AG1653" s="58"/>
      <c r="AH1653" s="59" t="s">
        <v>1486</v>
      </c>
      <c r="AI1653" s="59" t="s">
        <v>1477</v>
      </c>
      <c r="AJ1653" s="53"/>
      <c r="AK1653" s="53" t="s">
        <v>1487</v>
      </c>
      <c r="AL1653" s="58">
        <f>(B1653-DATE(1970,1,1))*86400</f>
        <v>1524009600</v>
      </c>
      <c r="AM1653" s="58">
        <f>(C1653-DATE(1970,1,1))*86400</f>
        <v>1524441600</v>
      </c>
      <c r="AN1653" s="58">
        <f>AVERAGE(AL1653:AM1653)</f>
        <v>1524225600</v>
      </c>
    </row>
    <row r="1654" spans="1:65" ht="15.75" customHeight="1" x14ac:dyDescent="0.2">
      <c r="A1654" s="281" t="s">
        <v>123</v>
      </c>
      <c r="B1654" s="167">
        <v>43208</v>
      </c>
      <c r="C1654" s="167">
        <v>43213</v>
      </c>
      <c r="D1654" s="53" t="s">
        <v>154</v>
      </c>
      <c r="E1654" s="323" t="s">
        <v>125</v>
      </c>
      <c r="F1654" s="53"/>
      <c r="G1654" s="53" t="s">
        <v>126</v>
      </c>
      <c r="H1654" s="384">
        <v>995</v>
      </c>
      <c r="I1654" s="172">
        <v>49</v>
      </c>
      <c r="J1654" s="172"/>
      <c r="K1654" s="172">
        <v>18</v>
      </c>
      <c r="L1654" s="172">
        <v>5</v>
      </c>
      <c r="M1654" s="172">
        <v>4</v>
      </c>
      <c r="N1654" s="172">
        <v>1</v>
      </c>
      <c r="O1654" s="172"/>
      <c r="P1654" s="172">
        <v>3</v>
      </c>
      <c r="Q1654" s="172"/>
      <c r="R1654" s="172">
        <v>15</v>
      </c>
      <c r="S1654" s="172"/>
      <c r="T1654" s="172"/>
      <c r="U1654" s="172"/>
      <c r="V1654" s="172">
        <v>2</v>
      </c>
      <c r="W1654" s="172"/>
      <c r="X1654" s="172"/>
      <c r="Y1654" s="172"/>
      <c r="Z1654" s="175">
        <v>3</v>
      </c>
      <c r="AA1654" s="55">
        <v>0</v>
      </c>
      <c r="AB1654" s="57">
        <f>100/(SUM(I1654:Z1654))</f>
        <v>1</v>
      </c>
      <c r="AC1654" s="259">
        <f>SUM(I1654:AA1654)</f>
        <v>100</v>
      </c>
      <c r="AD1654" s="55"/>
      <c r="AE1654" s="55"/>
      <c r="AF1654" s="55"/>
      <c r="AG1654" s="58"/>
      <c r="AH1654" s="59" t="s">
        <v>1486</v>
      </c>
      <c r="AI1654" s="53"/>
      <c r="AJ1654" s="53"/>
      <c r="AK1654" s="53" t="s">
        <v>1488</v>
      </c>
      <c r="AL1654" s="58">
        <f>(B1654-DATE(1970,1,1))*86400</f>
        <v>1524009600</v>
      </c>
      <c r="AM1654" s="58">
        <f>(C1654-DATE(1970,1,1))*86400</f>
        <v>1524441600</v>
      </c>
      <c r="AN1654" s="58">
        <f>AVERAGE(AL1654:AM1654)</f>
        <v>1524225600</v>
      </c>
    </row>
    <row r="1655" spans="1:65" ht="15.75" customHeight="1" x14ac:dyDescent="0.2">
      <c r="A1655" s="464" t="s">
        <v>123</v>
      </c>
      <c r="B1655" s="465">
        <v>43198</v>
      </c>
      <c r="C1655" s="465">
        <v>43198</v>
      </c>
      <c r="D1655" s="466" t="s">
        <v>124</v>
      </c>
      <c r="E1655" s="467">
        <v>1</v>
      </c>
      <c r="F1655" s="468"/>
      <c r="G1655" s="468" t="s">
        <v>126</v>
      </c>
      <c r="H1655" s="469">
        <v>750</v>
      </c>
      <c r="I1655" s="470">
        <v>42</v>
      </c>
      <c r="J1655" s="470"/>
      <c r="K1655" s="470">
        <v>23</v>
      </c>
      <c r="L1655" s="470">
        <v>8</v>
      </c>
      <c r="M1655" s="470">
        <v>8</v>
      </c>
      <c r="N1655" s="470">
        <v>1</v>
      </c>
      <c r="O1655" s="470"/>
      <c r="P1655" s="470"/>
      <c r="Q1655" s="470">
        <v>3</v>
      </c>
      <c r="R1655" s="470">
        <v>11</v>
      </c>
      <c r="S1655" s="470"/>
      <c r="T1655" s="470"/>
      <c r="U1655" s="471"/>
      <c r="V1655" s="470">
        <v>2</v>
      </c>
      <c r="W1655" s="471"/>
      <c r="X1655" s="471"/>
      <c r="Y1655" s="470"/>
      <c r="Z1655" s="471">
        <v>2</v>
      </c>
      <c r="AA1655" s="471">
        <v>0</v>
      </c>
      <c r="AB1655" s="472">
        <f>100/(SUM(I1655:Z1655))</f>
        <v>1</v>
      </c>
      <c r="AC1655" s="472">
        <f>SUM(I1655:AA1655)</f>
        <v>100</v>
      </c>
      <c r="AD1655" s="471"/>
      <c r="AE1655" s="471"/>
      <c r="AF1655" s="471"/>
      <c r="AG1655" s="473" t="s">
        <v>136</v>
      </c>
      <c r="AH1655" s="474" t="s">
        <v>2569</v>
      </c>
      <c r="AI1655" s="474"/>
      <c r="AJ1655" s="474"/>
      <c r="AK1655" s="468" t="s">
        <v>2570</v>
      </c>
      <c r="AL1655" s="475">
        <f>(B1655-DATE(1970,1,1))*86400</f>
        <v>1523145600</v>
      </c>
      <c r="AM1655" s="475">
        <f>(C1655-DATE(1970,1,1))*86400</f>
        <v>1523145600</v>
      </c>
      <c r="AN1655" s="475">
        <f>AVERAGE(AL1655:AM1655)</f>
        <v>1523145600</v>
      </c>
    </row>
    <row r="1656" spans="1:65" ht="15.75" customHeight="1" x14ac:dyDescent="0.2">
      <c r="A1656" s="449" t="s">
        <v>133</v>
      </c>
      <c r="B1656" s="460">
        <v>43196</v>
      </c>
      <c r="C1656" s="460">
        <v>43197</v>
      </c>
      <c r="D1656" s="451" t="s">
        <v>143</v>
      </c>
      <c r="E1656" s="452" t="s">
        <v>125</v>
      </c>
      <c r="F1656" s="451" t="s">
        <v>1489</v>
      </c>
      <c r="G1656" s="451" t="s">
        <v>149</v>
      </c>
      <c r="H1656" s="454">
        <v>3000</v>
      </c>
      <c r="I1656" s="463">
        <v>44</v>
      </c>
      <c r="J1656" s="463"/>
      <c r="K1656" s="463">
        <v>21</v>
      </c>
      <c r="L1656" s="463">
        <v>8</v>
      </c>
      <c r="M1656" s="463">
        <v>6</v>
      </c>
      <c r="N1656" s="463">
        <v>1</v>
      </c>
      <c r="O1656" s="463"/>
      <c r="P1656" s="463">
        <v>2</v>
      </c>
      <c r="Q1656" s="463"/>
      <c r="R1656" s="455">
        <v>14</v>
      </c>
      <c r="S1656" s="463"/>
      <c r="T1656" s="463"/>
      <c r="U1656" s="463"/>
      <c r="V1656" s="463">
        <v>1</v>
      </c>
      <c r="W1656" s="463"/>
      <c r="X1656" s="463"/>
      <c r="Y1656" s="463"/>
      <c r="Z1656" s="463">
        <v>3</v>
      </c>
      <c r="AA1656" s="455">
        <v>0</v>
      </c>
      <c r="AB1656" s="457">
        <f>100/(SUM(I1656:Z1656))</f>
        <v>1</v>
      </c>
      <c r="AC1656" s="432">
        <f>SUM(I1656:AA1656)</f>
        <v>100</v>
      </c>
      <c r="AD1656" s="455">
        <v>64</v>
      </c>
      <c r="AE1656" s="455"/>
      <c r="AF1656" s="455"/>
      <c r="AG1656" s="459" t="s">
        <v>1490</v>
      </c>
      <c r="AH1656" s="458" t="s">
        <v>1491</v>
      </c>
      <c r="AI1656" s="458"/>
      <c r="AJ1656" s="458"/>
      <c r="AK1656" s="451" t="s">
        <v>1492</v>
      </c>
      <c r="AL1656" s="459">
        <f>(B1656-DATE(1970,1,1))*86400</f>
        <v>1522972800</v>
      </c>
      <c r="AM1656" s="459">
        <f>(C1656-DATE(1970,1,1))*86400</f>
        <v>1523059200</v>
      </c>
      <c r="AN1656" s="459">
        <f>AVERAGE(AL1656:AM1656)</f>
        <v>1523016000</v>
      </c>
    </row>
    <row r="1657" spans="1:65" ht="15.75" customHeight="1" x14ac:dyDescent="0.2">
      <c r="A1657" s="449" t="s">
        <v>133</v>
      </c>
      <c r="B1657" s="460">
        <v>43196</v>
      </c>
      <c r="C1657" s="460">
        <v>43197</v>
      </c>
      <c r="D1657" s="451" t="s">
        <v>143</v>
      </c>
      <c r="E1657" s="452" t="s">
        <v>125</v>
      </c>
      <c r="F1657" s="451"/>
      <c r="G1657" s="451" t="s">
        <v>149</v>
      </c>
      <c r="H1657" s="454">
        <v>3000</v>
      </c>
      <c r="I1657" s="463">
        <v>43</v>
      </c>
      <c r="J1657" s="463"/>
      <c r="K1657" s="463">
        <v>22</v>
      </c>
      <c r="L1657" s="463">
        <v>8</v>
      </c>
      <c r="M1657" s="463">
        <v>7</v>
      </c>
      <c r="N1657" s="463">
        <v>1</v>
      </c>
      <c r="O1657" s="463"/>
      <c r="P1657" s="463">
        <v>3</v>
      </c>
      <c r="Q1657" s="463"/>
      <c r="R1657" s="455">
        <v>13</v>
      </c>
      <c r="S1657" s="463"/>
      <c r="T1657" s="463"/>
      <c r="U1657" s="463"/>
      <c r="V1657" s="463">
        <v>1</v>
      </c>
      <c r="W1657" s="463"/>
      <c r="X1657" s="463"/>
      <c r="Y1657" s="463"/>
      <c r="Z1657" s="463">
        <v>2</v>
      </c>
      <c r="AA1657" s="455">
        <v>0</v>
      </c>
      <c r="AB1657" s="457">
        <f>100/(SUM(I1657:Z1657))</f>
        <v>1</v>
      </c>
      <c r="AC1657" s="432">
        <f>SUM(I1657:AA1657)</f>
        <v>100</v>
      </c>
      <c r="AD1657" s="455">
        <v>64</v>
      </c>
      <c r="AE1657" s="455"/>
      <c r="AF1657" s="455"/>
      <c r="AG1657" s="459" t="s">
        <v>1490</v>
      </c>
      <c r="AH1657" s="458" t="s">
        <v>1493</v>
      </c>
      <c r="AI1657" s="458"/>
      <c r="AJ1657" s="458"/>
      <c r="AK1657" s="451" t="s">
        <v>1494</v>
      </c>
      <c r="AL1657" s="459">
        <f>(B1657-DATE(1970,1,1))*86400</f>
        <v>1522972800</v>
      </c>
      <c r="AM1657" s="459">
        <f>(C1657-DATE(1970,1,1))*86400</f>
        <v>1523059200</v>
      </c>
      <c r="AN1657" s="459">
        <f>AVERAGE(AL1657:AM1657)</f>
        <v>1523016000</v>
      </c>
    </row>
    <row r="1658" spans="1:65" ht="15.75" customHeight="1" x14ac:dyDescent="0.2">
      <c r="A1658" s="286" t="s">
        <v>123</v>
      </c>
      <c r="B1658" s="41">
        <v>43196</v>
      </c>
      <c r="C1658" s="41">
        <v>43196</v>
      </c>
      <c r="D1658" s="40" t="s">
        <v>148</v>
      </c>
      <c r="E1658" s="325" t="s">
        <v>125</v>
      </c>
      <c r="F1658" s="40" t="s">
        <v>1326</v>
      </c>
      <c r="G1658" s="40" t="s">
        <v>1326</v>
      </c>
      <c r="H1658" s="386">
        <v>0</v>
      </c>
      <c r="I1658" s="42">
        <v>43</v>
      </c>
      <c r="J1658" s="42"/>
      <c r="K1658" s="42">
        <v>21</v>
      </c>
      <c r="L1658" s="42">
        <v>6.5</v>
      </c>
      <c r="M1658" s="42">
        <v>8</v>
      </c>
      <c r="N1658" s="42">
        <v>1</v>
      </c>
      <c r="O1658" s="42"/>
      <c r="P1658" s="42">
        <v>2.5</v>
      </c>
      <c r="Q1658" s="42"/>
      <c r="R1658" s="42">
        <v>15</v>
      </c>
      <c r="S1658" s="42"/>
      <c r="T1658" s="42"/>
      <c r="U1658" s="42"/>
      <c r="V1658" s="42">
        <v>1</v>
      </c>
      <c r="W1658" s="42"/>
      <c r="X1658" s="42"/>
      <c r="Y1658" s="42"/>
      <c r="Z1658" s="42"/>
      <c r="AA1658" s="42">
        <v>0</v>
      </c>
      <c r="AB1658" s="44">
        <f>100/(SUM(I1658:Z1658))</f>
        <v>1.0204081632653061</v>
      </c>
      <c r="AC1658" s="259">
        <f>SUM(I1658:AA1658)</f>
        <v>98</v>
      </c>
      <c r="AD1658" s="42">
        <v>66</v>
      </c>
      <c r="AE1658" s="42"/>
      <c r="AF1658" s="42"/>
      <c r="AG1658" s="45"/>
      <c r="AH1658" s="220" t="s">
        <v>2131</v>
      </c>
      <c r="AI1658" s="176" t="s">
        <v>1495</v>
      </c>
      <c r="AJ1658" s="40" t="s">
        <v>1496</v>
      </c>
      <c r="AK1658" s="40" t="s">
        <v>2132</v>
      </c>
      <c r="AL1658" s="45">
        <f>(B1658-DATE(1970,1,1))*86400</f>
        <v>1522972800</v>
      </c>
      <c r="AM1658" s="45">
        <f>(C1658-DATE(1970,1,1))*86400</f>
        <v>1522972800</v>
      </c>
      <c r="AN1658" s="45">
        <f>AVERAGE(AL1658:AM1658)</f>
        <v>1522972800</v>
      </c>
    </row>
    <row r="1659" spans="1:65" ht="15.75" customHeight="1" x14ac:dyDescent="0.2">
      <c r="A1659" s="449" t="s">
        <v>123</v>
      </c>
      <c r="B1659" s="460">
        <v>43195</v>
      </c>
      <c r="C1659" s="460">
        <v>43195</v>
      </c>
      <c r="D1659" s="451" t="s">
        <v>143</v>
      </c>
      <c r="E1659" s="452" t="s">
        <v>125</v>
      </c>
      <c r="F1659" s="451" t="s">
        <v>1326</v>
      </c>
      <c r="G1659" s="451" t="s">
        <v>1326</v>
      </c>
      <c r="H1659" s="454">
        <v>0</v>
      </c>
      <c r="I1659" s="463">
        <v>46</v>
      </c>
      <c r="J1659" s="463"/>
      <c r="K1659" s="463">
        <v>19</v>
      </c>
      <c r="L1659" s="463">
        <v>7</v>
      </c>
      <c r="M1659" s="463">
        <v>6</v>
      </c>
      <c r="N1659" s="463">
        <v>1</v>
      </c>
      <c r="O1659" s="463"/>
      <c r="P1659" s="463">
        <v>3</v>
      </c>
      <c r="Q1659" s="463"/>
      <c r="R1659" s="455">
        <v>14</v>
      </c>
      <c r="S1659" s="463"/>
      <c r="T1659" s="463"/>
      <c r="U1659" s="463"/>
      <c r="V1659" s="463">
        <v>1</v>
      </c>
      <c r="W1659" s="463"/>
      <c r="X1659" s="463"/>
      <c r="Y1659" s="463"/>
      <c r="Z1659" s="463">
        <v>3</v>
      </c>
      <c r="AA1659" s="455">
        <v>0</v>
      </c>
      <c r="AB1659" s="457">
        <f>100/(SUM(I1659:Z1659))</f>
        <v>1</v>
      </c>
      <c r="AC1659" s="432">
        <f>SUM(I1659:AA1659)</f>
        <v>100</v>
      </c>
      <c r="AD1659" s="455"/>
      <c r="AE1659" s="455"/>
      <c r="AF1659" s="455"/>
      <c r="AG1659" s="459"/>
      <c r="AH1659" s="458" t="s">
        <v>1497</v>
      </c>
      <c r="AI1659" s="458" t="s">
        <v>1498</v>
      </c>
      <c r="AJ1659" s="458" t="s">
        <v>1499</v>
      </c>
      <c r="AK1659" s="451" t="s">
        <v>1500</v>
      </c>
      <c r="AL1659" s="459">
        <f>(B1659-DATE(1970,1,1))*86400</f>
        <v>1522886400</v>
      </c>
      <c r="AM1659" s="459">
        <f>(C1659-DATE(1970,1,1))*86400</f>
        <v>1522886400</v>
      </c>
      <c r="AN1659" s="459">
        <f>AVERAGE(AL1659:AM1659)</f>
        <v>1522886400</v>
      </c>
    </row>
    <row r="1660" spans="1:65" ht="15.75" customHeight="1" x14ac:dyDescent="0.2">
      <c r="A1660" s="464" t="s">
        <v>123</v>
      </c>
      <c r="B1660" s="465">
        <v>43195</v>
      </c>
      <c r="C1660" s="465">
        <v>43195</v>
      </c>
      <c r="D1660" s="466" t="s">
        <v>124</v>
      </c>
      <c r="E1660" s="467">
        <v>1</v>
      </c>
      <c r="F1660" s="468" t="s">
        <v>1326</v>
      </c>
      <c r="G1660" s="468"/>
      <c r="H1660" s="469"/>
      <c r="I1660" s="470">
        <v>43</v>
      </c>
      <c r="J1660" s="470"/>
      <c r="K1660" s="470">
        <v>22</v>
      </c>
      <c r="L1660" s="470">
        <v>8</v>
      </c>
      <c r="M1660" s="470">
        <v>8</v>
      </c>
      <c r="N1660" s="470">
        <v>1</v>
      </c>
      <c r="O1660" s="470"/>
      <c r="P1660" s="470">
        <v>3</v>
      </c>
      <c r="Q1660" s="470"/>
      <c r="R1660" s="470">
        <v>11</v>
      </c>
      <c r="S1660" s="470"/>
      <c r="T1660" s="470"/>
      <c r="U1660" s="471"/>
      <c r="V1660" s="470">
        <v>2</v>
      </c>
      <c r="W1660" s="471"/>
      <c r="X1660" s="471"/>
      <c r="Y1660" s="470"/>
      <c r="Z1660" s="471">
        <v>2</v>
      </c>
      <c r="AA1660" s="471">
        <v>0</v>
      </c>
      <c r="AB1660" s="472">
        <f>100/(SUM(I1660:Z1660))</f>
        <v>1</v>
      </c>
      <c r="AC1660" s="472">
        <f>SUM(I1660:AA1660)</f>
        <v>100</v>
      </c>
      <c r="AD1660" s="471">
        <v>65</v>
      </c>
      <c r="AE1660" s="471"/>
      <c r="AF1660" s="471"/>
      <c r="AG1660" s="473"/>
      <c r="AH1660" s="474" t="s">
        <v>2571</v>
      </c>
      <c r="AI1660" s="474"/>
      <c r="AJ1660" s="474"/>
      <c r="AK1660" s="468"/>
      <c r="AL1660" s="475">
        <f>(B1660-DATE(1970,1,1))*86400</f>
        <v>1522886400</v>
      </c>
      <c r="AM1660" s="475">
        <f>(C1660-DATE(1970,1,1))*86400</f>
        <v>1522886400</v>
      </c>
      <c r="AN1660" s="475">
        <f>AVERAGE(AL1660:AM1660)</f>
        <v>1522886400</v>
      </c>
    </row>
    <row r="1661" spans="1:65" ht="15.75" customHeight="1" x14ac:dyDescent="0.2">
      <c r="A1661" s="281" t="s">
        <v>133</v>
      </c>
      <c r="B1661" s="167">
        <v>43195</v>
      </c>
      <c r="C1661" s="167">
        <v>43195</v>
      </c>
      <c r="D1661" s="53" t="s">
        <v>154</v>
      </c>
      <c r="E1661" s="323" t="s">
        <v>184</v>
      </c>
      <c r="F1661" s="53" t="s">
        <v>1326</v>
      </c>
      <c r="G1661" s="53" t="s">
        <v>1326</v>
      </c>
      <c r="H1661" s="384">
        <v>0</v>
      </c>
      <c r="I1661" s="55">
        <v>41</v>
      </c>
      <c r="J1661" s="55"/>
      <c r="K1661" s="55">
        <v>21</v>
      </c>
      <c r="L1661" s="55">
        <v>7</v>
      </c>
      <c r="M1661" s="55">
        <v>6</v>
      </c>
      <c r="N1661" s="55">
        <v>1</v>
      </c>
      <c r="O1661" s="55"/>
      <c r="P1661" s="55">
        <v>2</v>
      </c>
      <c r="Q1661" s="55"/>
      <c r="R1661" s="55">
        <v>18</v>
      </c>
      <c r="S1661" s="55"/>
      <c r="T1661" s="55"/>
      <c r="U1661" s="55"/>
      <c r="V1661" s="55">
        <v>1</v>
      </c>
      <c r="W1661" s="55"/>
      <c r="X1661" s="55"/>
      <c r="Y1661" s="55"/>
      <c r="Z1661" s="55">
        <v>0</v>
      </c>
      <c r="AA1661" s="55">
        <v>37</v>
      </c>
      <c r="AB1661" s="57">
        <f>100/(SUM(I1661:Z1661))</f>
        <v>1.0309278350515463</v>
      </c>
      <c r="AC1661" s="259">
        <f>SUM(I1661:AA1661)</f>
        <v>134</v>
      </c>
      <c r="AD1661" s="55"/>
      <c r="AE1661" s="55"/>
      <c r="AF1661" s="55"/>
      <c r="AG1661" s="58"/>
      <c r="AH1661" s="59" t="s">
        <v>1501</v>
      </c>
      <c r="AI1661" s="59"/>
      <c r="AJ1661" s="59"/>
      <c r="AK1661" s="53"/>
      <c r="AL1661" s="58">
        <f>(B1661-DATE(1970,1,1))*86400</f>
        <v>1522886400</v>
      </c>
      <c r="AM1661" s="58">
        <f>(C1661-DATE(1970,1,1))*86400</f>
        <v>1522886400</v>
      </c>
      <c r="AN1661" s="58">
        <f>AVERAGE(AL1661:AM1661)</f>
        <v>1522886400</v>
      </c>
    </row>
    <row r="1662" spans="1:65" ht="15.75" customHeight="1" x14ac:dyDescent="0.2">
      <c r="A1662" s="288" t="s">
        <v>133</v>
      </c>
      <c r="B1662" s="60">
        <v>43195</v>
      </c>
      <c r="C1662" s="60">
        <v>43195</v>
      </c>
      <c r="D1662" s="61" t="s">
        <v>168</v>
      </c>
      <c r="E1662" s="334" t="s">
        <v>184</v>
      </c>
      <c r="F1662" s="61" t="s">
        <v>1326</v>
      </c>
      <c r="G1662" s="61" t="s">
        <v>1326</v>
      </c>
      <c r="H1662" s="334">
        <v>0</v>
      </c>
      <c r="I1662" s="63">
        <v>41</v>
      </c>
      <c r="J1662" s="63"/>
      <c r="K1662" s="63">
        <v>21</v>
      </c>
      <c r="L1662" s="63">
        <v>6</v>
      </c>
      <c r="M1662" s="63">
        <v>6</v>
      </c>
      <c r="N1662" s="63"/>
      <c r="O1662" s="63"/>
      <c r="P1662" s="63"/>
      <c r="Q1662" s="63"/>
      <c r="R1662" s="63">
        <v>19</v>
      </c>
      <c r="S1662" s="63"/>
      <c r="T1662" s="63"/>
      <c r="U1662" s="63"/>
      <c r="V1662" s="63"/>
      <c r="W1662" s="63"/>
      <c r="X1662" s="63"/>
      <c r="Y1662" s="63"/>
      <c r="Z1662" s="63"/>
      <c r="AA1662" s="63"/>
      <c r="AB1662" s="65">
        <f>100/(SUM(I1662:Z1662))</f>
        <v>1.075268817204301</v>
      </c>
      <c r="AC1662" s="259">
        <f>SUM(I1662:AA1662)</f>
        <v>93</v>
      </c>
      <c r="AD1662" s="63"/>
      <c r="AE1662" s="63"/>
      <c r="AF1662" s="63"/>
      <c r="AG1662" s="66"/>
      <c r="AH1662" s="67" t="s">
        <v>1502</v>
      </c>
      <c r="AI1662" s="67" t="s">
        <v>1503</v>
      </c>
      <c r="AJ1662" s="67" t="s">
        <v>1496</v>
      </c>
      <c r="AK1662" s="61" t="s">
        <v>1504</v>
      </c>
      <c r="AL1662" s="66">
        <f>(B1662-DATE(1970,1,1))*86400</f>
        <v>1522886400</v>
      </c>
      <c r="AM1662" s="66">
        <f>(C1662-DATE(1970,1,1))*86400</f>
        <v>1522886400</v>
      </c>
      <c r="AN1662" s="66">
        <f>AVERAGE(AL1662:AM1662)</f>
        <v>1522886400</v>
      </c>
    </row>
    <row r="1663" spans="1:65" ht="15.75" customHeight="1" x14ac:dyDescent="0.2">
      <c r="A1663" s="296" t="s">
        <v>133</v>
      </c>
      <c r="B1663" s="100">
        <v>43193</v>
      </c>
      <c r="C1663" s="100">
        <v>43196</v>
      </c>
      <c r="D1663" s="99" t="s">
        <v>276</v>
      </c>
      <c r="E1663" s="326" t="s">
        <v>184</v>
      </c>
      <c r="F1663" s="99"/>
      <c r="G1663" s="99" t="s">
        <v>126</v>
      </c>
      <c r="H1663" s="326">
        <v>1000</v>
      </c>
      <c r="I1663" s="101">
        <v>29</v>
      </c>
      <c r="J1663" s="101"/>
      <c r="K1663" s="101">
        <v>18</v>
      </c>
      <c r="L1663" s="101">
        <v>5</v>
      </c>
      <c r="M1663" s="101">
        <v>5</v>
      </c>
      <c r="N1663" s="101">
        <v>0</v>
      </c>
      <c r="O1663" s="101"/>
      <c r="P1663" s="101">
        <v>1</v>
      </c>
      <c r="Q1663" s="101"/>
      <c r="R1663" s="101">
        <v>9</v>
      </c>
      <c r="S1663" s="101"/>
      <c r="T1663" s="101"/>
      <c r="U1663" s="101"/>
      <c r="V1663" s="101">
        <v>1</v>
      </c>
      <c r="W1663" s="101"/>
      <c r="X1663" s="101"/>
      <c r="Y1663" s="101"/>
      <c r="Z1663" s="101">
        <v>1</v>
      </c>
      <c r="AA1663" s="101">
        <v>31</v>
      </c>
      <c r="AB1663" s="102">
        <f>100/(SUM(I1663:Z1663))</f>
        <v>1.4492753623188406</v>
      </c>
      <c r="AC1663" s="259">
        <f>SUM(I1663:AA1663)</f>
        <v>100</v>
      </c>
      <c r="AD1663" s="101">
        <v>71</v>
      </c>
      <c r="AE1663" s="101"/>
      <c r="AF1663" s="101"/>
      <c r="AG1663" s="103"/>
      <c r="AH1663" s="104" t="s">
        <v>1505</v>
      </c>
      <c r="AI1663" s="99" t="s">
        <v>1506</v>
      </c>
      <c r="AJ1663" s="99"/>
      <c r="AK1663" s="99" t="s">
        <v>1507</v>
      </c>
      <c r="AL1663" s="103">
        <f>(B1663-DATE(1970,1,1))*86400</f>
        <v>1522713600</v>
      </c>
      <c r="AM1663" s="103">
        <f>(C1663-DATE(1970,1,1))*86400</f>
        <v>1522972800</v>
      </c>
      <c r="AN1663" s="103">
        <f>AVERAGE(AL1663:AM1663)</f>
        <v>1522843200</v>
      </c>
    </row>
    <row r="1664" spans="1:65" ht="15.75" customHeight="1" x14ac:dyDescent="0.2">
      <c r="A1664" s="296" t="s">
        <v>123</v>
      </c>
      <c r="B1664" s="100">
        <v>43193</v>
      </c>
      <c r="C1664" s="100">
        <v>43196</v>
      </c>
      <c r="D1664" s="99" t="s">
        <v>276</v>
      </c>
      <c r="E1664" s="326" t="s">
        <v>184</v>
      </c>
      <c r="F1664" s="99"/>
      <c r="G1664" s="99" t="s">
        <v>126</v>
      </c>
      <c r="H1664" s="326">
        <v>1000</v>
      </c>
      <c r="I1664" s="101">
        <v>41</v>
      </c>
      <c r="J1664" s="101"/>
      <c r="K1664" s="101">
        <v>25</v>
      </c>
      <c r="L1664" s="101">
        <v>7</v>
      </c>
      <c r="M1664" s="101">
        <v>7</v>
      </c>
      <c r="N1664" s="101">
        <v>1</v>
      </c>
      <c r="O1664" s="101"/>
      <c r="P1664" s="101">
        <v>2</v>
      </c>
      <c r="Q1664" s="101"/>
      <c r="R1664" s="101">
        <v>13</v>
      </c>
      <c r="S1664" s="101"/>
      <c r="T1664" s="101"/>
      <c r="U1664" s="101"/>
      <c r="V1664" s="101">
        <v>2</v>
      </c>
      <c r="W1664" s="101"/>
      <c r="X1664" s="101"/>
      <c r="Y1664" s="101"/>
      <c r="Z1664" s="101">
        <v>2</v>
      </c>
      <c r="AA1664" s="101">
        <v>0</v>
      </c>
      <c r="AB1664" s="102">
        <f>100/(SUM(I1664:Z1664))</f>
        <v>1</v>
      </c>
      <c r="AC1664" s="259">
        <f>SUM(I1664:AA1664)</f>
        <v>100</v>
      </c>
      <c r="AD1664" s="101"/>
      <c r="AE1664" s="101"/>
      <c r="AF1664" s="101"/>
      <c r="AG1664" s="103"/>
      <c r="AH1664" s="104" t="s">
        <v>1505</v>
      </c>
      <c r="AI1664" s="99" t="s">
        <v>1506</v>
      </c>
      <c r="AJ1664" s="99"/>
      <c r="AK1664" s="99" t="s">
        <v>1508</v>
      </c>
      <c r="AL1664" s="103">
        <f>(B1664-DATE(1970,1,1))*86400</f>
        <v>1522713600</v>
      </c>
      <c r="AM1664" s="103">
        <f>(C1664-DATE(1970,1,1))*86400</f>
        <v>1522972800</v>
      </c>
      <c r="AN1664" s="103">
        <f>AVERAGE(AL1664:AM1664)</f>
        <v>1522843200</v>
      </c>
    </row>
    <row r="1665" spans="1:40" ht="15.75" customHeight="1" x14ac:dyDescent="0.2">
      <c r="A1665" s="279" t="s">
        <v>123</v>
      </c>
      <c r="B1665" s="14">
        <v>43194</v>
      </c>
      <c r="C1665" s="14">
        <v>43194</v>
      </c>
      <c r="D1665" s="13" t="s">
        <v>124</v>
      </c>
      <c r="E1665" s="324" t="s">
        <v>125</v>
      </c>
      <c r="F1665" s="13" t="s">
        <v>1326</v>
      </c>
      <c r="G1665" s="13" t="s">
        <v>1326</v>
      </c>
      <c r="H1665" s="324">
        <v>0</v>
      </c>
      <c r="I1665" s="15">
        <v>43</v>
      </c>
      <c r="J1665" s="15"/>
      <c r="K1665" s="15">
        <v>22</v>
      </c>
      <c r="L1665" s="15">
        <v>8</v>
      </c>
      <c r="M1665" s="15">
        <v>8</v>
      </c>
      <c r="N1665" s="15">
        <v>1</v>
      </c>
      <c r="O1665" s="15"/>
      <c r="P1665" s="15">
        <v>3</v>
      </c>
      <c r="Q1665" s="15"/>
      <c r="R1665" s="15">
        <v>11</v>
      </c>
      <c r="S1665" s="15"/>
      <c r="T1665" s="15"/>
      <c r="U1665" s="15"/>
      <c r="V1665" s="15">
        <v>2</v>
      </c>
      <c r="W1665" s="15"/>
      <c r="X1665" s="15"/>
      <c r="Y1665" s="15"/>
      <c r="Z1665" s="15"/>
      <c r="AA1665" s="15">
        <v>0</v>
      </c>
      <c r="AB1665" s="16">
        <f>100/(SUM(I1665:Z1665))</f>
        <v>1.0204081632653061</v>
      </c>
      <c r="AC1665" s="259">
        <f>SUM(I1665:AA1665)</f>
        <v>98</v>
      </c>
      <c r="AD1665" s="15">
        <v>65</v>
      </c>
      <c r="AE1665" s="15"/>
      <c r="AF1665" s="15"/>
      <c r="AG1665" s="392"/>
      <c r="AH1665" s="392" t="s">
        <v>2138</v>
      </c>
      <c r="AI1665" s="18" t="s">
        <v>1509</v>
      </c>
      <c r="AJ1665" s="18" t="s">
        <v>1510</v>
      </c>
      <c r="AK1665" s="13" t="s">
        <v>2139</v>
      </c>
      <c r="AL1665" s="17">
        <f>(B1665-DATE(1970,1,1))*86400</f>
        <v>1522800000</v>
      </c>
      <c r="AM1665" s="17">
        <f>(C1665-DATE(1970,1,1))*86400</f>
        <v>1522800000</v>
      </c>
      <c r="AN1665" s="17">
        <f>AVERAGE(AL1665:AM1665)</f>
        <v>1522800000</v>
      </c>
    </row>
    <row r="1666" spans="1:40" ht="15.75" customHeight="1" x14ac:dyDescent="0.2">
      <c r="A1666" s="281" t="s">
        <v>133</v>
      </c>
      <c r="B1666" s="167">
        <v>43187</v>
      </c>
      <c r="C1666" s="167">
        <v>43193</v>
      </c>
      <c r="D1666" s="53" t="s">
        <v>154</v>
      </c>
      <c r="E1666" s="323" t="s">
        <v>184</v>
      </c>
      <c r="F1666" s="53"/>
      <c r="G1666" s="53" t="s">
        <v>126</v>
      </c>
      <c r="H1666" s="384">
        <v>1006</v>
      </c>
      <c r="I1666" s="55">
        <v>25</v>
      </c>
      <c r="J1666" s="55"/>
      <c r="K1666" s="55">
        <v>14</v>
      </c>
      <c r="L1666" s="55">
        <v>5</v>
      </c>
      <c r="M1666" s="55">
        <v>3</v>
      </c>
      <c r="N1666" s="55">
        <v>0</v>
      </c>
      <c r="O1666" s="55"/>
      <c r="P1666" s="55">
        <v>1</v>
      </c>
      <c r="Q1666" s="55"/>
      <c r="R1666" s="55">
        <v>13</v>
      </c>
      <c r="S1666" s="55"/>
      <c r="T1666" s="55"/>
      <c r="U1666" s="55"/>
      <c r="V1666" s="55">
        <v>0</v>
      </c>
      <c r="W1666" s="55"/>
      <c r="X1666" s="55"/>
      <c r="Y1666" s="55"/>
      <c r="Z1666" s="55">
        <v>0</v>
      </c>
      <c r="AA1666" s="55">
        <v>37</v>
      </c>
      <c r="AB1666" s="57">
        <f>100/(SUM(I1666:Z1666))</f>
        <v>1.639344262295082</v>
      </c>
      <c r="AC1666" s="259">
        <f>SUM(I1666:AA1666)</f>
        <v>98</v>
      </c>
      <c r="AD1666" s="55"/>
      <c r="AE1666" s="55"/>
      <c r="AF1666" s="55"/>
      <c r="AG1666" s="58" t="s">
        <v>1511</v>
      </c>
      <c r="AH1666" s="59" t="s">
        <v>1501</v>
      </c>
      <c r="AI1666" s="59" t="s">
        <v>1512</v>
      </c>
      <c r="AJ1666" s="59" t="s">
        <v>1513</v>
      </c>
      <c r="AK1666" s="53" t="s">
        <v>1514</v>
      </c>
      <c r="AL1666" s="58">
        <f>(B1666-DATE(1970,1,1))*86400</f>
        <v>1522195200</v>
      </c>
      <c r="AM1666" s="58">
        <f>(C1666-DATE(1970,1,1))*86400</f>
        <v>1522713600</v>
      </c>
      <c r="AN1666" s="58">
        <f>AVERAGE(AL1666:AM1666)</f>
        <v>1522454400</v>
      </c>
    </row>
    <row r="1667" spans="1:40" ht="15.75" customHeight="1" x14ac:dyDescent="0.2">
      <c r="A1667" s="281" t="s">
        <v>123</v>
      </c>
      <c r="B1667" s="167">
        <v>43187</v>
      </c>
      <c r="C1667" s="167">
        <v>43193</v>
      </c>
      <c r="D1667" s="53" t="s">
        <v>154</v>
      </c>
      <c r="E1667" s="323" t="s">
        <v>184</v>
      </c>
      <c r="F1667" s="53"/>
      <c r="G1667" s="53" t="s">
        <v>126</v>
      </c>
      <c r="H1667" s="384">
        <v>1006</v>
      </c>
      <c r="I1667" s="55">
        <v>34</v>
      </c>
      <c r="J1667" s="55"/>
      <c r="K1667" s="55">
        <v>17</v>
      </c>
      <c r="L1667" s="55">
        <v>6</v>
      </c>
      <c r="M1667" s="55">
        <v>4</v>
      </c>
      <c r="N1667" s="55">
        <v>0</v>
      </c>
      <c r="O1667" s="55"/>
      <c r="P1667" s="55">
        <v>1</v>
      </c>
      <c r="Q1667" s="55"/>
      <c r="R1667" s="55">
        <v>16</v>
      </c>
      <c r="S1667" s="55"/>
      <c r="T1667" s="55"/>
      <c r="U1667" s="55"/>
      <c r="V1667" s="55">
        <v>0</v>
      </c>
      <c r="W1667" s="55"/>
      <c r="X1667" s="55"/>
      <c r="Y1667" s="55"/>
      <c r="Z1667" s="55">
        <v>1</v>
      </c>
      <c r="AA1667" s="55">
        <v>20</v>
      </c>
      <c r="AB1667" s="57">
        <f>100/(SUM(I1667:Z1667))</f>
        <v>1.2658227848101267</v>
      </c>
      <c r="AC1667" s="259">
        <f>SUM(I1667:AA1667)</f>
        <v>99</v>
      </c>
      <c r="AD1667" s="55"/>
      <c r="AE1667" s="55"/>
      <c r="AF1667" s="55"/>
      <c r="AG1667" s="58" t="s">
        <v>1511</v>
      </c>
      <c r="AH1667" s="59" t="s">
        <v>1501</v>
      </c>
      <c r="AI1667" s="59" t="s">
        <v>1515</v>
      </c>
      <c r="AJ1667" s="53"/>
      <c r="AK1667" s="53"/>
      <c r="AL1667" s="58">
        <f>(B1667-DATE(1970,1,1))*86400</f>
        <v>1522195200</v>
      </c>
      <c r="AM1667" s="58">
        <f>(C1667-DATE(1970,1,1))*86400</f>
        <v>1522713600</v>
      </c>
      <c r="AN1667" s="58">
        <f>AVERAGE(AL1667:AM1667)</f>
        <v>1522454400</v>
      </c>
    </row>
    <row r="1668" spans="1:40" ht="15.75" customHeight="1" x14ac:dyDescent="0.2">
      <c r="A1668" s="281" t="s">
        <v>123</v>
      </c>
      <c r="B1668" s="167">
        <v>43187</v>
      </c>
      <c r="C1668" s="167">
        <v>43193</v>
      </c>
      <c r="D1668" s="53" t="s">
        <v>154</v>
      </c>
      <c r="E1668" s="323" t="s">
        <v>184</v>
      </c>
      <c r="F1668" s="53"/>
      <c r="G1668" s="53" t="s">
        <v>126</v>
      </c>
      <c r="H1668" s="384">
        <v>1006</v>
      </c>
      <c r="I1668" s="55">
        <v>45</v>
      </c>
      <c r="J1668" s="55"/>
      <c r="K1668" s="55">
        <v>20</v>
      </c>
      <c r="L1668" s="55">
        <v>7</v>
      </c>
      <c r="M1668" s="55">
        <v>5</v>
      </c>
      <c r="N1668" s="55">
        <v>0</v>
      </c>
      <c r="O1668" s="55"/>
      <c r="P1668" s="55">
        <v>2</v>
      </c>
      <c r="Q1668" s="55"/>
      <c r="R1668" s="55">
        <v>19</v>
      </c>
      <c r="S1668" s="55"/>
      <c r="T1668" s="55"/>
      <c r="U1668" s="55"/>
      <c r="V1668" s="55">
        <v>0</v>
      </c>
      <c r="W1668" s="55"/>
      <c r="X1668" s="55"/>
      <c r="Y1668" s="55"/>
      <c r="Z1668" s="55">
        <v>1</v>
      </c>
      <c r="AA1668" s="55">
        <v>0</v>
      </c>
      <c r="AB1668" s="57">
        <f>100/(SUM(I1668:Z1668))</f>
        <v>1.0101010101010102</v>
      </c>
      <c r="AC1668" s="259">
        <f>SUM(I1668:AA1668)</f>
        <v>99</v>
      </c>
      <c r="AD1668" s="55"/>
      <c r="AE1668" s="55"/>
      <c r="AF1668" s="55"/>
      <c r="AG1668" s="58" t="s">
        <v>1511</v>
      </c>
      <c r="AH1668" s="59" t="s">
        <v>1501</v>
      </c>
      <c r="AI1668" s="59" t="s">
        <v>1512</v>
      </c>
      <c r="AJ1668" s="59" t="s">
        <v>1515</v>
      </c>
      <c r="AK1668" s="53"/>
      <c r="AL1668" s="58">
        <f>(B1668-DATE(1970,1,1))*86400</f>
        <v>1522195200</v>
      </c>
      <c r="AM1668" s="58">
        <f>(C1668-DATE(1970,1,1))*86400</f>
        <v>1522713600</v>
      </c>
      <c r="AN1668" s="58">
        <f>AVERAGE(AL1668:AM1668)</f>
        <v>1522454400</v>
      </c>
    </row>
    <row r="1669" spans="1:40" ht="15.75" customHeight="1" x14ac:dyDescent="0.2">
      <c r="A1669" s="286" t="s">
        <v>123</v>
      </c>
      <c r="B1669" s="106">
        <v>43184</v>
      </c>
      <c r="C1669" s="106">
        <v>43194</v>
      </c>
      <c r="D1669" s="40" t="s">
        <v>148</v>
      </c>
      <c r="E1669" s="325" t="s">
        <v>125</v>
      </c>
      <c r="F1669" s="40"/>
      <c r="G1669" s="129" t="s">
        <v>149</v>
      </c>
      <c r="H1669" s="385">
        <v>1000</v>
      </c>
      <c r="I1669" s="42">
        <v>46</v>
      </c>
      <c r="J1669" s="43"/>
      <c r="K1669" s="42">
        <v>19</v>
      </c>
      <c r="L1669" s="42">
        <v>7</v>
      </c>
      <c r="M1669" s="42">
        <v>9</v>
      </c>
      <c r="N1669" s="42">
        <v>1</v>
      </c>
      <c r="O1669" s="42"/>
      <c r="P1669" s="42">
        <v>2</v>
      </c>
      <c r="Q1669" s="42"/>
      <c r="R1669" s="42">
        <v>14</v>
      </c>
      <c r="S1669" s="42"/>
      <c r="T1669" s="42"/>
      <c r="U1669" s="42"/>
      <c r="V1669" s="42">
        <v>1</v>
      </c>
      <c r="W1669" s="42"/>
      <c r="X1669" s="42"/>
      <c r="Y1669" s="42"/>
      <c r="Z1669" s="43">
        <v>1</v>
      </c>
      <c r="AA1669" s="42">
        <v>0</v>
      </c>
      <c r="AB1669" s="44">
        <f>100/(SUM(I1669:Z1669))</f>
        <v>1</v>
      </c>
      <c r="AC1669" s="259">
        <f>SUM(I1669:AA1669)</f>
        <v>100</v>
      </c>
      <c r="AD1669" s="42">
        <v>59</v>
      </c>
      <c r="AE1669" s="42"/>
      <c r="AF1669" s="42"/>
      <c r="AG1669" s="45"/>
      <c r="AH1669" s="220" t="s">
        <v>2131</v>
      </c>
      <c r="AI1669" s="132" t="s">
        <v>1495</v>
      </c>
      <c r="AJ1669" s="40" t="s">
        <v>2133</v>
      </c>
      <c r="AK1669" s="40" t="s">
        <v>1516</v>
      </c>
      <c r="AL1669" s="45">
        <f>(B1669-DATE(1970,1,1))*86400</f>
        <v>1521936000</v>
      </c>
      <c r="AM1669" s="45">
        <f>(C1669-DATE(1970,1,1))*86400</f>
        <v>1522800000</v>
      </c>
      <c r="AN1669" s="45">
        <f>AVERAGE(AL1669:AM1669)</f>
        <v>1522368000</v>
      </c>
    </row>
    <row r="1670" spans="1:40" ht="15.75" customHeight="1" x14ac:dyDescent="0.2">
      <c r="A1670" s="284" t="s">
        <v>133</v>
      </c>
      <c r="B1670" s="20">
        <v>43187</v>
      </c>
      <c r="C1670" s="20">
        <v>43190</v>
      </c>
      <c r="D1670" s="19" t="s">
        <v>134</v>
      </c>
      <c r="E1670" s="332" t="s">
        <v>184</v>
      </c>
      <c r="F1670" s="19"/>
      <c r="G1670" s="19" t="s">
        <v>135</v>
      </c>
      <c r="H1670" s="332">
        <v>1000</v>
      </c>
      <c r="I1670" s="21">
        <v>31</v>
      </c>
      <c r="J1670" s="21"/>
      <c r="K1670" s="21">
        <v>14</v>
      </c>
      <c r="L1670" s="21">
        <v>4</v>
      </c>
      <c r="M1670" s="21">
        <v>8</v>
      </c>
      <c r="N1670" s="21">
        <v>1</v>
      </c>
      <c r="O1670" s="21"/>
      <c r="P1670" s="21">
        <v>1</v>
      </c>
      <c r="Q1670" s="21"/>
      <c r="R1670" s="21">
        <v>7</v>
      </c>
      <c r="S1670" s="21"/>
      <c r="T1670" s="21"/>
      <c r="U1670" s="21"/>
      <c r="V1670" s="21"/>
      <c r="W1670" s="21"/>
      <c r="X1670" s="21"/>
      <c r="Y1670" s="21"/>
      <c r="Z1670" s="21">
        <v>5</v>
      </c>
      <c r="AA1670" s="21">
        <v>29</v>
      </c>
      <c r="AB1670" s="23">
        <f>100/(SUM(I1670:Z1670))</f>
        <v>1.408450704225352</v>
      </c>
      <c r="AC1670" s="259">
        <f>SUM(I1670:AA1670)</f>
        <v>100</v>
      </c>
      <c r="AD1670" s="21"/>
      <c r="AE1670" s="21"/>
      <c r="AF1670" s="21"/>
      <c r="AG1670" s="25"/>
      <c r="AH1670" s="83" t="s">
        <v>1517</v>
      </c>
      <c r="AI1670" s="19"/>
      <c r="AJ1670" s="19"/>
      <c r="AK1670" s="19"/>
      <c r="AL1670" s="25">
        <f>(B1670-DATE(1970,1,1))*86400</f>
        <v>1522195200</v>
      </c>
      <c r="AM1670" s="25">
        <f>(C1670-DATE(1970,1,1))*86400</f>
        <v>1522454400</v>
      </c>
      <c r="AN1670" s="25">
        <f>AVERAGE(AL1670:AM1670)</f>
        <v>1522324800</v>
      </c>
    </row>
    <row r="1671" spans="1:40" ht="15.75" customHeight="1" x14ac:dyDescent="0.2">
      <c r="A1671" s="284" t="s">
        <v>123</v>
      </c>
      <c r="B1671" s="20">
        <v>43187</v>
      </c>
      <c r="C1671" s="20">
        <v>43190</v>
      </c>
      <c r="D1671" s="19" t="s">
        <v>134</v>
      </c>
      <c r="E1671" s="332" t="s">
        <v>184</v>
      </c>
      <c r="F1671" s="19"/>
      <c r="G1671" s="19" t="s">
        <v>135</v>
      </c>
      <c r="H1671" s="332">
        <v>1000</v>
      </c>
      <c r="I1671" s="21">
        <v>39</v>
      </c>
      <c r="J1671" s="21"/>
      <c r="K1671" s="21">
        <v>21</v>
      </c>
      <c r="L1671" s="21">
        <v>6</v>
      </c>
      <c r="M1671" s="21">
        <v>13</v>
      </c>
      <c r="N1671" s="21">
        <v>2</v>
      </c>
      <c r="O1671" s="21"/>
      <c r="P1671" s="21">
        <v>1</v>
      </c>
      <c r="Q1671" s="21"/>
      <c r="R1671" s="21">
        <v>12</v>
      </c>
      <c r="S1671" s="21"/>
      <c r="T1671" s="21"/>
      <c r="U1671" s="21"/>
      <c r="V1671" s="21"/>
      <c r="W1671" s="21"/>
      <c r="X1671" s="21"/>
      <c r="Y1671" s="21"/>
      <c r="Z1671" s="21">
        <v>6</v>
      </c>
      <c r="AA1671" s="21">
        <v>0</v>
      </c>
      <c r="AB1671" s="23">
        <f>100/(SUM(I1671:Z1671))</f>
        <v>1</v>
      </c>
      <c r="AC1671" s="259">
        <f>SUM(I1671:AA1671)</f>
        <v>100</v>
      </c>
      <c r="AD1671" s="21"/>
      <c r="AE1671" s="21"/>
      <c r="AF1671" s="21"/>
      <c r="AG1671" s="25"/>
      <c r="AH1671" s="83" t="s">
        <v>1517</v>
      </c>
      <c r="AI1671" s="19"/>
      <c r="AJ1671" s="19"/>
      <c r="AK1671" s="19"/>
      <c r="AL1671" s="25">
        <f>(B1671-DATE(1970,1,1))*86400</f>
        <v>1522195200</v>
      </c>
      <c r="AM1671" s="25">
        <f>(C1671-DATE(1970,1,1))*86400</f>
        <v>1522454400</v>
      </c>
      <c r="AN1671" s="25">
        <f>AVERAGE(AL1671:AM1671)</f>
        <v>1522324800</v>
      </c>
    </row>
    <row r="1672" spans="1:40" ht="15.75" customHeight="1" x14ac:dyDescent="0.2">
      <c r="A1672" s="280" t="s">
        <v>133</v>
      </c>
      <c r="B1672" s="169">
        <v>43187</v>
      </c>
      <c r="C1672" s="169">
        <v>43190</v>
      </c>
      <c r="D1672" s="76" t="s">
        <v>200</v>
      </c>
      <c r="E1672" s="320" t="s">
        <v>125</v>
      </c>
      <c r="F1672" s="76"/>
      <c r="G1672" s="76" t="s">
        <v>126</v>
      </c>
      <c r="H1672" s="383">
        <v>1000</v>
      </c>
      <c r="I1672" s="78">
        <v>36</v>
      </c>
      <c r="J1672" s="78"/>
      <c r="K1672" s="78">
        <v>9</v>
      </c>
      <c r="L1672" s="78">
        <v>5</v>
      </c>
      <c r="M1672" s="78">
        <v>5</v>
      </c>
      <c r="N1672" s="78">
        <v>1</v>
      </c>
      <c r="O1672" s="78"/>
      <c r="P1672" s="78"/>
      <c r="Q1672" s="78"/>
      <c r="R1672" s="78">
        <v>10</v>
      </c>
      <c r="S1672" s="78"/>
      <c r="T1672" s="78"/>
      <c r="U1672" s="78"/>
      <c r="V1672" s="78"/>
      <c r="W1672" s="78"/>
      <c r="X1672" s="78"/>
      <c r="Y1672" s="78"/>
      <c r="Z1672" s="78">
        <v>6</v>
      </c>
      <c r="AA1672" s="78">
        <v>28</v>
      </c>
      <c r="AB1672" s="79">
        <f>100/(SUM(I1672:Z1672))</f>
        <v>1.3888888888888888</v>
      </c>
      <c r="AC1672" s="259">
        <f>SUM(I1672:AA1672)</f>
        <v>100</v>
      </c>
      <c r="AD1672" s="78"/>
      <c r="AE1672" s="78"/>
      <c r="AF1672" s="78"/>
      <c r="AG1672" s="80"/>
      <c r="AH1672" s="81" t="s">
        <v>1518</v>
      </c>
      <c r="AI1672" s="81" t="s">
        <v>1519</v>
      </c>
      <c r="AJ1672" s="76" t="s">
        <v>1520</v>
      </c>
      <c r="AK1672" s="76"/>
      <c r="AL1672" s="80">
        <f>(B1672-DATE(1970,1,1))*86400</f>
        <v>1522195200</v>
      </c>
      <c r="AM1672" s="80">
        <f>(C1672-DATE(1970,1,1))*86400</f>
        <v>1522454400</v>
      </c>
      <c r="AN1672" s="80">
        <f>AVERAGE(AL1672:AM1672)</f>
        <v>1522324800</v>
      </c>
    </row>
    <row r="1673" spans="1:40" ht="15.75" customHeight="1" x14ac:dyDescent="0.2">
      <c r="A1673" s="280" t="s">
        <v>123</v>
      </c>
      <c r="B1673" s="169">
        <v>43187</v>
      </c>
      <c r="C1673" s="169">
        <v>43190</v>
      </c>
      <c r="D1673" s="76" t="s">
        <v>200</v>
      </c>
      <c r="E1673" s="320" t="s">
        <v>125</v>
      </c>
      <c r="F1673" s="76"/>
      <c r="G1673" s="76" t="s">
        <v>126</v>
      </c>
      <c r="H1673" s="383">
        <v>1000</v>
      </c>
      <c r="I1673" s="78">
        <v>51</v>
      </c>
      <c r="J1673" s="78"/>
      <c r="K1673" s="78">
        <v>13</v>
      </c>
      <c r="L1673" s="78">
        <v>7</v>
      </c>
      <c r="M1673" s="78">
        <v>6</v>
      </c>
      <c r="N1673" s="78">
        <v>1</v>
      </c>
      <c r="O1673" s="78"/>
      <c r="P1673" s="78"/>
      <c r="Q1673" s="78"/>
      <c r="R1673" s="78">
        <v>15</v>
      </c>
      <c r="S1673" s="78"/>
      <c r="T1673" s="78"/>
      <c r="U1673" s="78"/>
      <c r="V1673" s="78"/>
      <c r="W1673" s="78"/>
      <c r="X1673" s="78"/>
      <c r="Y1673" s="78"/>
      <c r="Z1673" s="78">
        <v>7</v>
      </c>
      <c r="AA1673" s="78">
        <v>0</v>
      </c>
      <c r="AB1673" s="79">
        <f>100/(SUM(I1673:Z1673))</f>
        <v>1</v>
      </c>
      <c r="AC1673" s="259">
        <f>SUM(I1673:AA1673)</f>
        <v>100</v>
      </c>
      <c r="AD1673" s="78"/>
      <c r="AE1673" s="78"/>
      <c r="AF1673" s="78"/>
      <c r="AG1673" s="80"/>
      <c r="AH1673" s="81" t="s">
        <v>1518</v>
      </c>
      <c r="AI1673" s="81" t="s">
        <v>1519</v>
      </c>
      <c r="AJ1673" s="76" t="s">
        <v>1520</v>
      </c>
      <c r="AK1673" s="76"/>
      <c r="AL1673" s="80">
        <f>(B1673-DATE(1970,1,1))*86400</f>
        <v>1522195200</v>
      </c>
      <c r="AM1673" s="80">
        <f>(C1673-DATE(1970,1,1))*86400</f>
        <v>1522454400</v>
      </c>
      <c r="AN1673" s="80">
        <f>AVERAGE(AL1673:AM1673)</f>
        <v>1522324800</v>
      </c>
    </row>
    <row r="1674" spans="1:40" ht="15.75" customHeight="1" x14ac:dyDescent="0.2">
      <c r="A1674" s="302" t="s">
        <v>133</v>
      </c>
      <c r="B1674" s="254">
        <v>43187</v>
      </c>
      <c r="C1674" s="254">
        <v>43187</v>
      </c>
      <c r="D1674" s="262" t="s">
        <v>2445</v>
      </c>
      <c r="E1674" s="322" t="s">
        <v>184</v>
      </c>
      <c r="F1674" s="121"/>
      <c r="G1674" s="262" t="s">
        <v>244</v>
      </c>
      <c r="H1674" s="373">
        <v>500</v>
      </c>
      <c r="I1674" s="123">
        <v>32</v>
      </c>
      <c r="J1674" s="123"/>
      <c r="K1674" s="123">
        <v>14</v>
      </c>
      <c r="L1674" s="123">
        <v>5</v>
      </c>
      <c r="M1674" s="123">
        <v>5</v>
      </c>
      <c r="N1674" s="123">
        <v>1</v>
      </c>
      <c r="O1674" s="123"/>
      <c r="P1674" s="123">
        <v>2</v>
      </c>
      <c r="Q1674" s="123"/>
      <c r="R1674" s="123">
        <v>9</v>
      </c>
      <c r="S1674" s="123"/>
      <c r="T1674" s="123"/>
      <c r="U1674" s="123"/>
      <c r="V1674" s="123"/>
      <c r="W1674" s="123"/>
      <c r="X1674" s="123"/>
      <c r="Y1674" s="123"/>
      <c r="Z1674" s="123">
        <v>3</v>
      </c>
      <c r="AA1674" s="123">
        <v>29</v>
      </c>
      <c r="AB1674" s="125">
        <f>100/(SUM(I1674:Z1674))</f>
        <v>1.408450704225352</v>
      </c>
      <c r="AC1674" s="259">
        <f>SUM(I1674:AA1674)</f>
        <v>100</v>
      </c>
      <c r="AD1674" s="123"/>
      <c r="AE1674" s="123"/>
      <c r="AF1674" s="123"/>
      <c r="AG1674" s="263" t="s">
        <v>719</v>
      </c>
      <c r="AH1674" s="253" t="s">
        <v>2011</v>
      </c>
      <c r="AI1674" s="253" t="s">
        <v>2010</v>
      </c>
      <c r="AJ1674" s="253" t="s">
        <v>2009</v>
      </c>
      <c r="AK1674" s="121"/>
      <c r="AL1674" s="126">
        <f>(B1674-DATE(1970,1,1))*86400</f>
        <v>1522195200</v>
      </c>
      <c r="AM1674" s="126">
        <f>(C1674-DATE(1970,1,1))*86400</f>
        <v>1522195200</v>
      </c>
      <c r="AN1674" s="126">
        <f>AVERAGE(AL1674:AM1674)</f>
        <v>1522195200</v>
      </c>
    </row>
    <row r="1675" spans="1:40" ht="15.75" customHeight="1" x14ac:dyDescent="0.2">
      <c r="A1675" s="302" t="s">
        <v>123</v>
      </c>
      <c r="B1675" s="254">
        <v>43187</v>
      </c>
      <c r="C1675" s="254">
        <v>43187</v>
      </c>
      <c r="D1675" s="262" t="s">
        <v>2445</v>
      </c>
      <c r="E1675" s="322" t="s">
        <v>184</v>
      </c>
      <c r="F1675" s="121"/>
      <c r="G1675" s="262" t="s">
        <v>244</v>
      </c>
      <c r="H1675" s="373">
        <v>500</v>
      </c>
      <c r="I1675" s="123">
        <v>45</v>
      </c>
      <c r="J1675" s="123"/>
      <c r="K1675" s="123">
        <v>19</v>
      </c>
      <c r="L1675" s="123">
        <v>7</v>
      </c>
      <c r="M1675" s="123">
        <v>7</v>
      </c>
      <c r="N1675" s="123">
        <v>1</v>
      </c>
      <c r="O1675" s="123"/>
      <c r="P1675" s="123">
        <v>3</v>
      </c>
      <c r="Q1675" s="123"/>
      <c r="R1675" s="123">
        <v>14</v>
      </c>
      <c r="S1675" s="123"/>
      <c r="T1675" s="123"/>
      <c r="U1675" s="123"/>
      <c r="V1675" s="123"/>
      <c r="W1675" s="123"/>
      <c r="X1675" s="123"/>
      <c r="Y1675" s="123"/>
      <c r="Z1675" s="123">
        <v>4</v>
      </c>
      <c r="AA1675" s="123">
        <v>0</v>
      </c>
      <c r="AB1675" s="125">
        <f>100/(SUM(I1675:Z1675))</f>
        <v>1</v>
      </c>
      <c r="AC1675" s="259">
        <f>SUM(I1675:AA1675)</f>
        <v>100</v>
      </c>
      <c r="AD1675" s="123"/>
      <c r="AE1675" s="123"/>
      <c r="AF1675" s="123"/>
      <c r="AG1675" s="263" t="s">
        <v>719</v>
      </c>
      <c r="AH1675" s="253" t="s">
        <v>2011</v>
      </c>
      <c r="AI1675" s="253" t="s">
        <v>2010</v>
      </c>
      <c r="AJ1675" s="253" t="s">
        <v>2009</v>
      </c>
      <c r="AK1675" s="121"/>
      <c r="AL1675" s="126">
        <f>(B1675-DATE(1970,1,1))*86400</f>
        <v>1522195200</v>
      </c>
      <c r="AM1675" s="126">
        <f>(C1675-DATE(1970,1,1))*86400</f>
        <v>1522195200</v>
      </c>
      <c r="AN1675" s="126">
        <f>AVERAGE(AL1675:AM1675)</f>
        <v>1522195200</v>
      </c>
    </row>
    <row r="1676" spans="1:40" ht="15.75" customHeight="1" x14ac:dyDescent="0.2">
      <c r="A1676" s="449" t="s">
        <v>133</v>
      </c>
      <c r="B1676" s="460">
        <v>43182</v>
      </c>
      <c r="C1676" s="460">
        <v>43186</v>
      </c>
      <c r="D1676" s="451" t="s">
        <v>143</v>
      </c>
      <c r="E1676" s="452" t="s">
        <v>125</v>
      </c>
      <c r="F1676" s="451"/>
      <c r="G1676" s="451" t="s">
        <v>149</v>
      </c>
      <c r="H1676" s="454">
        <v>1200</v>
      </c>
      <c r="I1676" s="463">
        <v>41</v>
      </c>
      <c r="J1676" s="463"/>
      <c r="K1676" s="463">
        <v>12</v>
      </c>
      <c r="L1676" s="463">
        <v>5</v>
      </c>
      <c r="M1676" s="463">
        <v>5</v>
      </c>
      <c r="N1676" s="463">
        <v>1</v>
      </c>
      <c r="O1676" s="463"/>
      <c r="P1676" s="463">
        <v>2</v>
      </c>
      <c r="Q1676" s="463"/>
      <c r="R1676" s="455">
        <v>9</v>
      </c>
      <c r="S1676" s="463"/>
      <c r="T1676" s="463"/>
      <c r="U1676" s="463"/>
      <c r="V1676" s="463">
        <v>1</v>
      </c>
      <c r="W1676" s="463"/>
      <c r="X1676" s="463"/>
      <c r="Y1676" s="463"/>
      <c r="Z1676" s="463">
        <v>1</v>
      </c>
      <c r="AA1676" s="455">
        <v>23</v>
      </c>
      <c r="AB1676" s="457">
        <f>100/(SUM(I1676:Z1676))</f>
        <v>1.2987012987012987</v>
      </c>
      <c r="AC1676" s="432">
        <f>SUM(I1676:AA1676)</f>
        <v>100</v>
      </c>
      <c r="AD1676" s="455">
        <v>66</v>
      </c>
      <c r="AE1676" s="455"/>
      <c r="AF1676" s="455"/>
      <c r="AG1676" s="459"/>
      <c r="AH1676" s="458" t="s">
        <v>1497</v>
      </c>
      <c r="AI1676" s="458" t="s">
        <v>1498</v>
      </c>
      <c r="AJ1676" s="458" t="s">
        <v>1499</v>
      </c>
      <c r="AK1676" s="451" t="s">
        <v>1521</v>
      </c>
      <c r="AL1676" s="459">
        <f>(B1676-DATE(1970,1,1))*86400</f>
        <v>1521763200</v>
      </c>
      <c r="AM1676" s="459">
        <f>(C1676-DATE(1970,1,1))*86400</f>
        <v>1522108800</v>
      </c>
      <c r="AN1676" s="459">
        <f>AVERAGE(AL1676:AM1676)</f>
        <v>1521936000</v>
      </c>
    </row>
    <row r="1677" spans="1:40" ht="15.75" customHeight="1" x14ac:dyDescent="0.2">
      <c r="A1677" s="449" t="s">
        <v>123</v>
      </c>
      <c r="B1677" s="460">
        <v>43182</v>
      </c>
      <c r="C1677" s="460">
        <v>43186</v>
      </c>
      <c r="D1677" s="451" t="s">
        <v>143</v>
      </c>
      <c r="E1677" s="452" t="s">
        <v>125</v>
      </c>
      <c r="F1677" s="451"/>
      <c r="G1677" s="451" t="s">
        <v>149</v>
      </c>
      <c r="H1677" s="454">
        <v>1200</v>
      </c>
      <c r="I1677" s="463">
        <v>53</v>
      </c>
      <c r="J1677" s="463"/>
      <c r="K1677" s="463">
        <v>16</v>
      </c>
      <c r="L1677" s="463">
        <v>7</v>
      </c>
      <c r="M1677" s="463">
        <v>6</v>
      </c>
      <c r="N1677" s="463">
        <v>1</v>
      </c>
      <c r="O1677" s="463"/>
      <c r="P1677" s="463">
        <v>2</v>
      </c>
      <c r="Q1677" s="463"/>
      <c r="R1677" s="455">
        <v>12</v>
      </c>
      <c r="S1677" s="463"/>
      <c r="T1677" s="463"/>
      <c r="U1677" s="463"/>
      <c r="V1677" s="463">
        <v>2</v>
      </c>
      <c r="W1677" s="463"/>
      <c r="X1677" s="463"/>
      <c r="Y1677" s="463"/>
      <c r="Z1677" s="463">
        <v>1</v>
      </c>
      <c r="AA1677" s="455">
        <v>0</v>
      </c>
      <c r="AB1677" s="457">
        <f>100/(SUM(I1677:Z1677))</f>
        <v>1</v>
      </c>
      <c r="AC1677" s="432">
        <f>SUM(I1677:AA1677)</f>
        <v>100</v>
      </c>
      <c r="AD1677" s="455"/>
      <c r="AE1677" s="455"/>
      <c r="AF1677" s="455"/>
      <c r="AG1677" s="459"/>
      <c r="AH1677" s="458" t="s">
        <v>1497</v>
      </c>
      <c r="AI1677" s="458" t="s">
        <v>1498</v>
      </c>
      <c r="AJ1677" s="458" t="s">
        <v>1499</v>
      </c>
      <c r="AK1677" s="451"/>
      <c r="AL1677" s="459">
        <f>(B1677-DATE(1970,1,1))*86400</f>
        <v>1521763200</v>
      </c>
      <c r="AM1677" s="459">
        <f>(C1677-DATE(1970,1,1))*86400</f>
        <v>1522108800</v>
      </c>
      <c r="AN1677" s="459">
        <f>AVERAGE(AL1677:AM1677)</f>
        <v>1521936000</v>
      </c>
    </row>
    <row r="1678" spans="1:40" ht="15.75" customHeight="1" x14ac:dyDescent="0.2">
      <c r="A1678" s="296" t="s">
        <v>133</v>
      </c>
      <c r="B1678" s="100">
        <v>43180</v>
      </c>
      <c r="C1678" s="100">
        <v>43183</v>
      </c>
      <c r="D1678" s="99" t="s">
        <v>276</v>
      </c>
      <c r="E1678" s="326" t="s">
        <v>184</v>
      </c>
      <c r="F1678" s="99"/>
      <c r="G1678" s="99" t="s">
        <v>126</v>
      </c>
      <c r="H1678" s="326">
        <v>1000</v>
      </c>
      <c r="I1678" s="101">
        <v>29</v>
      </c>
      <c r="J1678" s="101"/>
      <c r="K1678" s="101">
        <v>18</v>
      </c>
      <c r="L1678" s="101">
        <v>6</v>
      </c>
      <c r="M1678" s="101">
        <v>5</v>
      </c>
      <c r="N1678" s="101">
        <v>0</v>
      </c>
      <c r="O1678" s="101"/>
      <c r="P1678" s="101">
        <v>2</v>
      </c>
      <c r="Q1678" s="101"/>
      <c r="R1678" s="101">
        <v>8</v>
      </c>
      <c r="S1678" s="101"/>
      <c r="T1678" s="101"/>
      <c r="U1678" s="101"/>
      <c r="V1678" s="101">
        <v>1</v>
      </c>
      <c r="W1678" s="101"/>
      <c r="X1678" s="101"/>
      <c r="Y1678" s="101"/>
      <c r="Z1678" s="101">
        <v>1</v>
      </c>
      <c r="AA1678" s="101">
        <v>30</v>
      </c>
      <c r="AB1678" s="102">
        <f>100/(SUM(I1678:Z1678))</f>
        <v>1.4285714285714286</v>
      </c>
      <c r="AC1678" s="259">
        <f>SUM(I1678:AA1678)</f>
        <v>100</v>
      </c>
      <c r="AD1678" s="101"/>
      <c r="AE1678" s="101"/>
      <c r="AF1678" s="101"/>
      <c r="AG1678" s="103"/>
      <c r="AH1678" s="104" t="s">
        <v>1522</v>
      </c>
      <c r="AI1678" s="104" t="s">
        <v>1523</v>
      </c>
      <c r="AJ1678" s="104" t="s">
        <v>1524</v>
      </c>
      <c r="AK1678" s="99" t="s">
        <v>1525</v>
      </c>
      <c r="AL1678" s="103">
        <f>(B1678-DATE(1970,1,1))*86400</f>
        <v>1521590400</v>
      </c>
      <c r="AM1678" s="103">
        <f>(C1678-DATE(1970,1,1))*86400</f>
        <v>1521849600</v>
      </c>
      <c r="AN1678" s="103">
        <f>AVERAGE(AL1678:AM1678)</f>
        <v>1521720000</v>
      </c>
    </row>
    <row r="1679" spans="1:40" ht="15.75" customHeight="1" x14ac:dyDescent="0.2">
      <c r="A1679" s="296" t="s">
        <v>123</v>
      </c>
      <c r="B1679" s="100">
        <v>43180</v>
      </c>
      <c r="C1679" s="100">
        <v>43183</v>
      </c>
      <c r="D1679" s="99" t="s">
        <v>276</v>
      </c>
      <c r="E1679" s="326" t="s">
        <v>184</v>
      </c>
      <c r="F1679" s="99"/>
      <c r="G1679" s="99" t="s">
        <v>126</v>
      </c>
      <c r="H1679" s="326">
        <v>1000</v>
      </c>
      <c r="I1679" s="101">
        <v>41</v>
      </c>
      <c r="J1679" s="101"/>
      <c r="K1679" s="101">
        <v>25</v>
      </c>
      <c r="L1679" s="101">
        <v>8</v>
      </c>
      <c r="M1679" s="101">
        <v>7</v>
      </c>
      <c r="N1679" s="101">
        <v>0</v>
      </c>
      <c r="O1679" s="101"/>
      <c r="P1679" s="101">
        <v>3</v>
      </c>
      <c r="Q1679" s="101"/>
      <c r="R1679" s="101">
        <v>12</v>
      </c>
      <c r="S1679" s="101"/>
      <c r="T1679" s="101"/>
      <c r="U1679" s="101"/>
      <c r="V1679" s="101">
        <v>2</v>
      </c>
      <c r="W1679" s="101"/>
      <c r="X1679" s="101"/>
      <c r="Y1679" s="101"/>
      <c r="Z1679" s="101">
        <v>2</v>
      </c>
      <c r="AA1679" s="101">
        <v>0</v>
      </c>
      <c r="AB1679" s="102">
        <f>100/(SUM(I1679:Z1679))</f>
        <v>1</v>
      </c>
      <c r="AC1679" s="259">
        <f>SUM(I1679:AA1679)</f>
        <v>100</v>
      </c>
      <c r="AD1679" s="101"/>
      <c r="AE1679" s="101"/>
      <c r="AF1679" s="101"/>
      <c r="AG1679" s="103"/>
      <c r="AH1679" s="104" t="s">
        <v>1522</v>
      </c>
      <c r="AI1679" s="104" t="s">
        <v>1523</v>
      </c>
      <c r="AJ1679" s="104" t="s">
        <v>1524</v>
      </c>
      <c r="AK1679" s="99"/>
      <c r="AL1679" s="103">
        <f>(B1679-DATE(1970,1,1))*86400</f>
        <v>1521590400</v>
      </c>
      <c r="AM1679" s="103">
        <f>(C1679-DATE(1970,1,1))*86400</f>
        <v>1521849600</v>
      </c>
      <c r="AN1679" s="103">
        <f>AVERAGE(AL1679:AM1679)</f>
        <v>1521720000</v>
      </c>
    </row>
    <row r="1680" spans="1:40" ht="15.75" customHeight="1" x14ac:dyDescent="0.2">
      <c r="A1680" s="279" t="s">
        <v>133</v>
      </c>
      <c r="B1680" s="14">
        <v>43178</v>
      </c>
      <c r="C1680" s="14">
        <v>43182</v>
      </c>
      <c r="D1680" s="13" t="s">
        <v>124</v>
      </c>
      <c r="E1680" s="324" t="s">
        <v>125</v>
      </c>
      <c r="F1680" s="13" t="s">
        <v>689</v>
      </c>
      <c r="G1680" s="13" t="s">
        <v>126</v>
      </c>
      <c r="H1680" s="324">
        <v>1000</v>
      </c>
      <c r="I1680" s="15"/>
      <c r="J1680" s="15"/>
      <c r="K1680" s="15"/>
      <c r="L1680" s="15"/>
      <c r="M1680" s="15"/>
      <c r="N1680" s="15"/>
      <c r="O1680" s="15"/>
      <c r="P1680" s="15"/>
      <c r="Q1680" s="15"/>
      <c r="R1680" s="15"/>
      <c r="S1680" s="15"/>
      <c r="T1680" s="15"/>
      <c r="U1680" s="15"/>
      <c r="V1680" s="15"/>
      <c r="W1680" s="15"/>
      <c r="X1680" s="15"/>
      <c r="Y1680" s="15"/>
      <c r="Z1680" s="15"/>
      <c r="AA1680" s="15"/>
      <c r="AB1680" s="16" t="e">
        <f>100/(SUM(I1680:Z1680))</f>
        <v>#DIV/0!</v>
      </c>
      <c r="AC1680" s="259">
        <f>SUM(I1680:AA1680)</f>
        <v>0</v>
      </c>
      <c r="AD1680" s="15"/>
      <c r="AE1680" s="15"/>
      <c r="AF1680" s="15"/>
      <c r="AG1680" s="17"/>
      <c r="AH1680" s="18" t="s">
        <v>1526</v>
      </c>
      <c r="AI1680" s="201" t="s">
        <v>2140</v>
      </c>
      <c r="AJ1680" s="18"/>
      <c r="AK1680" s="13" t="s">
        <v>1527</v>
      </c>
      <c r="AL1680" s="17">
        <f>(B1680-DATE(1970,1,1))*86400</f>
        <v>1521417600</v>
      </c>
      <c r="AM1680" s="17">
        <f>(C1680-DATE(1970,1,1))*86400</f>
        <v>1521763200</v>
      </c>
      <c r="AN1680" s="17">
        <f>AVERAGE(AL1680:AM1680)</f>
        <v>1521590400</v>
      </c>
    </row>
    <row r="1681" spans="1:65" ht="15.75" customHeight="1" x14ac:dyDescent="0.2">
      <c r="A1681" s="288" t="s">
        <v>133</v>
      </c>
      <c r="B1681" s="60">
        <v>43169</v>
      </c>
      <c r="C1681" s="60">
        <v>43182</v>
      </c>
      <c r="D1681" s="61" t="s">
        <v>168</v>
      </c>
      <c r="E1681" s="334" t="s">
        <v>184</v>
      </c>
      <c r="F1681" s="61"/>
      <c r="G1681" s="61" t="s">
        <v>149</v>
      </c>
      <c r="H1681" s="334">
        <v>1000</v>
      </c>
      <c r="I1681" s="63">
        <v>30</v>
      </c>
      <c r="J1681" s="63"/>
      <c r="K1681" s="63">
        <v>12</v>
      </c>
      <c r="L1681" s="63">
        <v>3</v>
      </c>
      <c r="M1681" s="63">
        <v>3</v>
      </c>
      <c r="N1681" s="63">
        <v>1</v>
      </c>
      <c r="O1681" s="63"/>
      <c r="P1681" s="63">
        <v>1</v>
      </c>
      <c r="Q1681" s="63"/>
      <c r="R1681" s="63">
        <v>11</v>
      </c>
      <c r="S1681" s="63"/>
      <c r="T1681" s="63"/>
      <c r="U1681" s="63"/>
      <c r="V1681" s="63"/>
      <c r="W1681" s="63"/>
      <c r="X1681" s="63"/>
      <c r="Y1681" s="63"/>
      <c r="Z1681" s="63">
        <v>1</v>
      </c>
      <c r="AA1681" s="63">
        <v>38</v>
      </c>
      <c r="AB1681" s="65">
        <f>100/(SUM(I1681:Z1681))</f>
        <v>1.6129032258064515</v>
      </c>
      <c r="AC1681" s="259">
        <f>SUM(I1681:AA1681)</f>
        <v>100</v>
      </c>
      <c r="AD1681" s="63"/>
      <c r="AE1681" s="63"/>
      <c r="AF1681" s="63"/>
      <c r="AG1681" s="66"/>
      <c r="AH1681" s="67" t="s">
        <v>1528</v>
      </c>
      <c r="AI1681" s="67" t="s">
        <v>1529</v>
      </c>
      <c r="AJ1681" s="67" t="s">
        <v>1530</v>
      </c>
      <c r="AK1681" s="61" t="s">
        <v>1532</v>
      </c>
      <c r="AL1681" s="66">
        <f>(B1681-DATE(1970,1,1))*86400</f>
        <v>1520640000</v>
      </c>
      <c r="AM1681" s="66">
        <f>(C1681-DATE(1970,1,1))*86400</f>
        <v>1521763200</v>
      </c>
      <c r="AN1681" s="66">
        <f>AVERAGE(AL1681:AM1681)</f>
        <v>1521201600</v>
      </c>
    </row>
    <row r="1682" spans="1:65" ht="15.75" customHeight="1" x14ac:dyDescent="0.2">
      <c r="A1682" s="288" t="s">
        <v>133</v>
      </c>
      <c r="B1682" s="60">
        <v>43169</v>
      </c>
      <c r="C1682" s="60">
        <v>43182</v>
      </c>
      <c r="D1682" s="61" t="s">
        <v>168</v>
      </c>
      <c r="E1682" s="334" t="s">
        <v>184</v>
      </c>
      <c r="F1682" s="61"/>
      <c r="G1682" s="61" t="s">
        <v>149</v>
      </c>
      <c r="H1682" s="334">
        <v>1000</v>
      </c>
      <c r="I1682" s="63">
        <v>49</v>
      </c>
      <c r="J1682" s="63"/>
      <c r="K1682" s="63">
        <v>19</v>
      </c>
      <c r="L1682" s="63">
        <v>4</v>
      </c>
      <c r="M1682" s="63">
        <v>5</v>
      </c>
      <c r="N1682" s="63">
        <v>2</v>
      </c>
      <c r="O1682" s="63"/>
      <c r="P1682" s="63">
        <v>2</v>
      </c>
      <c r="Q1682" s="63"/>
      <c r="R1682" s="63">
        <v>17</v>
      </c>
      <c r="S1682" s="63"/>
      <c r="T1682" s="63"/>
      <c r="U1682" s="63"/>
      <c r="V1682" s="63"/>
      <c r="W1682" s="63"/>
      <c r="X1682" s="63"/>
      <c r="Y1682" s="63"/>
      <c r="Z1682" s="63">
        <v>2</v>
      </c>
      <c r="AA1682" s="63">
        <v>0</v>
      </c>
      <c r="AB1682" s="65">
        <f>100/(SUM(I1682:Z1682))</f>
        <v>1</v>
      </c>
      <c r="AC1682" s="259">
        <f>SUM(I1682:AA1682)</f>
        <v>100</v>
      </c>
      <c r="AD1682" s="63"/>
      <c r="AE1682" s="63"/>
      <c r="AF1682" s="63"/>
      <c r="AG1682" s="66"/>
      <c r="AH1682" s="67" t="s">
        <v>1528</v>
      </c>
      <c r="AI1682" s="67" t="s">
        <v>1529</v>
      </c>
      <c r="AJ1682" s="67" t="s">
        <v>1530</v>
      </c>
      <c r="AK1682" s="61" t="s">
        <v>1531</v>
      </c>
      <c r="AL1682" s="66">
        <f>(B1682-DATE(1970,1,1))*86400</f>
        <v>1520640000</v>
      </c>
      <c r="AM1682" s="66">
        <f>(C1682-DATE(1970,1,1))*86400</f>
        <v>1521763200</v>
      </c>
      <c r="AN1682" s="66">
        <f>AVERAGE(AL1682:AM1682)</f>
        <v>1521201600</v>
      </c>
    </row>
    <row r="1683" spans="1:65" ht="15.75" customHeight="1" x14ac:dyDescent="0.2">
      <c r="A1683" s="281" t="s">
        <v>133</v>
      </c>
      <c r="B1683" s="167">
        <v>43168</v>
      </c>
      <c r="C1683" s="167">
        <v>43173</v>
      </c>
      <c r="D1683" s="53" t="s">
        <v>154</v>
      </c>
      <c r="E1683" s="323" t="s">
        <v>184</v>
      </c>
      <c r="F1683" s="53"/>
      <c r="G1683" s="53" t="s">
        <v>126</v>
      </c>
      <c r="H1683" s="384">
        <v>1003</v>
      </c>
      <c r="I1683" s="55">
        <v>27</v>
      </c>
      <c r="J1683" s="55"/>
      <c r="K1683" s="55">
        <v>12</v>
      </c>
      <c r="L1683" s="55">
        <v>6</v>
      </c>
      <c r="M1683" s="55">
        <v>4</v>
      </c>
      <c r="N1683" s="55"/>
      <c r="O1683" s="55"/>
      <c r="P1683" s="55">
        <v>0</v>
      </c>
      <c r="Q1683" s="55"/>
      <c r="R1683" s="55">
        <v>12</v>
      </c>
      <c r="S1683" s="55"/>
      <c r="T1683" s="55"/>
      <c r="U1683" s="55"/>
      <c r="V1683" s="55">
        <v>1</v>
      </c>
      <c r="W1683" s="55"/>
      <c r="X1683" s="55"/>
      <c r="Y1683" s="55"/>
      <c r="Z1683" s="55">
        <v>2</v>
      </c>
      <c r="AA1683" s="55">
        <v>36</v>
      </c>
      <c r="AB1683" s="57">
        <f>100/(SUM(I1683:Z1683))</f>
        <v>1.5625</v>
      </c>
      <c r="AC1683" s="259">
        <f>SUM(I1683:AA1683)</f>
        <v>100</v>
      </c>
      <c r="AD1683" s="55"/>
      <c r="AE1683" s="55"/>
      <c r="AF1683" s="55"/>
      <c r="AG1683" s="58"/>
      <c r="AH1683" s="59" t="s">
        <v>1533</v>
      </c>
      <c r="AI1683" s="59" t="s">
        <v>1534</v>
      </c>
      <c r="AJ1683" s="59" t="s">
        <v>1513</v>
      </c>
      <c r="AK1683" s="53" t="s">
        <v>1535</v>
      </c>
      <c r="AL1683" s="58">
        <f>(B1683-DATE(1970,1,1))*86400</f>
        <v>1520553600</v>
      </c>
      <c r="AM1683" s="58">
        <f>(C1683-DATE(1970,1,1))*86400</f>
        <v>1520985600</v>
      </c>
      <c r="AN1683" s="58">
        <f>AVERAGE(AL1683:AM1683)</f>
        <v>1520769600</v>
      </c>
    </row>
    <row r="1684" spans="1:65" ht="15.75" customHeight="1" x14ac:dyDescent="0.2">
      <c r="A1684" s="281" t="s">
        <v>123</v>
      </c>
      <c r="B1684" s="167">
        <v>43168</v>
      </c>
      <c r="C1684" s="167">
        <v>43173</v>
      </c>
      <c r="D1684" s="53" t="s">
        <v>154</v>
      </c>
      <c r="E1684" s="323" t="s">
        <v>184</v>
      </c>
      <c r="F1684" s="53"/>
      <c r="G1684" s="53" t="s">
        <v>126</v>
      </c>
      <c r="H1684" s="384">
        <v>1003</v>
      </c>
      <c r="I1684" s="55">
        <v>36</v>
      </c>
      <c r="J1684" s="55"/>
      <c r="K1684" s="55">
        <v>14</v>
      </c>
      <c r="L1684" s="55">
        <v>7</v>
      </c>
      <c r="M1684" s="55">
        <v>4</v>
      </c>
      <c r="N1684" s="55"/>
      <c r="O1684" s="55"/>
      <c r="P1684" s="55">
        <v>1</v>
      </c>
      <c r="Q1684" s="55"/>
      <c r="R1684" s="55">
        <v>15</v>
      </c>
      <c r="S1684" s="55"/>
      <c r="T1684" s="55"/>
      <c r="U1684" s="55"/>
      <c r="V1684" s="55">
        <v>1</v>
      </c>
      <c r="W1684" s="55"/>
      <c r="X1684" s="55"/>
      <c r="Y1684" s="55"/>
      <c r="Z1684" s="55">
        <v>1</v>
      </c>
      <c r="AA1684" s="55">
        <v>22</v>
      </c>
      <c r="AB1684" s="57">
        <f>100/(SUM(I1684:Z1684))</f>
        <v>1.2658227848101267</v>
      </c>
      <c r="AC1684" s="259">
        <f>SUM(I1684:AA1684)</f>
        <v>101</v>
      </c>
      <c r="AD1684" s="55"/>
      <c r="AE1684" s="55"/>
      <c r="AF1684" s="55"/>
      <c r="AG1684" s="58"/>
      <c r="AH1684" s="59" t="s">
        <v>1533</v>
      </c>
      <c r="AI1684" s="59" t="s">
        <v>1534</v>
      </c>
      <c r="AJ1684" s="53"/>
      <c r="AK1684" s="53"/>
      <c r="AL1684" s="58">
        <f>(B1684-DATE(1970,1,1))*86400</f>
        <v>1520553600</v>
      </c>
      <c r="AM1684" s="58">
        <f>(C1684-DATE(1970,1,1))*86400</f>
        <v>1520985600</v>
      </c>
      <c r="AN1684" s="58">
        <f>AVERAGE(AL1684:AM1684)</f>
        <v>1520769600</v>
      </c>
    </row>
    <row r="1685" spans="1:65" ht="15.75" customHeight="1" x14ac:dyDescent="0.2">
      <c r="A1685" s="281" t="s">
        <v>123</v>
      </c>
      <c r="B1685" s="167">
        <v>43168</v>
      </c>
      <c r="C1685" s="167">
        <v>43173</v>
      </c>
      <c r="D1685" s="53" t="s">
        <v>154</v>
      </c>
      <c r="E1685" s="323" t="s">
        <v>184</v>
      </c>
      <c r="F1685" s="53"/>
      <c r="G1685" s="53" t="s">
        <v>126</v>
      </c>
      <c r="H1685" s="384">
        <v>1003</v>
      </c>
      <c r="I1685" s="55">
        <v>49</v>
      </c>
      <c r="J1685" s="55"/>
      <c r="K1685" s="55">
        <v>17</v>
      </c>
      <c r="L1685" s="55">
        <v>8</v>
      </c>
      <c r="M1685" s="55">
        <v>5</v>
      </c>
      <c r="N1685" s="55">
        <v>1</v>
      </c>
      <c r="O1685" s="55"/>
      <c r="P1685" s="55">
        <v>1</v>
      </c>
      <c r="Q1685" s="55"/>
      <c r="R1685" s="55">
        <v>18</v>
      </c>
      <c r="S1685" s="55"/>
      <c r="T1685" s="55"/>
      <c r="U1685" s="55"/>
      <c r="V1685" s="55">
        <v>1</v>
      </c>
      <c r="W1685" s="55"/>
      <c r="X1685" s="55"/>
      <c r="Y1685" s="55"/>
      <c r="Z1685" s="55">
        <v>1</v>
      </c>
      <c r="AA1685" s="55">
        <v>0</v>
      </c>
      <c r="AB1685" s="57">
        <f>100/(SUM(I1685:Z1685))</f>
        <v>0.99009900990099009</v>
      </c>
      <c r="AC1685" s="259">
        <f>SUM(I1685:AA1685)</f>
        <v>101</v>
      </c>
      <c r="AD1685" s="55"/>
      <c r="AE1685" s="55"/>
      <c r="AF1685" s="55"/>
      <c r="AG1685" s="58"/>
      <c r="AH1685" s="59" t="s">
        <v>1533</v>
      </c>
      <c r="AI1685" s="59" t="s">
        <v>1534</v>
      </c>
      <c r="AJ1685" s="53"/>
      <c r="AK1685" s="53"/>
      <c r="AL1685" s="58">
        <f>(B1685-DATE(1970,1,1))*86400</f>
        <v>1520553600</v>
      </c>
      <c r="AM1685" s="58">
        <f>(C1685-DATE(1970,1,1))*86400</f>
        <v>1520985600</v>
      </c>
      <c r="AN1685" s="58">
        <f>AVERAGE(AL1685:AM1685)</f>
        <v>1520769600</v>
      </c>
    </row>
    <row r="1686" spans="1:65" ht="15.75" customHeight="1" x14ac:dyDescent="0.2">
      <c r="A1686" s="279" t="s">
        <v>133</v>
      </c>
      <c r="B1686" s="14">
        <v>43162</v>
      </c>
      <c r="C1686" s="14">
        <v>43178</v>
      </c>
      <c r="D1686" s="13" t="s">
        <v>124</v>
      </c>
      <c r="E1686" s="324" t="s">
        <v>125</v>
      </c>
      <c r="F1686" s="13"/>
      <c r="G1686" s="13" t="s">
        <v>149</v>
      </c>
      <c r="H1686" s="324">
        <v>1000</v>
      </c>
      <c r="I1686" s="15">
        <v>41</v>
      </c>
      <c r="J1686" s="15"/>
      <c r="K1686" s="15">
        <v>9</v>
      </c>
      <c r="L1686" s="15">
        <v>4</v>
      </c>
      <c r="M1686" s="15">
        <v>4</v>
      </c>
      <c r="N1686" s="15"/>
      <c r="O1686" s="15"/>
      <c r="P1686" s="15">
        <v>2</v>
      </c>
      <c r="Q1686" s="15"/>
      <c r="R1686" s="15">
        <v>5</v>
      </c>
      <c r="S1686" s="15"/>
      <c r="T1686" s="15"/>
      <c r="U1686" s="15"/>
      <c r="V1686" s="15">
        <v>1</v>
      </c>
      <c r="W1686" s="15"/>
      <c r="X1686" s="15"/>
      <c r="Y1686" s="15"/>
      <c r="Z1686" s="15"/>
      <c r="AA1686" s="15">
        <v>34</v>
      </c>
      <c r="AB1686" s="16">
        <f>100/(SUM(I1686:Z1686))</f>
        <v>1.5151515151515151</v>
      </c>
      <c r="AC1686" s="259">
        <f>SUM(I1686:AA1686)</f>
        <v>100</v>
      </c>
      <c r="AD1686" s="15"/>
      <c r="AE1686" s="15"/>
      <c r="AF1686" s="15"/>
      <c r="AG1686" s="17"/>
      <c r="AH1686" s="18" t="s">
        <v>2141</v>
      </c>
      <c r="AI1686" s="18" t="s">
        <v>2076</v>
      </c>
      <c r="AJ1686" s="201" t="s">
        <v>2077</v>
      </c>
      <c r="AK1686" s="13" t="s">
        <v>1537</v>
      </c>
      <c r="AL1686" s="17">
        <f>(B1686-DATE(1970,1,1))*86400</f>
        <v>1520035200</v>
      </c>
      <c r="AM1686" s="17">
        <f>(C1686-DATE(1970,1,1))*86400</f>
        <v>1521417600</v>
      </c>
      <c r="AN1686" s="17">
        <f>AVERAGE(AL1686:AM1686)</f>
        <v>1520726400</v>
      </c>
      <c r="AO1686" s="6"/>
      <c r="AP1686" s="6"/>
      <c r="AQ1686" s="6"/>
      <c r="AR1686" s="6"/>
      <c r="AS1686" s="6"/>
      <c r="AT1686" s="6"/>
      <c r="AU1686" s="6"/>
      <c r="AV1686" s="6"/>
      <c r="AW1686" s="6"/>
      <c r="AX1686" s="6"/>
      <c r="AY1686" s="6"/>
      <c r="AZ1686" s="6"/>
      <c r="BA1686" s="6"/>
      <c r="BB1686" s="6"/>
      <c r="BC1686" s="6"/>
      <c r="BD1686" s="6"/>
      <c r="BE1686" s="6"/>
      <c r="BF1686" s="6"/>
      <c r="BG1686" s="6"/>
      <c r="BH1686" s="6"/>
      <c r="BI1686" s="6"/>
      <c r="BJ1686" s="6"/>
      <c r="BK1686" s="6"/>
      <c r="BL1686" s="6"/>
      <c r="BM1686" s="6"/>
    </row>
    <row r="1687" spans="1:65" ht="15.75" customHeight="1" x14ac:dyDescent="0.2">
      <c r="A1687" s="279" t="s">
        <v>123</v>
      </c>
      <c r="B1687" s="14">
        <v>43162</v>
      </c>
      <c r="C1687" s="14">
        <v>43178</v>
      </c>
      <c r="D1687" s="13" t="s">
        <v>124</v>
      </c>
      <c r="E1687" s="324" t="s">
        <v>125</v>
      </c>
      <c r="F1687" s="13"/>
      <c r="G1687" s="13" t="s">
        <v>149</v>
      </c>
      <c r="H1687" s="324">
        <v>1000</v>
      </c>
      <c r="I1687" s="15">
        <v>52</v>
      </c>
      <c r="J1687" s="15"/>
      <c r="K1687" s="15">
        <v>15</v>
      </c>
      <c r="L1687" s="15">
        <v>8</v>
      </c>
      <c r="M1687" s="15">
        <v>8</v>
      </c>
      <c r="N1687" s="15"/>
      <c r="O1687" s="15"/>
      <c r="P1687" s="15">
        <v>3</v>
      </c>
      <c r="Q1687" s="15"/>
      <c r="R1687" s="15">
        <v>11</v>
      </c>
      <c r="S1687" s="15"/>
      <c r="T1687" s="15"/>
      <c r="U1687" s="15"/>
      <c r="V1687" s="15">
        <v>2</v>
      </c>
      <c r="W1687" s="15"/>
      <c r="X1687" s="15"/>
      <c r="Y1687" s="15"/>
      <c r="Z1687" s="15"/>
      <c r="AA1687" s="15">
        <v>1</v>
      </c>
      <c r="AB1687" s="16">
        <f>100/(SUM(I1687:Z1687))</f>
        <v>1.0101010101010102</v>
      </c>
      <c r="AC1687" s="259">
        <f>SUM(I1687:AA1687)</f>
        <v>100</v>
      </c>
      <c r="AD1687" s="15"/>
      <c r="AE1687" s="15"/>
      <c r="AF1687" s="15"/>
      <c r="AG1687" s="17"/>
      <c r="AH1687" s="18" t="s">
        <v>1538</v>
      </c>
      <c r="AI1687" s="18" t="s">
        <v>1536</v>
      </c>
      <c r="AJ1687" s="18" t="s">
        <v>1539</v>
      </c>
      <c r="AK1687" s="13" t="s">
        <v>2142</v>
      </c>
      <c r="AL1687" s="17">
        <f>(B1687-DATE(1970,1,1))*86400</f>
        <v>1520035200</v>
      </c>
      <c r="AM1687" s="17">
        <f>(C1687-DATE(1970,1,1))*86400</f>
        <v>1521417600</v>
      </c>
      <c r="AN1687" s="17">
        <f>AVERAGE(AL1687:AM1687)</f>
        <v>1520726400</v>
      </c>
    </row>
    <row r="1688" spans="1:65" ht="15.75" customHeight="1" x14ac:dyDescent="0.2">
      <c r="A1688" s="286" t="s">
        <v>133</v>
      </c>
      <c r="B1688" s="41">
        <v>43166</v>
      </c>
      <c r="C1688" s="41">
        <v>43173</v>
      </c>
      <c r="D1688" s="40" t="s">
        <v>148</v>
      </c>
      <c r="E1688" s="325" t="s">
        <v>125</v>
      </c>
      <c r="F1688" s="40"/>
      <c r="G1688" s="40" t="s">
        <v>149</v>
      </c>
      <c r="H1688" s="381">
        <v>1000</v>
      </c>
      <c r="I1688" s="43">
        <v>32.200000000000003</v>
      </c>
      <c r="J1688" s="43"/>
      <c r="K1688" s="42">
        <v>13.5</v>
      </c>
      <c r="L1688" s="42">
        <v>5.0999999999999996</v>
      </c>
      <c r="M1688" s="42">
        <v>4</v>
      </c>
      <c r="N1688" s="42">
        <v>1.2</v>
      </c>
      <c r="O1688" s="42"/>
      <c r="P1688" s="42">
        <v>1.5</v>
      </c>
      <c r="Q1688" s="42"/>
      <c r="R1688" s="42">
        <v>8.8000000000000007</v>
      </c>
      <c r="S1688" s="42"/>
      <c r="T1688" s="42"/>
      <c r="U1688" s="42"/>
      <c r="V1688" s="42">
        <v>1.9</v>
      </c>
      <c r="W1688" s="42"/>
      <c r="X1688" s="42"/>
      <c r="Y1688" s="42"/>
      <c r="Z1688" s="42">
        <v>1.3</v>
      </c>
      <c r="AA1688" s="43">
        <v>30.5</v>
      </c>
      <c r="AB1688" s="44">
        <f>100/(SUM(I1688:Z1688))</f>
        <v>1.4388489208633091</v>
      </c>
      <c r="AC1688" s="259">
        <f>SUM(I1688:AA1688)</f>
        <v>100.00000000000001</v>
      </c>
      <c r="AD1688" s="42"/>
      <c r="AE1688" s="42"/>
      <c r="AF1688" s="42"/>
      <c r="AG1688" s="45"/>
      <c r="AH1688" s="391" t="s">
        <v>2137</v>
      </c>
      <c r="AI1688" s="132" t="s">
        <v>1540</v>
      </c>
      <c r="AJ1688" s="132" t="s">
        <v>1541</v>
      </c>
      <c r="AK1688" s="40"/>
      <c r="AL1688" s="45">
        <f>(B1688-DATE(1970,1,1))*86400</f>
        <v>1520380800</v>
      </c>
      <c r="AM1688" s="45">
        <f>(C1688-DATE(1970,1,1))*86400</f>
        <v>1520985600</v>
      </c>
      <c r="AN1688" s="45">
        <f>AVERAGE(AL1688:AM1688)</f>
        <v>1520683200</v>
      </c>
    </row>
    <row r="1689" spans="1:65" ht="15.75" customHeight="1" x14ac:dyDescent="0.2">
      <c r="A1689" s="286" t="s">
        <v>123</v>
      </c>
      <c r="B1689" s="41">
        <v>43166</v>
      </c>
      <c r="C1689" s="41">
        <v>43173</v>
      </c>
      <c r="D1689" s="40" t="s">
        <v>148</v>
      </c>
      <c r="E1689" s="325" t="s">
        <v>125</v>
      </c>
      <c r="F1689" s="40"/>
      <c r="G1689" s="40" t="s">
        <v>149</v>
      </c>
      <c r="H1689" s="381">
        <v>1000</v>
      </c>
      <c r="I1689" s="43">
        <v>47.4</v>
      </c>
      <c r="J1689" s="43"/>
      <c r="K1689" s="42">
        <v>18.899999999999999</v>
      </c>
      <c r="L1689" s="42">
        <v>6.2</v>
      </c>
      <c r="M1689" s="42">
        <v>7.8</v>
      </c>
      <c r="N1689" s="42">
        <v>1.2</v>
      </c>
      <c r="O1689" s="42"/>
      <c r="P1689" s="42">
        <v>2.9</v>
      </c>
      <c r="Q1689" s="42"/>
      <c r="R1689" s="42">
        <v>12.8</v>
      </c>
      <c r="S1689" s="42"/>
      <c r="T1689" s="42"/>
      <c r="U1689" s="42"/>
      <c r="V1689" s="42">
        <v>1.9</v>
      </c>
      <c r="W1689" s="42"/>
      <c r="X1689" s="42"/>
      <c r="Y1689" s="42"/>
      <c r="Z1689" s="42">
        <v>0.9</v>
      </c>
      <c r="AA1689" s="42">
        <v>0</v>
      </c>
      <c r="AB1689" s="44">
        <f>100/(SUM(I1689:Z1689))</f>
        <v>0.99999999999999989</v>
      </c>
      <c r="AC1689" s="259">
        <f>SUM(I1689:AA1689)</f>
        <v>100.00000000000001</v>
      </c>
      <c r="AD1689" s="42"/>
      <c r="AE1689" s="42"/>
      <c r="AF1689" s="42"/>
      <c r="AG1689" s="45"/>
      <c r="AH1689" s="391" t="s">
        <v>2137</v>
      </c>
      <c r="AI1689" s="132" t="s">
        <v>1540</v>
      </c>
      <c r="AJ1689" s="40" t="s">
        <v>1541</v>
      </c>
      <c r="AK1689" s="40" t="s">
        <v>1542</v>
      </c>
      <c r="AL1689" s="45">
        <f>(B1689-DATE(1970,1,1))*86400</f>
        <v>1520380800</v>
      </c>
      <c r="AM1689" s="45">
        <f>(C1689-DATE(1970,1,1))*86400</f>
        <v>1520985600</v>
      </c>
      <c r="AN1689" s="45">
        <f>AVERAGE(AL1689:AM1689)</f>
        <v>1520683200</v>
      </c>
    </row>
    <row r="1690" spans="1:65" ht="15.75" customHeight="1" x14ac:dyDescent="0.2">
      <c r="A1690" s="302" t="s">
        <v>123</v>
      </c>
      <c r="B1690" s="254">
        <v>43168</v>
      </c>
      <c r="C1690" s="254">
        <v>43168</v>
      </c>
      <c r="D1690" s="262" t="s">
        <v>2445</v>
      </c>
      <c r="E1690" s="322" t="s">
        <v>184</v>
      </c>
      <c r="F1690" s="121"/>
      <c r="G1690" s="262" t="s">
        <v>244</v>
      </c>
      <c r="H1690" s="379">
        <v>500</v>
      </c>
      <c r="I1690" s="123">
        <v>47</v>
      </c>
      <c r="J1690" s="123"/>
      <c r="K1690" s="123">
        <v>17</v>
      </c>
      <c r="L1690" s="123">
        <v>8</v>
      </c>
      <c r="M1690" s="123">
        <v>9</v>
      </c>
      <c r="N1690" s="123">
        <v>2</v>
      </c>
      <c r="O1690" s="123"/>
      <c r="P1690" s="123">
        <v>2</v>
      </c>
      <c r="Q1690" s="123"/>
      <c r="R1690" s="123">
        <v>14</v>
      </c>
      <c r="S1690" s="123"/>
      <c r="T1690" s="123"/>
      <c r="U1690" s="123"/>
      <c r="V1690" s="123"/>
      <c r="W1690" s="123"/>
      <c r="X1690" s="123"/>
      <c r="Y1690" s="123"/>
      <c r="Z1690" s="124">
        <v>1</v>
      </c>
      <c r="AA1690" s="123">
        <v>0</v>
      </c>
      <c r="AB1690" s="125">
        <f>100/(SUM(I1690:Z1690))</f>
        <v>1</v>
      </c>
      <c r="AC1690" s="259">
        <f>SUM(I1690:AA1690)</f>
        <v>100</v>
      </c>
      <c r="AD1690" s="123"/>
      <c r="AE1690" s="123"/>
      <c r="AF1690" s="123"/>
      <c r="AG1690" s="263" t="s">
        <v>719</v>
      </c>
      <c r="AH1690" s="253" t="s">
        <v>2003</v>
      </c>
      <c r="AI1690" s="253"/>
      <c r="AJ1690" s="127"/>
      <c r="AK1690" s="121" t="s">
        <v>2034</v>
      </c>
      <c r="AL1690" s="126">
        <f>(B1690-DATE(1970,1,1))*86400</f>
        <v>1520553600</v>
      </c>
      <c r="AM1690" s="126">
        <f>(C1690-DATE(1970,1,1))*86400</f>
        <v>1520553600</v>
      </c>
      <c r="AN1690" s="126">
        <f>AVERAGE(AL1690:AM1690)</f>
        <v>1520553600</v>
      </c>
    </row>
    <row r="1691" spans="1:65" ht="15.75" customHeight="1" x14ac:dyDescent="0.2">
      <c r="A1691" s="449" t="s">
        <v>133</v>
      </c>
      <c r="B1691" s="460">
        <v>43161</v>
      </c>
      <c r="C1691" s="460">
        <v>43166</v>
      </c>
      <c r="D1691" s="451" t="s">
        <v>143</v>
      </c>
      <c r="E1691" s="452" t="s">
        <v>125</v>
      </c>
      <c r="F1691" s="451"/>
      <c r="G1691" s="451" t="s">
        <v>149</v>
      </c>
      <c r="H1691" s="454">
        <v>1200</v>
      </c>
      <c r="I1691" s="463">
        <v>39</v>
      </c>
      <c r="J1691" s="463"/>
      <c r="K1691" s="463">
        <v>12</v>
      </c>
      <c r="L1691" s="463">
        <v>4</v>
      </c>
      <c r="M1691" s="463">
        <v>6</v>
      </c>
      <c r="N1691" s="463">
        <v>1</v>
      </c>
      <c r="O1691" s="463"/>
      <c r="P1691" s="463">
        <v>1</v>
      </c>
      <c r="Q1691" s="463"/>
      <c r="R1691" s="455">
        <v>9</v>
      </c>
      <c r="S1691" s="463"/>
      <c r="T1691" s="463"/>
      <c r="U1691" s="463"/>
      <c r="V1691" s="463"/>
      <c r="W1691" s="463"/>
      <c r="X1691" s="463"/>
      <c r="Y1691" s="463"/>
      <c r="Z1691" s="463">
        <v>1</v>
      </c>
      <c r="AA1691" s="455">
        <v>29</v>
      </c>
      <c r="AB1691" s="457">
        <f>100/(SUM(I1691:Z1691))</f>
        <v>1.3698630136986301</v>
      </c>
      <c r="AC1691" s="432">
        <f>SUM(I1691:AA1691)</f>
        <v>102</v>
      </c>
      <c r="AD1691" s="455"/>
      <c r="AE1691" s="455"/>
      <c r="AF1691" s="455"/>
      <c r="AG1691" s="459"/>
      <c r="AH1691" s="458" t="s">
        <v>1543</v>
      </c>
      <c r="AI1691" s="458"/>
      <c r="AJ1691" s="451"/>
      <c r="AK1691" s="451"/>
      <c r="AL1691" s="459">
        <f>(B1691-DATE(1970,1,1))*86400</f>
        <v>1519948800</v>
      </c>
      <c r="AM1691" s="459">
        <f>(C1691-DATE(1970,1,1))*86400</f>
        <v>1520380800</v>
      </c>
      <c r="AN1691" s="459">
        <f>AVERAGE(AL1691:AM1691)</f>
        <v>1520164800</v>
      </c>
    </row>
    <row r="1692" spans="1:65" ht="15.75" customHeight="1" x14ac:dyDescent="0.2">
      <c r="A1692" s="449" t="s">
        <v>133</v>
      </c>
      <c r="B1692" s="460">
        <v>43161</v>
      </c>
      <c r="C1692" s="460">
        <v>43166</v>
      </c>
      <c r="D1692" s="451" t="s">
        <v>143</v>
      </c>
      <c r="E1692" s="452" t="s">
        <v>125</v>
      </c>
      <c r="F1692" s="451"/>
      <c r="G1692" s="451" t="s">
        <v>149</v>
      </c>
      <c r="H1692" s="454">
        <v>1200</v>
      </c>
      <c r="I1692" s="463">
        <v>53</v>
      </c>
      <c r="J1692" s="463"/>
      <c r="K1692" s="463">
        <v>17</v>
      </c>
      <c r="L1692" s="463">
        <v>6</v>
      </c>
      <c r="M1692" s="463">
        <v>8</v>
      </c>
      <c r="N1692" s="463">
        <v>1</v>
      </c>
      <c r="O1692" s="463"/>
      <c r="P1692" s="463">
        <v>2</v>
      </c>
      <c r="Q1692" s="463"/>
      <c r="R1692" s="455">
        <v>12</v>
      </c>
      <c r="S1692" s="463"/>
      <c r="T1692" s="463"/>
      <c r="U1692" s="463"/>
      <c r="V1692" s="463"/>
      <c r="W1692" s="463"/>
      <c r="X1692" s="463"/>
      <c r="Y1692" s="463"/>
      <c r="Z1692" s="463">
        <v>1</v>
      </c>
      <c r="AA1692" s="455">
        <v>0</v>
      </c>
      <c r="AB1692" s="457">
        <f>100/(SUM(I1692:Z1692))</f>
        <v>1</v>
      </c>
      <c r="AC1692" s="432">
        <f>SUM(I1692:AA1692)</f>
        <v>100</v>
      </c>
      <c r="AD1692" s="455">
        <v>60</v>
      </c>
      <c r="AE1692" s="455"/>
      <c r="AF1692" s="455"/>
      <c r="AG1692" s="459"/>
      <c r="AH1692" s="458" t="s">
        <v>1543</v>
      </c>
      <c r="AI1692" s="458"/>
      <c r="AJ1692" s="451"/>
      <c r="AK1692" s="451" t="s">
        <v>1544</v>
      </c>
      <c r="AL1692" s="459">
        <f>(B1692-DATE(1970,1,1))*86400</f>
        <v>1519948800</v>
      </c>
      <c r="AM1692" s="459">
        <f>(C1692-DATE(1970,1,1))*86400</f>
        <v>1520380800</v>
      </c>
      <c r="AN1692" s="459">
        <f>AVERAGE(AL1692:AM1692)</f>
        <v>1520164800</v>
      </c>
    </row>
    <row r="1693" spans="1:65" ht="15.75" customHeight="1" x14ac:dyDescent="0.2">
      <c r="A1693" s="449" t="s">
        <v>123</v>
      </c>
      <c r="B1693" s="460">
        <v>43161</v>
      </c>
      <c r="C1693" s="460">
        <v>43166</v>
      </c>
      <c r="D1693" s="451" t="s">
        <v>143</v>
      </c>
      <c r="E1693" s="452" t="s">
        <v>125</v>
      </c>
      <c r="F1693" s="451"/>
      <c r="G1693" s="451" t="s">
        <v>149</v>
      </c>
      <c r="H1693" s="454">
        <v>1200</v>
      </c>
      <c r="I1693" s="463">
        <v>54</v>
      </c>
      <c r="J1693" s="463"/>
      <c r="K1693" s="463">
        <v>16</v>
      </c>
      <c r="L1693" s="463">
        <v>5</v>
      </c>
      <c r="M1693" s="463">
        <v>9</v>
      </c>
      <c r="N1693" s="463">
        <v>2</v>
      </c>
      <c r="O1693" s="463"/>
      <c r="P1693" s="463">
        <v>2</v>
      </c>
      <c r="Q1693" s="463"/>
      <c r="R1693" s="455">
        <v>12</v>
      </c>
      <c r="S1693" s="463"/>
      <c r="T1693" s="463"/>
      <c r="U1693" s="463"/>
      <c r="V1693" s="463"/>
      <c r="W1693" s="463"/>
      <c r="X1693" s="463"/>
      <c r="Y1693" s="463"/>
      <c r="Z1693" s="463">
        <v>0</v>
      </c>
      <c r="AA1693" s="455">
        <v>0</v>
      </c>
      <c r="AB1693" s="457">
        <f>100/(SUM(I1693:Z1693))</f>
        <v>1</v>
      </c>
      <c r="AC1693" s="432">
        <f>SUM(I1693:AA1693)</f>
        <v>100</v>
      </c>
      <c r="AD1693" s="455"/>
      <c r="AE1693" s="455"/>
      <c r="AF1693" s="455"/>
      <c r="AG1693" s="459"/>
      <c r="AH1693" s="458" t="s">
        <v>1543</v>
      </c>
      <c r="AI1693" s="458"/>
      <c r="AJ1693" s="451"/>
      <c r="AK1693" s="451" t="s">
        <v>1545</v>
      </c>
      <c r="AL1693" s="459">
        <f>(B1693-DATE(1970,1,1))*86400</f>
        <v>1519948800</v>
      </c>
      <c r="AM1693" s="459">
        <f>(C1693-DATE(1970,1,1))*86400</f>
        <v>1520380800</v>
      </c>
      <c r="AN1693" s="459">
        <f>AVERAGE(AL1693:AM1693)</f>
        <v>1520164800</v>
      </c>
    </row>
    <row r="1694" spans="1:65" ht="15.75" customHeight="1" x14ac:dyDescent="0.2">
      <c r="A1694" s="279" t="s">
        <v>123</v>
      </c>
      <c r="B1694" s="14">
        <v>43160</v>
      </c>
      <c r="C1694" s="14">
        <v>43164</v>
      </c>
      <c r="D1694" s="13" t="s">
        <v>124</v>
      </c>
      <c r="E1694" s="324" t="s">
        <v>125</v>
      </c>
      <c r="F1694" s="13"/>
      <c r="G1694" s="13" t="s">
        <v>126</v>
      </c>
      <c r="H1694" s="324">
        <v>1000</v>
      </c>
      <c r="I1694" s="15">
        <v>52</v>
      </c>
      <c r="J1694" s="15"/>
      <c r="K1694" s="15">
        <v>17</v>
      </c>
      <c r="L1694" s="15">
        <v>9</v>
      </c>
      <c r="M1694" s="15">
        <v>6</v>
      </c>
      <c r="N1694" s="15"/>
      <c r="O1694" s="15"/>
      <c r="P1694" s="15">
        <v>4</v>
      </c>
      <c r="Q1694" s="15"/>
      <c r="R1694" s="15">
        <v>10</v>
      </c>
      <c r="S1694" s="15"/>
      <c r="T1694" s="15"/>
      <c r="U1694" s="15"/>
      <c r="V1694" s="15">
        <v>2</v>
      </c>
      <c r="W1694" s="15"/>
      <c r="X1694" s="15"/>
      <c r="Y1694" s="15"/>
      <c r="Z1694" s="15">
        <v>0</v>
      </c>
      <c r="AA1694" s="15">
        <v>0</v>
      </c>
      <c r="AB1694" s="16">
        <f>100/(SUM(I1694:Z1694))</f>
        <v>1</v>
      </c>
      <c r="AC1694" s="259">
        <f>SUM(I1694:AA1694)</f>
        <v>100</v>
      </c>
      <c r="AD1694" s="15"/>
      <c r="AE1694" s="15"/>
      <c r="AF1694" s="15"/>
      <c r="AG1694" s="17"/>
      <c r="AH1694" s="201" t="s">
        <v>2144</v>
      </c>
      <c r="AI1694" s="18" t="s">
        <v>1546</v>
      </c>
      <c r="AJ1694" s="201" t="s">
        <v>2143</v>
      </c>
      <c r="AK1694" s="13" t="s">
        <v>1547</v>
      </c>
      <c r="AL1694" s="17">
        <f>(B1694-DATE(1970,1,1))*86400</f>
        <v>1519862400</v>
      </c>
      <c r="AM1694" s="17">
        <f>(C1694-DATE(1970,1,1))*86400</f>
        <v>1520208000</v>
      </c>
      <c r="AN1694" s="17">
        <f>AVERAGE(AL1694:AM1694)</f>
        <v>1520035200</v>
      </c>
    </row>
    <row r="1695" spans="1:65" ht="15.75" customHeight="1" x14ac:dyDescent="0.2">
      <c r="A1695" s="302" t="s">
        <v>133</v>
      </c>
      <c r="B1695" s="254">
        <v>43160</v>
      </c>
      <c r="C1695" s="254">
        <v>43160</v>
      </c>
      <c r="D1695" s="262" t="s">
        <v>2445</v>
      </c>
      <c r="E1695" s="322" t="s">
        <v>184</v>
      </c>
      <c r="F1695" s="121"/>
      <c r="G1695" s="262" t="s">
        <v>244</v>
      </c>
      <c r="H1695" s="373">
        <v>500</v>
      </c>
      <c r="I1695" s="123">
        <v>33</v>
      </c>
      <c r="J1695" s="123"/>
      <c r="K1695" s="123">
        <v>12</v>
      </c>
      <c r="L1695" s="123">
        <v>7</v>
      </c>
      <c r="M1695" s="123">
        <v>5</v>
      </c>
      <c r="N1695" s="123">
        <v>1</v>
      </c>
      <c r="O1695" s="123"/>
      <c r="P1695" s="123">
        <v>1</v>
      </c>
      <c r="Q1695" s="123"/>
      <c r="R1695" s="123">
        <v>12</v>
      </c>
      <c r="S1695" s="123"/>
      <c r="T1695" s="123"/>
      <c r="U1695" s="123"/>
      <c r="V1695" s="123"/>
      <c r="W1695" s="123"/>
      <c r="X1695" s="123"/>
      <c r="Y1695" s="123"/>
      <c r="Z1695" s="123">
        <v>1</v>
      </c>
      <c r="AA1695" s="123">
        <v>28</v>
      </c>
      <c r="AB1695" s="125">
        <f>100/(SUM(I1695:Z1695))</f>
        <v>1.3888888888888888</v>
      </c>
      <c r="AC1695" s="259">
        <f>SUM(I1695:AA1695)</f>
        <v>100</v>
      </c>
      <c r="AD1695" s="123"/>
      <c r="AE1695" s="123"/>
      <c r="AF1695" s="123"/>
      <c r="AG1695" s="263" t="s">
        <v>719</v>
      </c>
      <c r="AH1695" s="253" t="s">
        <v>2013</v>
      </c>
      <c r="AI1695" s="253" t="s">
        <v>2014</v>
      </c>
      <c r="AJ1695" s="127"/>
      <c r="AK1695" s="121" t="s">
        <v>2012</v>
      </c>
      <c r="AL1695" s="126">
        <f>(B1695-DATE(1970,1,1))*86400</f>
        <v>1519862400</v>
      </c>
      <c r="AM1695" s="126">
        <f>(C1695-DATE(1970,1,1))*86400</f>
        <v>1519862400</v>
      </c>
      <c r="AN1695" s="126">
        <f>AVERAGE(AL1695:AM1695)</f>
        <v>1519862400</v>
      </c>
    </row>
    <row r="1696" spans="1:65" ht="15.75" customHeight="1" x14ac:dyDescent="0.2">
      <c r="A1696" s="302" t="s">
        <v>123</v>
      </c>
      <c r="B1696" s="254">
        <v>43160</v>
      </c>
      <c r="C1696" s="254">
        <v>43160</v>
      </c>
      <c r="D1696" s="262" t="s">
        <v>2445</v>
      </c>
      <c r="E1696" s="322" t="s">
        <v>184</v>
      </c>
      <c r="F1696" s="121"/>
      <c r="G1696" s="262" t="s">
        <v>244</v>
      </c>
      <c r="H1696" s="373">
        <v>500</v>
      </c>
      <c r="I1696" s="123">
        <v>47</v>
      </c>
      <c r="J1696" s="123"/>
      <c r="K1696" s="123">
        <v>17</v>
      </c>
      <c r="L1696" s="123">
        <v>9</v>
      </c>
      <c r="M1696" s="123">
        <v>8</v>
      </c>
      <c r="N1696" s="123">
        <v>1</v>
      </c>
      <c r="O1696" s="123"/>
      <c r="P1696" s="123">
        <v>2</v>
      </c>
      <c r="Q1696" s="123"/>
      <c r="R1696" s="123">
        <v>16</v>
      </c>
      <c r="S1696" s="123"/>
      <c r="T1696" s="123"/>
      <c r="U1696" s="123"/>
      <c r="V1696" s="123"/>
      <c r="W1696" s="123"/>
      <c r="X1696" s="123"/>
      <c r="Y1696" s="123"/>
      <c r="Z1696" s="124">
        <v>0</v>
      </c>
      <c r="AA1696" s="123">
        <v>0</v>
      </c>
      <c r="AB1696" s="125">
        <f>100/(SUM(I1696:Z1696))</f>
        <v>1</v>
      </c>
      <c r="AC1696" s="259">
        <f>SUM(I1696:AA1696)</f>
        <v>100</v>
      </c>
      <c r="AD1696" s="123"/>
      <c r="AE1696" s="123"/>
      <c r="AF1696" s="123"/>
      <c r="AG1696" s="263" t="s">
        <v>719</v>
      </c>
      <c r="AH1696" s="253" t="s">
        <v>2013</v>
      </c>
      <c r="AI1696" s="253" t="s">
        <v>2014</v>
      </c>
      <c r="AJ1696" s="127"/>
      <c r="AK1696" s="121" t="s">
        <v>2012</v>
      </c>
      <c r="AL1696" s="126">
        <f>(B1696-DATE(1970,1,1))*86400</f>
        <v>1519862400</v>
      </c>
      <c r="AM1696" s="126">
        <f>(C1696-DATE(1970,1,1))*86400</f>
        <v>1519862400</v>
      </c>
      <c r="AN1696" s="126">
        <f>AVERAGE(AL1696:AM1696)</f>
        <v>1519862400</v>
      </c>
    </row>
    <row r="1697" spans="1:40" ht="15.75" customHeight="1" x14ac:dyDescent="0.2">
      <c r="A1697" s="296" t="s">
        <v>133</v>
      </c>
      <c r="B1697" s="100">
        <v>43157</v>
      </c>
      <c r="C1697" s="100">
        <v>43162</v>
      </c>
      <c r="D1697" s="99" t="s">
        <v>276</v>
      </c>
      <c r="E1697" s="326" t="s">
        <v>184</v>
      </c>
      <c r="F1697" s="99"/>
      <c r="G1697" s="99" t="s">
        <v>126</v>
      </c>
      <c r="H1697" s="326">
        <v>1000</v>
      </c>
      <c r="I1697" s="101">
        <v>31</v>
      </c>
      <c r="J1697" s="101"/>
      <c r="K1697" s="101">
        <v>18</v>
      </c>
      <c r="L1697" s="101">
        <v>5</v>
      </c>
      <c r="M1697" s="101">
        <v>5</v>
      </c>
      <c r="N1697" s="101">
        <v>0</v>
      </c>
      <c r="O1697" s="101"/>
      <c r="P1697" s="101">
        <v>3</v>
      </c>
      <c r="Q1697" s="101"/>
      <c r="R1697" s="101">
        <v>8</v>
      </c>
      <c r="S1697" s="101"/>
      <c r="T1697" s="101"/>
      <c r="U1697" s="101"/>
      <c r="V1697" s="101">
        <v>1</v>
      </c>
      <c r="W1697" s="101"/>
      <c r="X1697" s="101"/>
      <c r="Y1697" s="101"/>
      <c r="Z1697" s="101">
        <v>0</v>
      </c>
      <c r="AA1697" s="101">
        <v>29</v>
      </c>
      <c r="AB1697" s="102">
        <f>100/(SUM(I1697:Z1697))</f>
        <v>1.408450704225352</v>
      </c>
      <c r="AC1697" s="259">
        <f>SUM(I1697:AA1697)</f>
        <v>100</v>
      </c>
      <c r="AD1697" s="101"/>
      <c r="AE1697" s="101"/>
      <c r="AF1697" s="101"/>
      <c r="AG1697" s="103"/>
      <c r="AH1697" s="104" t="s">
        <v>1548</v>
      </c>
      <c r="AI1697" s="104" t="s">
        <v>1549</v>
      </c>
      <c r="AJ1697" s="104" t="s">
        <v>1550</v>
      </c>
      <c r="AK1697" s="99" t="s">
        <v>1551</v>
      </c>
      <c r="AL1697" s="103">
        <f>(B1697-DATE(1970,1,1))*86400</f>
        <v>1519603200</v>
      </c>
      <c r="AM1697" s="103">
        <f>(C1697-DATE(1970,1,1))*86400</f>
        <v>1520035200</v>
      </c>
      <c r="AN1697" s="103">
        <f>AVERAGE(AL1697:AM1697)</f>
        <v>1519819200</v>
      </c>
    </row>
    <row r="1698" spans="1:40" ht="15.75" customHeight="1" x14ac:dyDescent="0.2">
      <c r="A1698" s="296" t="s">
        <v>123</v>
      </c>
      <c r="B1698" s="100">
        <v>43157</v>
      </c>
      <c r="C1698" s="100">
        <v>43162</v>
      </c>
      <c r="D1698" s="99" t="s">
        <v>276</v>
      </c>
      <c r="E1698" s="326" t="s">
        <v>184</v>
      </c>
      <c r="F1698" s="99"/>
      <c r="G1698" s="99" t="s">
        <v>126</v>
      </c>
      <c r="H1698" s="326">
        <v>1000</v>
      </c>
      <c r="I1698" s="101">
        <v>44</v>
      </c>
      <c r="J1698" s="101"/>
      <c r="K1698" s="101">
        <v>24</v>
      </c>
      <c r="L1698" s="101">
        <v>8</v>
      </c>
      <c r="M1698" s="101">
        <v>8</v>
      </c>
      <c r="N1698" s="101">
        <v>0</v>
      </c>
      <c r="O1698" s="101"/>
      <c r="P1698" s="101">
        <v>4</v>
      </c>
      <c r="Q1698" s="101"/>
      <c r="R1698" s="101">
        <v>11</v>
      </c>
      <c r="S1698" s="101"/>
      <c r="T1698" s="101"/>
      <c r="U1698" s="101"/>
      <c r="V1698" s="101">
        <v>1</v>
      </c>
      <c r="W1698" s="101"/>
      <c r="X1698" s="101"/>
      <c r="Y1698" s="101"/>
      <c r="Z1698" s="101">
        <v>0</v>
      </c>
      <c r="AA1698" s="101">
        <v>0</v>
      </c>
      <c r="AB1698" s="102">
        <f>100/(SUM(I1698:Z1698))</f>
        <v>1</v>
      </c>
      <c r="AC1698" s="259">
        <f>SUM(I1698:AA1698)</f>
        <v>100</v>
      </c>
      <c r="AD1698" s="101"/>
      <c r="AE1698" s="101"/>
      <c r="AF1698" s="101"/>
      <c r="AG1698" s="103"/>
      <c r="AH1698" s="104" t="s">
        <v>1548</v>
      </c>
      <c r="AI1698" s="104" t="s">
        <v>1549</v>
      </c>
      <c r="AJ1698" s="104" t="s">
        <v>1550</v>
      </c>
      <c r="AK1698" s="99" t="s">
        <v>1552</v>
      </c>
      <c r="AL1698" s="103">
        <f>(B1698-DATE(1970,1,1))*86400</f>
        <v>1519603200</v>
      </c>
      <c r="AM1698" s="103">
        <f>(C1698-DATE(1970,1,1))*86400</f>
        <v>1520035200</v>
      </c>
      <c r="AN1698" s="103">
        <f>AVERAGE(AL1698:AM1698)</f>
        <v>1519819200</v>
      </c>
    </row>
    <row r="1699" spans="1:40" ht="15.75" customHeight="1" x14ac:dyDescent="0.2">
      <c r="A1699" s="284" t="s">
        <v>133</v>
      </c>
      <c r="B1699" s="20">
        <v>43157</v>
      </c>
      <c r="C1699" s="20">
        <v>43159</v>
      </c>
      <c r="D1699" s="19" t="s">
        <v>134</v>
      </c>
      <c r="E1699" s="332" t="s">
        <v>184</v>
      </c>
      <c r="F1699" s="19"/>
      <c r="G1699" s="19" t="s">
        <v>135</v>
      </c>
      <c r="H1699" s="332">
        <v>1000</v>
      </c>
      <c r="I1699" s="21">
        <v>31</v>
      </c>
      <c r="J1699" s="21"/>
      <c r="K1699" s="21">
        <v>14</v>
      </c>
      <c r="L1699" s="21">
        <v>5</v>
      </c>
      <c r="M1699" s="21">
        <v>8</v>
      </c>
      <c r="N1699" s="21">
        <v>1</v>
      </c>
      <c r="O1699" s="21"/>
      <c r="P1699" s="21">
        <v>1</v>
      </c>
      <c r="Q1699" s="21"/>
      <c r="R1699" s="21">
        <v>8</v>
      </c>
      <c r="S1699" s="21"/>
      <c r="T1699" s="21"/>
      <c r="U1699" s="21"/>
      <c r="V1699" s="21"/>
      <c r="W1699" s="21"/>
      <c r="X1699" s="21"/>
      <c r="Y1699" s="21"/>
      <c r="Z1699" s="21">
        <v>7</v>
      </c>
      <c r="AA1699" s="21">
        <v>25</v>
      </c>
      <c r="AB1699" s="23">
        <f>100/(SUM(I1699:Z1699))</f>
        <v>1.3333333333333333</v>
      </c>
      <c r="AC1699" s="259">
        <f>SUM(I1699:AA1699)</f>
        <v>100</v>
      </c>
      <c r="AD1699" s="21"/>
      <c r="AE1699" s="21"/>
      <c r="AF1699" s="21"/>
      <c r="AG1699" s="25"/>
      <c r="AH1699" s="83" t="s">
        <v>1553</v>
      </c>
      <c r="AI1699" s="83" t="s">
        <v>1554</v>
      </c>
      <c r="AJ1699" s="19"/>
      <c r="AK1699" s="19"/>
      <c r="AL1699" s="25">
        <f>(B1699-DATE(1970,1,1))*86400</f>
        <v>1519603200</v>
      </c>
      <c r="AM1699" s="25">
        <f>(C1699-DATE(1970,1,1))*86400</f>
        <v>1519776000</v>
      </c>
      <c r="AN1699" s="25">
        <f>AVERAGE(AL1699:AM1699)</f>
        <v>1519689600</v>
      </c>
    </row>
    <row r="1700" spans="1:40" ht="15.75" customHeight="1" x14ac:dyDescent="0.2">
      <c r="A1700" s="284" t="s">
        <v>123</v>
      </c>
      <c r="B1700" s="20">
        <v>43157</v>
      </c>
      <c r="C1700" s="20">
        <v>43159</v>
      </c>
      <c r="D1700" s="19" t="s">
        <v>134</v>
      </c>
      <c r="E1700" s="332" t="s">
        <v>184</v>
      </c>
      <c r="F1700" s="19"/>
      <c r="G1700" s="19" t="s">
        <v>135</v>
      </c>
      <c r="H1700" s="332">
        <v>1000</v>
      </c>
      <c r="I1700" s="21">
        <v>36</v>
      </c>
      <c r="J1700" s="21"/>
      <c r="K1700" s="21">
        <v>19</v>
      </c>
      <c r="L1700" s="21">
        <v>8</v>
      </c>
      <c r="M1700" s="21">
        <v>13</v>
      </c>
      <c r="N1700" s="21">
        <v>1</v>
      </c>
      <c r="O1700" s="21"/>
      <c r="P1700" s="21">
        <v>2</v>
      </c>
      <c r="Q1700" s="21"/>
      <c r="R1700" s="21">
        <v>13</v>
      </c>
      <c r="S1700" s="21"/>
      <c r="T1700" s="21"/>
      <c r="U1700" s="21"/>
      <c r="V1700" s="21"/>
      <c r="W1700" s="21"/>
      <c r="X1700" s="21"/>
      <c r="Y1700" s="21"/>
      <c r="Z1700" s="21">
        <v>8</v>
      </c>
      <c r="AA1700" s="21">
        <v>0</v>
      </c>
      <c r="AB1700" s="23">
        <f>100/(SUM(I1700:Z1700))</f>
        <v>1</v>
      </c>
      <c r="AC1700" s="259">
        <f>SUM(I1700:AA1700)</f>
        <v>100</v>
      </c>
      <c r="AD1700" s="21"/>
      <c r="AE1700" s="21"/>
      <c r="AF1700" s="21"/>
      <c r="AG1700" s="25"/>
      <c r="AH1700" s="83" t="s">
        <v>1553</v>
      </c>
      <c r="AI1700" s="83" t="s">
        <v>1554</v>
      </c>
      <c r="AJ1700" s="19"/>
      <c r="AK1700" s="19"/>
      <c r="AL1700" s="25">
        <f>(B1700-DATE(1970,1,1))*86400</f>
        <v>1519603200</v>
      </c>
      <c r="AM1700" s="25">
        <f>(C1700-DATE(1970,1,1))*86400</f>
        <v>1519776000</v>
      </c>
      <c r="AN1700" s="25">
        <f>AVERAGE(AL1700:AM1700)</f>
        <v>1519689600</v>
      </c>
    </row>
    <row r="1701" spans="1:40" ht="15.75" customHeight="1" x14ac:dyDescent="0.2">
      <c r="A1701" s="280" t="s">
        <v>133</v>
      </c>
      <c r="B1701" s="169">
        <v>43157</v>
      </c>
      <c r="C1701" s="169">
        <v>43159</v>
      </c>
      <c r="D1701" s="76" t="s">
        <v>200</v>
      </c>
      <c r="E1701" s="320" t="s">
        <v>125</v>
      </c>
      <c r="F1701" s="76"/>
      <c r="G1701" s="76" t="s">
        <v>126</v>
      </c>
      <c r="H1701" s="383">
        <v>1000</v>
      </c>
      <c r="I1701" s="78">
        <v>36</v>
      </c>
      <c r="J1701" s="78"/>
      <c r="K1701" s="78">
        <v>8</v>
      </c>
      <c r="L1701" s="78">
        <v>7</v>
      </c>
      <c r="M1701" s="78">
        <v>5</v>
      </c>
      <c r="N1701" s="78"/>
      <c r="O1701" s="78"/>
      <c r="P1701" s="78"/>
      <c r="Q1701" s="78"/>
      <c r="R1701" s="78">
        <v>8</v>
      </c>
      <c r="S1701" s="78"/>
      <c r="T1701" s="78"/>
      <c r="U1701" s="78"/>
      <c r="V1701" s="78"/>
      <c r="W1701" s="78"/>
      <c r="X1701" s="78"/>
      <c r="Y1701" s="78"/>
      <c r="Z1701" s="78">
        <v>6</v>
      </c>
      <c r="AA1701" s="78">
        <v>30</v>
      </c>
      <c r="AB1701" s="79">
        <f>100/(SUM(I1701:Z1701))</f>
        <v>1.4285714285714286</v>
      </c>
      <c r="AC1701" s="259">
        <f>SUM(I1701:AA1701)</f>
        <v>100</v>
      </c>
      <c r="AD1701" s="78"/>
      <c r="AE1701" s="78"/>
      <c r="AF1701" s="78"/>
      <c r="AG1701" s="80"/>
      <c r="AH1701" s="81" t="s">
        <v>1555</v>
      </c>
      <c r="AI1701" s="81" t="s">
        <v>1556</v>
      </c>
      <c r="AJ1701" s="76"/>
      <c r="AK1701" s="76"/>
      <c r="AL1701" s="80">
        <f>(B1701-DATE(1970,1,1))*86400</f>
        <v>1519603200</v>
      </c>
      <c r="AM1701" s="80">
        <f>(C1701-DATE(1970,1,1))*86400</f>
        <v>1519776000</v>
      </c>
      <c r="AN1701" s="80">
        <f>AVERAGE(AL1701:AM1701)</f>
        <v>1519689600</v>
      </c>
    </row>
    <row r="1702" spans="1:40" ht="15.75" customHeight="1" x14ac:dyDescent="0.2">
      <c r="A1702" s="280" t="s">
        <v>123</v>
      </c>
      <c r="B1702" s="169">
        <v>43157</v>
      </c>
      <c r="C1702" s="169">
        <v>43159</v>
      </c>
      <c r="D1702" s="76" t="s">
        <v>200</v>
      </c>
      <c r="E1702" s="320" t="s">
        <v>125</v>
      </c>
      <c r="F1702" s="76"/>
      <c r="G1702" s="76" t="s">
        <v>126</v>
      </c>
      <c r="H1702" s="383">
        <v>1000</v>
      </c>
      <c r="I1702" s="78">
        <v>53</v>
      </c>
      <c r="J1702" s="78"/>
      <c r="K1702" s="78">
        <v>14</v>
      </c>
      <c r="L1702" s="78">
        <v>8</v>
      </c>
      <c r="M1702" s="78">
        <v>6</v>
      </c>
      <c r="N1702" s="78"/>
      <c r="O1702" s="78"/>
      <c r="P1702" s="78"/>
      <c r="Q1702" s="78"/>
      <c r="R1702" s="78">
        <v>11</v>
      </c>
      <c r="S1702" s="78"/>
      <c r="T1702" s="78"/>
      <c r="U1702" s="78"/>
      <c r="V1702" s="78"/>
      <c r="W1702" s="78"/>
      <c r="X1702" s="78"/>
      <c r="Y1702" s="78"/>
      <c r="Z1702" s="78">
        <v>8</v>
      </c>
      <c r="AA1702" s="78">
        <v>0</v>
      </c>
      <c r="AB1702" s="79">
        <f>100/(SUM(I1702:Z1702))</f>
        <v>1</v>
      </c>
      <c r="AC1702" s="259">
        <f>SUM(I1702:AA1702)</f>
        <v>100</v>
      </c>
      <c r="AD1702" s="78"/>
      <c r="AE1702" s="78"/>
      <c r="AF1702" s="78"/>
      <c r="AG1702" s="80"/>
      <c r="AH1702" s="81" t="s">
        <v>1555</v>
      </c>
      <c r="AI1702" s="81" t="s">
        <v>1556</v>
      </c>
      <c r="AJ1702" s="76"/>
      <c r="AK1702" s="76"/>
      <c r="AL1702" s="80">
        <f>(B1702-DATE(1970,1,1))*86400</f>
        <v>1519603200</v>
      </c>
      <c r="AM1702" s="80">
        <f>(C1702-DATE(1970,1,1))*86400</f>
        <v>1519776000</v>
      </c>
      <c r="AN1702" s="80">
        <f>AVERAGE(AL1702:AM1702)</f>
        <v>1519689600</v>
      </c>
    </row>
    <row r="1703" spans="1:40" ht="15.75" customHeight="1" x14ac:dyDescent="0.2">
      <c r="A1703" s="288" t="s">
        <v>133</v>
      </c>
      <c r="B1703" s="60">
        <v>43140</v>
      </c>
      <c r="C1703" s="60">
        <v>43153</v>
      </c>
      <c r="D1703" s="61" t="s">
        <v>168</v>
      </c>
      <c r="E1703" s="334" t="s">
        <v>184</v>
      </c>
      <c r="F1703" s="61"/>
      <c r="G1703" s="61" t="s">
        <v>149</v>
      </c>
      <c r="H1703" s="334">
        <v>1000</v>
      </c>
      <c r="I1703" s="63">
        <v>29</v>
      </c>
      <c r="J1703" s="63"/>
      <c r="K1703" s="63">
        <v>12</v>
      </c>
      <c r="L1703" s="63">
        <v>3</v>
      </c>
      <c r="M1703" s="63">
        <v>3</v>
      </c>
      <c r="N1703" s="63">
        <v>1</v>
      </c>
      <c r="O1703" s="63"/>
      <c r="P1703" s="63">
        <v>1</v>
      </c>
      <c r="Q1703" s="63"/>
      <c r="R1703" s="63">
        <v>11</v>
      </c>
      <c r="S1703" s="63"/>
      <c r="T1703" s="63"/>
      <c r="U1703" s="63"/>
      <c r="V1703" s="63"/>
      <c r="W1703" s="63"/>
      <c r="X1703" s="63"/>
      <c r="Y1703" s="63"/>
      <c r="Z1703" s="63">
        <v>1</v>
      </c>
      <c r="AA1703" s="63">
        <v>39</v>
      </c>
      <c r="AB1703" s="65">
        <f>100/(SUM(I1703:Z1703))</f>
        <v>1.639344262295082</v>
      </c>
      <c r="AC1703" s="259">
        <f>SUM(I1703:AA1703)</f>
        <v>100</v>
      </c>
      <c r="AD1703" s="63"/>
      <c r="AE1703" s="63"/>
      <c r="AF1703" s="63"/>
      <c r="AG1703" s="66"/>
      <c r="AH1703" s="67" t="s">
        <v>1557</v>
      </c>
      <c r="AI1703" s="67" t="s">
        <v>1558</v>
      </c>
      <c r="AJ1703" s="67" t="s">
        <v>1559</v>
      </c>
      <c r="AK1703" s="61" t="s">
        <v>1561</v>
      </c>
      <c r="AL1703" s="66">
        <f>(B1703-DATE(1970,1,1))*86400</f>
        <v>1518134400</v>
      </c>
      <c r="AM1703" s="66">
        <f>(C1703-DATE(1970,1,1))*86400</f>
        <v>1519257600</v>
      </c>
      <c r="AN1703" s="66">
        <f>AVERAGE(AL1703:AM1703)</f>
        <v>1518696000</v>
      </c>
    </row>
    <row r="1704" spans="1:40" ht="15.75" customHeight="1" x14ac:dyDescent="0.2">
      <c r="A1704" s="288" t="s">
        <v>133</v>
      </c>
      <c r="B1704" s="60">
        <v>43140</v>
      </c>
      <c r="C1704" s="60">
        <v>43153</v>
      </c>
      <c r="D1704" s="61" t="s">
        <v>168</v>
      </c>
      <c r="E1704" s="334" t="s">
        <v>184</v>
      </c>
      <c r="F1704" s="61"/>
      <c r="G1704" s="61" t="s">
        <v>149</v>
      </c>
      <c r="H1704" s="334">
        <v>1000</v>
      </c>
      <c r="I1704" s="63">
        <v>48</v>
      </c>
      <c r="J1704" s="63"/>
      <c r="K1704" s="63">
        <v>19</v>
      </c>
      <c r="L1704" s="63">
        <v>5</v>
      </c>
      <c r="M1704" s="63">
        <v>6</v>
      </c>
      <c r="N1704" s="63">
        <v>2</v>
      </c>
      <c r="O1704" s="63"/>
      <c r="P1704" s="63">
        <v>2</v>
      </c>
      <c r="Q1704" s="63"/>
      <c r="R1704" s="63">
        <v>17</v>
      </c>
      <c r="S1704" s="63"/>
      <c r="T1704" s="63"/>
      <c r="U1704" s="63"/>
      <c r="V1704" s="63"/>
      <c r="W1704" s="63"/>
      <c r="X1704" s="63"/>
      <c r="Y1704" s="63"/>
      <c r="Z1704" s="63">
        <v>1</v>
      </c>
      <c r="AA1704" s="63">
        <v>0</v>
      </c>
      <c r="AB1704" s="65">
        <f>100/(SUM(I1704:Z1704))</f>
        <v>1</v>
      </c>
      <c r="AC1704" s="259">
        <f>SUM(I1704:AA1704)</f>
        <v>100</v>
      </c>
      <c r="AD1704" s="63"/>
      <c r="AE1704" s="63"/>
      <c r="AF1704" s="63"/>
      <c r="AG1704" s="66"/>
      <c r="AH1704" s="67" t="s">
        <v>1557</v>
      </c>
      <c r="AI1704" s="67" t="s">
        <v>1558</v>
      </c>
      <c r="AJ1704" s="67" t="s">
        <v>1559</v>
      </c>
      <c r="AK1704" s="61" t="s">
        <v>1560</v>
      </c>
      <c r="AL1704" s="66">
        <f>(B1704-DATE(1970,1,1))*86400</f>
        <v>1518134400</v>
      </c>
      <c r="AM1704" s="66">
        <f>(C1704-DATE(1970,1,1))*86400</f>
        <v>1519257600</v>
      </c>
      <c r="AN1704" s="66">
        <f>AVERAGE(AL1704:AM1704)</f>
        <v>1518696000</v>
      </c>
    </row>
    <row r="1705" spans="1:40" ht="15.75" customHeight="1" x14ac:dyDescent="0.2">
      <c r="A1705" s="296" t="s">
        <v>133</v>
      </c>
      <c r="B1705" s="100">
        <v>43143</v>
      </c>
      <c r="C1705" s="100">
        <v>43149</v>
      </c>
      <c r="D1705" s="99" t="s">
        <v>276</v>
      </c>
      <c r="E1705" s="326" t="s">
        <v>184</v>
      </c>
      <c r="F1705" s="99" t="s">
        <v>689</v>
      </c>
      <c r="G1705" s="99" t="s">
        <v>135</v>
      </c>
      <c r="H1705" s="326">
        <v>8050</v>
      </c>
      <c r="I1705" s="101">
        <v>17</v>
      </c>
      <c r="J1705" s="101">
        <v>5</v>
      </c>
      <c r="K1705" s="101">
        <v>22</v>
      </c>
      <c r="L1705" s="101">
        <v>6</v>
      </c>
      <c r="M1705" s="101">
        <v>8</v>
      </c>
      <c r="N1705" s="101">
        <v>1</v>
      </c>
      <c r="O1705" s="101">
        <v>1</v>
      </c>
      <c r="P1705" s="101">
        <v>3</v>
      </c>
      <c r="Q1705" s="101"/>
      <c r="R1705" s="131"/>
      <c r="S1705" s="101"/>
      <c r="T1705" s="101"/>
      <c r="U1705" s="101"/>
      <c r="V1705" s="101"/>
      <c r="W1705" s="101"/>
      <c r="X1705" s="101"/>
      <c r="Y1705" s="101"/>
      <c r="Z1705" s="101">
        <v>3</v>
      </c>
      <c r="AA1705" s="101">
        <v>34</v>
      </c>
      <c r="AB1705" s="102">
        <f>100/(SUM(I1705:Z1705))</f>
        <v>1.5151515151515151</v>
      </c>
      <c r="AC1705" s="259">
        <f>SUM(I1705:AA1705)</f>
        <v>100</v>
      </c>
      <c r="AD1705" s="101"/>
      <c r="AE1705" s="101"/>
      <c r="AF1705" s="101"/>
      <c r="AG1705" s="103"/>
      <c r="AH1705" s="104" t="s">
        <v>1562</v>
      </c>
      <c r="AI1705" s="104" t="s">
        <v>1563</v>
      </c>
      <c r="AJ1705" s="222" t="s">
        <v>2162</v>
      </c>
      <c r="AK1705" s="99" t="s">
        <v>2161</v>
      </c>
      <c r="AL1705" s="103">
        <f>(B1705-DATE(1970,1,1))*86400</f>
        <v>1518393600</v>
      </c>
      <c r="AM1705" s="103">
        <f>(C1705-DATE(1970,1,1))*86400</f>
        <v>1518912000</v>
      </c>
      <c r="AN1705" s="103">
        <f>AVERAGE(AL1705:AM1705)</f>
        <v>1518652800</v>
      </c>
    </row>
    <row r="1706" spans="1:40" ht="15.75" customHeight="1" x14ac:dyDescent="0.2">
      <c r="A1706" s="296" t="s">
        <v>133</v>
      </c>
      <c r="B1706" s="100">
        <v>43143</v>
      </c>
      <c r="C1706" s="100">
        <v>43149</v>
      </c>
      <c r="D1706" s="99" t="s">
        <v>276</v>
      </c>
      <c r="E1706" s="326" t="s">
        <v>184</v>
      </c>
      <c r="F1706" s="99" t="s">
        <v>689</v>
      </c>
      <c r="G1706" s="99" t="s">
        <v>135</v>
      </c>
      <c r="H1706" s="326">
        <v>8050</v>
      </c>
      <c r="I1706" s="101">
        <v>26</v>
      </c>
      <c r="J1706" s="101">
        <v>7</v>
      </c>
      <c r="K1706" s="101">
        <v>33</v>
      </c>
      <c r="L1706" s="101">
        <v>9</v>
      </c>
      <c r="M1706" s="101">
        <v>12</v>
      </c>
      <c r="N1706" s="101">
        <v>2</v>
      </c>
      <c r="O1706" s="101">
        <v>2</v>
      </c>
      <c r="P1706" s="101">
        <v>4</v>
      </c>
      <c r="Q1706" s="101"/>
      <c r="R1706" s="131"/>
      <c r="S1706" s="101"/>
      <c r="T1706" s="101"/>
      <c r="U1706" s="101"/>
      <c r="V1706" s="101"/>
      <c r="W1706" s="101"/>
      <c r="X1706" s="101"/>
      <c r="Y1706" s="101"/>
      <c r="Z1706" s="101">
        <v>5</v>
      </c>
      <c r="AA1706" s="101">
        <v>0</v>
      </c>
      <c r="AB1706" s="102">
        <f>100/(SUM(I1706:Z1706))</f>
        <v>1</v>
      </c>
      <c r="AC1706" s="259">
        <f>SUM(I1706:AA1706)</f>
        <v>100</v>
      </c>
      <c r="AD1706" s="101"/>
      <c r="AE1706" s="101"/>
      <c r="AF1706" s="101"/>
      <c r="AG1706" s="103"/>
      <c r="AH1706" s="104" t="s">
        <v>1562</v>
      </c>
      <c r="AI1706" s="104" t="s">
        <v>1563</v>
      </c>
      <c r="AJ1706" s="222" t="s">
        <v>2162</v>
      </c>
      <c r="AK1706" s="99" t="s">
        <v>1564</v>
      </c>
      <c r="AL1706" s="103">
        <f>(B1706-DATE(1970,1,1))*86400</f>
        <v>1518393600</v>
      </c>
      <c r="AM1706" s="103">
        <f>(C1706-DATE(1970,1,1))*86400</f>
        <v>1518912000</v>
      </c>
      <c r="AN1706" s="103">
        <f>AVERAGE(AL1706:AM1706)</f>
        <v>1518652800</v>
      </c>
    </row>
    <row r="1707" spans="1:40" ht="15.75" customHeight="1" x14ac:dyDescent="0.2">
      <c r="A1707" s="302" t="s">
        <v>123</v>
      </c>
      <c r="B1707" s="254">
        <v>43143</v>
      </c>
      <c r="C1707" s="254">
        <v>43143</v>
      </c>
      <c r="D1707" s="262" t="s">
        <v>2445</v>
      </c>
      <c r="E1707" s="322" t="s">
        <v>184</v>
      </c>
      <c r="F1707" s="121"/>
      <c r="G1707" s="262" t="s">
        <v>244</v>
      </c>
      <c r="H1707" s="379">
        <v>500</v>
      </c>
      <c r="I1707" s="123">
        <v>48</v>
      </c>
      <c r="J1707" s="123"/>
      <c r="K1707" s="123">
        <v>17</v>
      </c>
      <c r="L1707" s="123">
        <v>7</v>
      </c>
      <c r="M1707" s="123">
        <v>10</v>
      </c>
      <c r="N1707" s="123">
        <v>3</v>
      </c>
      <c r="O1707" s="123"/>
      <c r="P1707" s="123">
        <v>2</v>
      </c>
      <c r="Q1707" s="123"/>
      <c r="R1707" s="123">
        <v>11</v>
      </c>
      <c r="S1707" s="123"/>
      <c r="T1707" s="123"/>
      <c r="U1707" s="123"/>
      <c r="V1707" s="123"/>
      <c r="W1707" s="123"/>
      <c r="X1707" s="123"/>
      <c r="Y1707" s="123"/>
      <c r="Z1707" s="124">
        <v>2</v>
      </c>
      <c r="AA1707" s="123">
        <v>0</v>
      </c>
      <c r="AB1707" s="125">
        <f>100/(SUM(I1707:Z1707))</f>
        <v>1</v>
      </c>
      <c r="AC1707" s="259">
        <f>SUM(I1707:AA1707)</f>
        <v>100</v>
      </c>
      <c r="AD1707" s="123"/>
      <c r="AE1707" s="123"/>
      <c r="AF1707" s="123"/>
      <c r="AG1707" s="263" t="s">
        <v>719</v>
      </c>
      <c r="AH1707" s="253" t="s">
        <v>2013</v>
      </c>
      <c r="AI1707" s="253"/>
      <c r="AJ1707" s="127"/>
      <c r="AK1707" s="121" t="s">
        <v>2033</v>
      </c>
      <c r="AL1707" s="126">
        <f>(B1707-DATE(1970,1,1))*86400</f>
        <v>1518393600</v>
      </c>
      <c r="AM1707" s="126">
        <f>(C1707-DATE(1970,1,1))*86400</f>
        <v>1518393600</v>
      </c>
      <c r="AN1707" s="126">
        <f>AVERAGE(AL1707:AM1707)</f>
        <v>1518393600</v>
      </c>
    </row>
    <row r="1708" spans="1:40" ht="15.75" customHeight="1" x14ac:dyDescent="0.2">
      <c r="A1708" s="279" t="s">
        <v>133</v>
      </c>
      <c r="B1708" s="14">
        <v>43134</v>
      </c>
      <c r="C1708" s="14">
        <v>43152</v>
      </c>
      <c r="D1708" s="13" t="s">
        <v>124</v>
      </c>
      <c r="E1708" s="324" t="s">
        <v>125</v>
      </c>
      <c r="F1708" s="13"/>
      <c r="G1708" s="13" t="s">
        <v>149</v>
      </c>
      <c r="H1708" s="324">
        <v>2000</v>
      </c>
      <c r="I1708" s="15">
        <v>40</v>
      </c>
      <c r="J1708" s="15"/>
      <c r="K1708" s="15">
        <v>7</v>
      </c>
      <c r="L1708" s="15">
        <v>4</v>
      </c>
      <c r="M1708" s="15">
        <v>4</v>
      </c>
      <c r="N1708" s="15">
        <v>1</v>
      </c>
      <c r="O1708" s="15"/>
      <c r="P1708" s="15">
        <v>2</v>
      </c>
      <c r="Q1708" s="15"/>
      <c r="R1708" s="15">
        <v>5</v>
      </c>
      <c r="S1708" s="15"/>
      <c r="T1708" s="15"/>
      <c r="U1708" s="15"/>
      <c r="V1708" s="15">
        <v>1</v>
      </c>
      <c r="W1708" s="15"/>
      <c r="X1708" s="15"/>
      <c r="Y1708" s="15"/>
      <c r="Z1708" s="98">
        <v>1</v>
      </c>
      <c r="AA1708" s="15">
        <v>35</v>
      </c>
      <c r="AB1708" s="16">
        <f>100/(SUM(I1708:Z1708))</f>
        <v>1.5384615384615385</v>
      </c>
      <c r="AC1708" s="259">
        <f>SUM(I1708:AA1708)</f>
        <v>100</v>
      </c>
      <c r="AD1708" s="15"/>
      <c r="AE1708" s="15"/>
      <c r="AF1708" s="15"/>
      <c r="AG1708" s="17"/>
      <c r="AH1708" s="18" t="s">
        <v>2074</v>
      </c>
      <c r="AI1708" s="18" t="s">
        <v>2075</v>
      </c>
      <c r="AJ1708" s="13"/>
      <c r="AK1708" s="13" t="s">
        <v>1567</v>
      </c>
      <c r="AL1708" s="17">
        <f>(B1708-DATE(1970,1,1))*86400</f>
        <v>1517616000</v>
      </c>
      <c r="AM1708" s="17">
        <f>(C1708-DATE(1970,1,1))*86400</f>
        <v>1519171200</v>
      </c>
      <c r="AN1708" s="17">
        <f>AVERAGE(AL1708:AM1708)</f>
        <v>1518393600</v>
      </c>
    </row>
    <row r="1709" spans="1:40" ht="15.75" customHeight="1" x14ac:dyDescent="0.2">
      <c r="A1709" s="279" t="s">
        <v>123</v>
      </c>
      <c r="B1709" s="14">
        <v>43134</v>
      </c>
      <c r="C1709" s="14">
        <v>43152</v>
      </c>
      <c r="D1709" s="13" t="s">
        <v>124</v>
      </c>
      <c r="E1709" s="324" t="s">
        <v>125</v>
      </c>
      <c r="F1709" s="13"/>
      <c r="G1709" s="13" t="s">
        <v>149</v>
      </c>
      <c r="H1709" s="324">
        <v>2000</v>
      </c>
      <c r="I1709" s="15">
        <v>54</v>
      </c>
      <c r="J1709" s="15"/>
      <c r="K1709" s="15">
        <v>13</v>
      </c>
      <c r="L1709" s="15">
        <v>8</v>
      </c>
      <c r="M1709" s="15">
        <v>8</v>
      </c>
      <c r="N1709" s="15">
        <v>1</v>
      </c>
      <c r="O1709" s="15"/>
      <c r="P1709" s="15">
        <v>3</v>
      </c>
      <c r="Q1709" s="15"/>
      <c r="R1709" s="15">
        <v>10</v>
      </c>
      <c r="S1709" s="15"/>
      <c r="T1709" s="15"/>
      <c r="U1709" s="15"/>
      <c r="V1709" s="15">
        <v>2</v>
      </c>
      <c r="W1709" s="15"/>
      <c r="X1709" s="15"/>
      <c r="Y1709" s="15"/>
      <c r="Z1709" s="98">
        <v>1</v>
      </c>
      <c r="AA1709" s="15">
        <v>0</v>
      </c>
      <c r="AB1709" s="16">
        <f>100/(SUM(I1709:Z1709))</f>
        <v>1</v>
      </c>
      <c r="AC1709" s="259">
        <f>SUM(I1709:AA1709)</f>
        <v>100</v>
      </c>
      <c r="AD1709" s="15"/>
      <c r="AE1709" s="15"/>
      <c r="AF1709" s="15"/>
      <c r="AG1709" s="17"/>
      <c r="AH1709" s="18" t="s">
        <v>1565</v>
      </c>
      <c r="AI1709" s="18" t="s">
        <v>1566</v>
      </c>
      <c r="AJ1709" s="13"/>
      <c r="AK1709" s="13" t="s">
        <v>1568</v>
      </c>
      <c r="AL1709" s="17">
        <f>(B1709-DATE(1970,1,1))*86400</f>
        <v>1517616000</v>
      </c>
      <c r="AM1709" s="17">
        <f>(C1709-DATE(1970,1,1))*86400</f>
        <v>1519171200</v>
      </c>
      <c r="AN1709" s="17">
        <f>AVERAGE(AL1709:AM1709)</f>
        <v>1518393600</v>
      </c>
    </row>
    <row r="1710" spans="1:40" ht="15.75" customHeight="1" x14ac:dyDescent="0.2">
      <c r="A1710" s="281" t="s">
        <v>133</v>
      </c>
      <c r="B1710" s="167">
        <v>43140</v>
      </c>
      <c r="C1710" s="167">
        <v>43145</v>
      </c>
      <c r="D1710" s="53" t="s">
        <v>154</v>
      </c>
      <c r="E1710" s="323" t="s">
        <v>184</v>
      </c>
      <c r="F1710" s="53"/>
      <c r="G1710" s="53" t="s">
        <v>126</v>
      </c>
      <c r="H1710" s="384">
        <v>1002</v>
      </c>
      <c r="I1710" s="55">
        <v>26</v>
      </c>
      <c r="J1710" s="55"/>
      <c r="K1710" s="55">
        <v>11</v>
      </c>
      <c r="L1710" s="55">
        <v>6</v>
      </c>
      <c r="M1710" s="55">
        <v>4</v>
      </c>
      <c r="N1710" s="55"/>
      <c r="O1710" s="55"/>
      <c r="P1710" s="55">
        <v>0</v>
      </c>
      <c r="Q1710" s="55"/>
      <c r="R1710" s="55">
        <v>12</v>
      </c>
      <c r="S1710" s="55"/>
      <c r="T1710" s="55"/>
      <c r="U1710" s="55"/>
      <c r="V1710" s="55">
        <v>1</v>
      </c>
      <c r="W1710" s="55"/>
      <c r="X1710" s="55"/>
      <c r="Y1710" s="55"/>
      <c r="Z1710" s="55">
        <v>2</v>
      </c>
      <c r="AA1710" s="55">
        <v>38</v>
      </c>
      <c r="AB1710" s="57">
        <f>100/(SUM(I1710:Z1710))</f>
        <v>1.6129032258064515</v>
      </c>
      <c r="AC1710" s="259">
        <f>SUM(I1710:AA1710)</f>
        <v>100</v>
      </c>
      <c r="AD1710" s="55"/>
      <c r="AE1710" s="55"/>
      <c r="AF1710" s="55"/>
      <c r="AG1710" s="58"/>
      <c r="AH1710" s="59" t="s">
        <v>1569</v>
      </c>
      <c r="AI1710" s="59" t="s">
        <v>1570</v>
      </c>
      <c r="AJ1710" s="59" t="s">
        <v>1513</v>
      </c>
      <c r="AK1710" s="53"/>
      <c r="AL1710" s="58">
        <f>(B1710-DATE(1970,1,1))*86400</f>
        <v>1518134400</v>
      </c>
      <c r="AM1710" s="58">
        <f>(C1710-DATE(1970,1,1))*86400</f>
        <v>1518566400</v>
      </c>
      <c r="AN1710" s="58">
        <f>AVERAGE(AL1710:AM1710)</f>
        <v>1518350400</v>
      </c>
    </row>
    <row r="1711" spans="1:40" ht="15.75" customHeight="1" x14ac:dyDescent="0.2">
      <c r="A1711" s="281" t="s">
        <v>123</v>
      </c>
      <c r="B1711" s="167">
        <v>43140</v>
      </c>
      <c r="C1711" s="167">
        <v>43145</v>
      </c>
      <c r="D1711" s="53" t="s">
        <v>154</v>
      </c>
      <c r="E1711" s="323" t="s">
        <v>184</v>
      </c>
      <c r="F1711" s="53"/>
      <c r="G1711" s="53" t="s">
        <v>126</v>
      </c>
      <c r="H1711" s="384">
        <v>1002</v>
      </c>
      <c r="I1711" s="55">
        <v>35</v>
      </c>
      <c r="J1711" s="55"/>
      <c r="K1711" s="55">
        <v>14</v>
      </c>
      <c r="L1711" s="55">
        <v>7</v>
      </c>
      <c r="M1711" s="55">
        <v>4</v>
      </c>
      <c r="N1711" s="55"/>
      <c r="O1711" s="55"/>
      <c r="P1711" s="55">
        <v>0</v>
      </c>
      <c r="Q1711" s="55"/>
      <c r="R1711" s="55">
        <v>15</v>
      </c>
      <c r="S1711" s="55"/>
      <c r="T1711" s="55"/>
      <c r="U1711" s="55"/>
      <c r="V1711" s="55">
        <v>2</v>
      </c>
      <c r="W1711" s="55"/>
      <c r="X1711" s="55"/>
      <c r="Y1711" s="55"/>
      <c r="Z1711" s="55">
        <v>2</v>
      </c>
      <c r="AA1711" s="55">
        <v>22</v>
      </c>
      <c r="AB1711" s="57">
        <f>100/(SUM(I1711:Z1711))</f>
        <v>1.2658227848101267</v>
      </c>
      <c r="AC1711" s="259">
        <f>SUM(I1711:AA1711)</f>
        <v>101</v>
      </c>
      <c r="AD1711" s="55"/>
      <c r="AE1711" s="55"/>
      <c r="AF1711" s="55"/>
      <c r="AG1711" s="58"/>
      <c r="AH1711" s="59" t="s">
        <v>1569</v>
      </c>
      <c r="AI1711" s="59" t="s">
        <v>1570</v>
      </c>
      <c r="AJ1711" s="53"/>
      <c r="AK1711" s="53"/>
      <c r="AL1711" s="58">
        <f>(B1711-DATE(1970,1,1))*86400</f>
        <v>1518134400</v>
      </c>
      <c r="AM1711" s="58">
        <f>(C1711-DATE(1970,1,1))*86400</f>
        <v>1518566400</v>
      </c>
      <c r="AN1711" s="58">
        <f>AVERAGE(AL1711:AM1711)</f>
        <v>1518350400</v>
      </c>
    </row>
    <row r="1712" spans="1:40" ht="15.75" customHeight="1" x14ac:dyDescent="0.2">
      <c r="A1712" s="281" t="s">
        <v>123</v>
      </c>
      <c r="B1712" s="167">
        <v>43140</v>
      </c>
      <c r="C1712" s="167">
        <v>43145</v>
      </c>
      <c r="D1712" s="53" t="s">
        <v>154</v>
      </c>
      <c r="E1712" s="323" t="s">
        <v>184</v>
      </c>
      <c r="F1712" s="53"/>
      <c r="G1712" s="53" t="s">
        <v>126</v>
      </c>
      <c r="H1712" s="384">
        <v>1002</v>
      </c>
      <c r="I1712" s="55">
        <v>48</v>
      </c>
      <c r="J1712" s="55"/>
      <c r="K1712" s="55">
        <v>16</v>
      </c>
      <c r="L1712" s="55">
        <v>8</v>
      </c>
      <c r="M1712" s="55">
        <v>5</v>
      </c>
      <c r="N1712" s="55"/>
      <c r="O1712" s="55"/>
      <c r="P1712" s="55">
        <v>1</v>
      </c>
      <c r="Q1712" s="55"/>
      <c r="R1712" s="55">
        <v>18</v>
      </c>
      <c r="S1712" s="55"/>
      <c r="T1712" s="55"/>
      <c r="U1712" s="55"/>
      <c r="V1712" s="55">
        <v>2</v>
      </c>
      <c r="W1712" s="55"/>
      <c r="X1712" s="55"/>
      <c r="Y1712" s="55"/>
      <c r="Z1712" s="55">
        <v>2</v>
      </c>
      <c r="AA1712" s="55">
        <v>0</v>
      </c>
      <c r="AB1712" s="57">
        <f>100/(SUM(I1712:Z1712))</f>
        <v>1</v>
      </c>
      <c r="AC1712" s="259">
        <f>SUM(I1712:AA1712)</f>
        <v>100</v>
      </c>
      <c r="AD1712" s="55"/>
      <c r="AE1712" s="55"/>
      <c r="AF1712" s="55"/>
      <c r="AG1712" s="58"/>
      <c r="AH1712" s="59" t="s">
        <v>1569</v>
      </c>
      <c r="AI1712" s="59" t="s">
        <v>1570</v>
      </c>
      <c r="AJ1712" s="53"/>
      <c r="AK1712" s="53"/>
      <c r="AL1712" s="58">
        <f>(B1712-DATE(1970,1,1))*86400</f>
        <v>1518134400</v>
      </c>
      <c r="AM1712" s="58">
        <f>(C1712-DATE(1970,1,1))*86400</f>
        <v>1518566400</v>
      </c>
      <c r="AN1712" s="58">
        <f>AVERAGE(AL1712:AM1712)</f>
        <v>1518350400</v>
      </c>
    </row>
    <row r="1713" spans="1:40" ht="15.75" customHeight="1" x14ac:dyDescent="0.2">
      <c r="A1713" s="286" t="s">
        <v>133</v>
      </c>
      <c r="B1713" s="41">
        <v>43138</v>
      </c>
      <c r="C1713" s="41">
        <v>43146</v>
      </c>
      <c r="D1713" s="40" t="s">
        <v>148</v>
      </c>
      <c r="E1713" s="325" t="s">
        <v>125</v>
      </c>
      <c r="F1713" s="40"/>
      <c r="G1713" s="40" t="s">
        <v>149</v>
      </c>
      <c r="H1713" s="381">
        <v>1000</v>
      </c>
      <c r="I1713" s="43">
        <v>32.299999999999997</v>
      </c>
      <c r="J1713" s="43"/>
      <c r="K1713" s="42">
        <v>10.7</v>
      </c>
      <c r="L1713" s="42">
        <v>3.9</v>
      </c>
      <c r="M1713" s="42">
        <v>4.8</v>
      </c>
      <c r="N1713" s="42">
        <v>0.8</v>
      </c>
      <c r="O1713" s="42"/>
      <c r="P1713" s="42">
        <v>1.8</v>
      </c>
      <c r="Q1713" s="42"/>
      <c r="R1713" s="42">
        <v>9</v>
      </c>
      <c r="S1713" s="42"/>
      <c r="T1713" s="42"/>
      <c r="U1713" s="42"/>
      <c r="V1713" s="42">
        <v>0.9</v>
      </c>
      <c r="W1713" s="42"/>
      <c r="X1713" s="42"/>
      <c r="Y1713" s="42"/>
      <c r="Z1713" s="42">
        <v>2</v>
      </c>
      <c r="AA1713" s="43">
        <v>33.799999999999997</v>
      </c>
      <c r="AB1713" s="44">
        <f>100/(SUM(I1713:Z1713))</f>
        <v>1.5105740181268885</v>
      </c>
      <c r="AC1713" s="259">
        <f>SUM(I1713:AA1713)</f>
        <v>99.999999999999986</v>
      </c>
      <c r="AD1713" s="42"/>
      <c r="AE1713" s="42"/>
      <c r="AF1713" s="42"/>
      <c r="AG1713" s="45"/>
      <c r="AH1713" s="391" t="s">
        <v>2137</v>
      </c>
      <c r="AI1713" s="132" t="s">
        <v>1571</v>
      </c>
      <c r="AJ1713" s="40" t="s">
        <v>1572</v>
      </c>
      <c r="AK1713" s="40"/>
      <c r="AL1713" s="45">
        <f>(B1713-DATE(1970,1,1))*86400</f>
        <v>1517961600</v>
      </c>
      <c r="AM1713" s="45">
        <f>(C1713-DATE(1970,1,1))*86400</f>
        <v>1518652800</v>
      </c>
      <c r="AN1713" s="45">
        <f>AVERAGE(AL1713:AM1713)</f>
        <v>1518307200</v>
      </c>
    </row>
    <row r="1714" spans="1:40" ht="15.75" customHeight="1" x14ac:dyDescent="0.2">
      <c r="A1714" s="286" t="s">
        <v>123</v>
      </c>
      <c r="B1714" s="41">
        <v>43138</v>
      </c>
      <c r="C1714" s="41">
        <v>43146</v>
      </c>
      <c r="D1714" s="40" t="s">
        <v>148</v>
      </c>
      <c r="E1714" s="325" t="s">
        <v>125</v>
      </c>
      <c r="F1714" s="40"/>
      <c r="G1714" s="40" t="s">
        <v>149</v>
      </c>
      <c r="H1714" s="381">
        <v>1000</v>
      </c>
      <c r="I1714" s="43">
        <v>51.2</v>
      </c>
      <c r="J1714" s="43"/>
      <c r="K1714" s="42">
        <v>16.8</v>
      </c>
      <c r="L1714" s="42">
        <v>5.8</v>
      </c>
      <c r="M1714" s="42">
        <v>7.8</v>
      </c>
      <c r="N1714" s="42">
        <v>1.4</v>
      </c>
      <c r="O1714" s="42"/>
      <c r="P1714" s="42">
        <v>1.7</v>
      </c>
      <c r="Q1714" s="42"/>
      <c r="R1714" s="42">
        <v>13.2</v>
      </c>
      <c r="S1714" s="42"/>
      <c r="T1714" s="42"/>
      <c r="U1714" s="42"/>
      <c r="V1714" s="42">
        <v>0.9</v>
      </c>
      <c r="W1714" s="42"/>
      <c r="X1714" s="42"/>
      <c r="Y1714" s="42"/>
      <c r="Z1714" s="42">
        <v>1.2</v>
      </c>
      <c r="AA1714" s="42">
        <v>0</v>
      </c>
      <c r="AB1714" s="44">
        <f>100/(SUM(I1714:Z1714))</f>
        <v>0.99999999999999989</v>
      </c>
      <c r="AC1714" s="259">
        <f>SUM(I1714:AA1714)</f>
        <v>100.00000000000001</v>
      </c>
      <c r="AD1714" s="42"/>
      <c r="AE1714" s="42"/>
      <c r="AF1714" s="42"/>
      <c r="AG1714" s="45"/>
      <c r="AH1714" s="391" t="s">
        <v>2137</v>
      </c>
      <c r="AI1714" s="132" t="s">
        <v>1571</v>
      </c>
      <c r="AJ1714" s="40" t="s">
        <v>1572</v>
      </c>
      <c r="AK1714" s="40"/>
      <c r="AL1714" s="45">
        <f>(B1714-DATE(1970,1,1))*86400</f>
        <v>1517961600</v>
      </c>
      <c r="AM1714" s="45">
        <f>(C1714-DATE(1970,1,1))*86400</f>
        <v>1518652800</v>
      </c>
      <c r="AN1714" s="45">
        <f>AVERAGE(AL1714:AM1714)</f>
        <v>1518307200</v>
      </c>
    </row>
    <row r="1715" spans="1:40" ht="15.75" customHeight="1" x14ac:dyDescent="0.2">
      <c r="A1715" s="280" t="s">
        <v>133</v>
      </c>
      <c r="B1715" s="169">
        <v>43137</v>
      </c>
      <c r="C1715" s="169">
        <v>43144</v>
      </c>
      <c r="D1715" s="76" t="s">
        <v>200</v>
      </c>
      <c r="E1715" s="320" t="s">
        <v>125</v>
      </c>
      <c r="F1715" s="76"/>
      <c r="G1715" s="76" t="s">
        <v>126</v>
      </c>
      <c r="H1715" s="383">
        <v>1000</v>
      </c>
      <c r="I1715" s="78">
        <v>35</v>
      </c>
      <c r="J1715" s="78"/>
      <c r="K1715" s="78">
        <v>8</v>
      </c>
      <c r="L1715" s="78">
        <v>8</v>
      </c>
      <c r="M1715" s="78">
        <v>6</v>
      </c>
      <c r="N1715" s="78"/>
      <c r="O1715" s="78"/>
      <c r="P1715" s="78"/>
      <c r="Q1715" s="78"/>
      <c r="R1715" s="78">
        <v>7</v>
      </c>
      <c r="S1715" s="78"/>
      <c r="T1715" s="78"/>
      <c r="U1715" s="78"/>
      <c r="V1715" s="78"/>
      <c r="W1715" s="78"/>
      <c r="X1715" s="78"/>
      <c r="Y1715" s="78"/>
      <c r="Z1715" s="78">
        <v>6</v>
      </c>
      <c r="AA1715" s="78">
        <v>30</v>
      </c>
      <c r="AB1715" s="79">
        <f>100/(SUM(I1715:Z1715))</f>
        <v>1.4285714285714286</v>
      </c>
      <c r="AC1715" s="259">
        <f>SUM(I1715:AA1715)</f>
        <v>100</v>
      </c>
      <c r="AD1715" s="78"/>
      <c r="AE1715" s="78"/>
      <c r="AF1715" s="78"/>
      <c r="AG1715" s="80"/>
      <c r="AH1715" s="81" t="s">
        <v>1573</v>
      </c>
      <c r="AI1715" s="81" t="s">
        <v>1574</v>
      </c>
      <c r="AJ1715" s="81" t="s">
        <v>1575</v>
      </c>
      <c r="AK1715" s="76"/>
      <c r="AL1715" s="80">
        <f>(B1715-DATE(1970,1,1))*86400</f>
        <v>1517875200</v>
      </c>
      <c r="AM1715" s="80">
        <f>(C1715-DATE(1970,1,1))*86400</f>
        <v>1518480000</v>
      </c>
      <c r="AN1715" s="80">
        <f>AVERAGE(AL1715:AM1715)</f>
        <v>1518177600</v>
      </c>
    </row>
    <row r="1716" spans="1:40" ht="15.75" customHeight="1" x14ac:dyDescent="0.2">
      <c r="A1716" s="280" t="s">
        <v>123</v>
      </c>
      <c r="B1716" s="169">
        <v>43137</v>
      </c>
      <c r="C1716" s="169">
        <v>43144</v>
      </c>
      <c r="D1716" s="76" t="s">
        <v>200</v>
      </c>
      <c r="E1716" s="320" t="s">
        <v>125</v>
      </c>
      <c r="F1716" s="76"/>
      <c r="G1716" s="76" t="s">
        <v>126</v>
      </c>
      <c r="H1716" s="383">
        <v>1000</v>
      </c>
      <c r="I1716" s="78">
        <v>51</v>
      </c>
      <c r="J1716" s="78"/>
      <c r="K1716" s="78">
        <v>14</v>
      </c>
      <c r="L1716" s="78">
        <v>10</v>
      </c>
      <c r="M1716" s="78">
        <v>7</v>
      </c>
      <c r="N1716" s="78"/>
      <c r="O1716" s="78"/>
      <c r="P1716" s="78"/>
      <c r="Q1716" s="78"/>
      <c r="R1716" s="78">
        <v>10</v>
      </c>
      <c r="S1716" s="78"/>
      <c r="T1716" s="78"/>
      <c r="U1716" s="78"/>
      <c r="V1716" s="78"/>
      <c r="W1716" s="78"/>
      <c r="X1716" s="78"/>
      <c r="Y1716" s="78"/>
      <c r="Z1716" s="78">
        <v>8</v>
      </c>
      <c r="AA1716" s="78">
        <v>0</v>
      </c>
      <c r="AB1716" s="79">
        <f>100/(SUM(I1716:Z1716))</f>
        <v>1</v>
      </c>
      <c r="AC1716" s="259">
        <f>SUM(I1716:AA1716)</f>
        <v>100</v>
      </c>
      <c r="AD1716" s="78"/>
      <c r="AE1716" s="78"/>
      <c r="AF1716" s="78"/>
      <c r="AG1716" s="80"/>
      <c r="AH1716" s="81" t="s">
        <v>1573</v>
      </c>
      <c r="AI1716" s="81" t="s">
        <v>1574</v>
      </c>
      <c r="AJ1716" s="81" t="s">
        <v>1575</v>
      </c>
      <c r="AK1716" s="76"/>
      <c r="AL1716" s="80">
        <f>(B1716-DATE(1970,1,1))*86400</f>
        <v>1517875200</v>
      </c>
      <c r="AM1716" s="80">
        <f>(C1716-DATE(1970,1,1))*86400</f>
        <v>1518480000</v>
      </c>
      <c r="AN1716" s="80">
        <f>AVERAGE(AL1716:AM1716)</f>
        <v>1518177600</v>
      </c>
    </row>
    <row r="1717" spans="1:40" ht="15.75" customHeight="1" x14ac:dyDescent="0.2">
      <c r="A1717" s="302" t="s">
        <v>123</v>
      </c>
      <c r="B1717" s="254">
        <v>43132</v>
      </c>
      <c r="C1717" s="254">
        <v>43143</v>
      </c>
      <c r="D1717" s="262" t="s">
        <v>2445</v>
      </c>
      <c r="E1717" s="322" t="s">
        <v>184</v>
      </c>
      <c r="F1717" s="121"/>
      <c r="G1717" s="262" t="s">
        <v>244</v>
      </c>
      <c r="H1717" s="379">
        <v>500</v>
      </c>
      <c r="I1717" s="123">
        <v>53</v>
      </c>
      <c r="J1717" s="123"/>
      <c r="K1717" s="123">
        <v>15</v>
      </c>
      <c r="L1717" s="123">
        <v>7</v>
      </c>
      <c r="M1717" s="123">
        <v>5</v>
      </c>
      <c r="N1717" s="123">
        <v>1</v>
      </c>
      <c r="O1717" s="123"/>
      <c r="P1717" s="123">
        <v>2</v>
      </c>
      <c r="Q1717" s="123"/>
      <c r="R1717" s="123">
        <v>17</v>
      </c>
      <c r="S1717" s="123"/>
      <c r="T1717" s="123"/>
      <c r="U1717" s="123"/>
      <c r="V1717" s="123"/>
      <c r="W1717" s="123"/>
      <c r="X1717" s="123"/>
      <c r="Y1717" s="123"/>
      <c r="Z1717" s="124">
        <v>0</v>
      </c>
      <c r="AA1717" s="123">
        <v>0</v>
      </c>
      <c r="AB1717" s="125">
        <f>100/(SUM(I1717:Z1717))</f>
        <v>1</v>
      </c>
      <c r="AC1717" s="259">
        <f>SUM(I1717:AA1717)</f>
        <v>100</v>
      </c>
      <c r="AD1717" s="123"/>
      <c r="AE1717" s="123"/>
      <c r="AF1717" s="123"/>
      <c r="AG1717" s="263" t="s">
        <v>719</v>
      </c>
      <c r="AH1717" s="253" t="s">
        <v>2013</v>
      </c>
      <c r="AI1717" s="253"/>
      <c r="AJ1717" s="127"/>
      <c r="AK1717" s="121" t="s">
        <v>2033</v>
      </c>
      <c r="AL1717" s="126">
        <f>(B1717-DATE(1970,1,1))*86400</f>
        <v>1517443200</v>
      </c>
      <c r="AM1717" s="126">
        <f>(C1717-DATE(1970,1,1))*86400</f>
        <v>1518393600</v>
      </c>
      <c r="AN1717" s="126">
        <f>AVERAGE(AL1717:AM1717)</f>
        <v>1517918400</v>
      </c>
    </row>
    <row r="1718" spans="1:40" ht="15.75" customHeight="1" x14ac:dyDescent="0.2">
      <c r="A1718" s="284" t="s">
        <v>133</v>
      </c>
      <c r="B1718" s="20">
        <v>43129</v>
      </c>
      <c r="C1718" s="20">
        <v>43131</v>
      </c>
      <c r="D1718" s="19" t="s">
        <v>134</v>
      </c>
      <c r="E1718" s="332" t="s">
        <v>184</v>
      </c>
      <c r="F1718" s="19"/>
      <c r="G1718" s="19" t="s">
        <v>135</v>
      </c>
      <c r="H1718" s="332">
        <v>1000</v>
      </c>
      <c r="I1718" s="21">
        <v>33</v>
      </c>
      <c r="J1718" s="21">
        <v>8</v>
      </c>
      <c r="K1718" s="21">
        <v>14</v>
      </c>
      <c r="L1718" s="21">
        <v>5</v>
      </c>
      <c r="M1718" s="21">
        <v>8</v>
      </c>
      <c r="N1718" s="21">
        <v>2</v>
      </c>
      <c r="O1718" s="21">
        <v>1</v>
      </c>
      <c r="P1718" s="21">
        <v>1</v>
      </c>
      <c r="Q1718" s="21"/>
      <c r="R1718" s="22"/>
      <c r="S1718" s="21"/>
      <c r="T1718" s="21"/>
      <c r="U1718" s="21"/>
      <c r="V1718" s="21"/>
      <c r="W1718" s="21"/>
      <c r="X1718" s="21"/>
      <c r="Y1718" s="21"/>
      <c r="Z1718" s="21">
        <v>10</v>
      </c>
      <c r="AA1718" s="21">
        <v>18</v>
      </c>
      <c r="AB1718" s="23">
        <f>100/(SUM(I1718:Z1718))</f>
        <v>1.2195121951219512</v>
      </c>
      <c r="AC1718" s="259">
        <f>SUM(I1718:AA1718)</f>
        <v>100</v>
      </c>
      <c r="AD1718" s="21"/>
      <c r="AE1718" s="21"/>
      <c r="AF1718" s="21"/>
      <c r="AG1718" s="25"/>
      <c r="AH1718" s="83"/>
      <c r="AI1718" s="393" t="s">
        <v>2163</v>
      </c>
      <c r="AJ1718" s="393" t="s">
        <v>2164</v>
      </c>
      <c r="AK1718" s="19"/>
      <c r="AL1718" s="25">
        <f>(B1718-DATE(1970,1,1))*86400</f>
        <v>1517184000</v>
      </c>
      <c r="AM1718" s="25">
        <f>(C1718-DATE(1970,1,1))*86400</f>
        <v>1517356800</v>
      </c>
      <c r="AN1718" s="25">
        <f>AVERAGE(AL1718:AM1718)</f>
        <v>1517270400</v>
      </c>
    </row>
    <row r="1719" spans="1:40" ht="15.75" customHeight="1" x14ac:dyDescent="0.2">
      <c r="A1719" s="284" t="s">
        <v>123</v>
      </c>
      <c r="B1719" s="20">
        <v>43129</v>
      </c>
      <c r="C1719" s="20">
        <v>43131</v>
      </c>
      <c r="D1719" s="19" t="s">
        <v>134</v>
      </c>
      <c r="E1719" s="332" t="s">
        <v>184</v>
      </c>
      <c r="F1719" s="19"/>
      <c r="G1719" s="19" t="s">
        <v>135</v>
      </c>
      <c r="H1719" s="332">
        <v>1000</v>
      </c>
      <c r="I1719" s="21">
        <v>40</v>
      </c>
      <c r="J1719" s="21">
        <v>10</v>
      </c>
      <c r="K1719" s="21">
        <v>17</v>
      </c>
      <c r="L1719" s="21">
        <v>6</v>
      </c>
      <c r="M1719" s="21">
        <v>12</v>
      </c>
      <c r="N1719" s="21">
        <v>3</v>
      </c>
      <c r="O1719" s="21">
        <v>1</v>
      </c>
      <c r="P1719" s="21">
        <v>2</v>
      </c>
      <c r="Q1719" s="21"/>
      <c r="R1719" s="22"/>
      <c r="S1719" s="21"/>
      <c r="T1719" s="21"/>
      <c r="U1719" s="21"/>
      <c r="V1719" s="21"/>
      <c r="W1719" s="21"/>
      <c r="X1719" s="21"/>
      <c r="Y1719" s="21"/>
      <c r="Z1719" s="21">
        <v>9</v>
      </c>
      <c r="AA1719" s="21">
        <v>0</v>
      </c>
      <c r="AB1719" s="23">
        <f>100/(SUM(I1719:Z1719))</f>
        <v>1</v>
      </c>
      <c r="AC1719" s="259">
        <f>SUM(I1719:AA1719)</f>
        <v>100</v>
      </c>
      <c r="AD1719" s="21"/>
      <c r="AE1719" s="21"/>
      <c r="AF1719" s="21"/>
      <c r="AG1719" s="25"/>
      <c r="AH1719" s="83"/>
      <c r="AI1719" s="393" t="s">
        <v>2163</v>
      </c>
      <c r="AJ1719" s="691" t="s">
        <v>2164</v>
      </c>
      <c r="AK1719" s="19"/>
      <c r="AL1719" s="25">
        <f>(B1719-DATE(1970,1,1))*86400</f>
        <v>1517184000</v>
      </c>
      <c r="AM1719" s="25">
        <f>(C1719-DATE(1970,1,1))*86400</f>
        <v>1517356800</v>
      </c>
      <c r="AN1719" s="25">
        <f>AVERAGE(AL1719:AM1719)</f>
        <v>1517270400</v>
      </c>
    </row>
    <row r="1720" spans="1:40" ht="15.75" customHeight="1" x14ac:dyDescent="0.2">
      <c r="A1720" s="288" t="s">
        <v>133</v>
      </c>
      <c r="B1720" s="60">
        <v>43120</v>
      </c>
      <c r="C1720" s="60">
        <v>43130</v>
      </c>
      <c r="D1720" s="61" t="s">
        <v>168</v>
      </c>
      <c r="E1720" s="334" t="s">
        <v>184</v>
      </c>
      <c r="F1720" s="61"/>
      <c r="G1720" s="61" t="s">
        <v>149</v>
      </c>
      <c r="H1720" s="334">
        <v>1000</v>
      </c>
      <c r="I1720" s="63">
        <v>32</v>
      </c>
      <c r="J1720" s="63"/>
      <c r="K1720" s="63">
        <v>11</v>
      </c>
      <c r="L1720" s="63">
        <v>3</v>
      </c>
      <c r="M1720" s="63">
        <v>3</v>
      </c>
      <c r="N1720" s="63">
        <v>1</v>
      </c>
      <c r="O1720" s="63"/>
      <c r="P1720" s="63">
        <v>2</v>
      </c>
      <c r="Q1720" s="63"/>
      <c r="R1720" s="63">
        <v>8</v>
      </c>
      <c r="S1720" s="63"/>
      <c r="T1720" s="63"/>
      <c r="U1720" s="63"/>
      <c r="V1720" s="63"/>
      <c r="W1720" s="63"/>
      <c r="X1720" s="63"/>
      <c r="Y1720" s="63"/>
      <c r="Z1720" s="64">
        <v>2</v>
      </c>
      <c r="AA1720" s="63">
        <v>38</v>
      </c>
      <c r="AB1720" s="65">
        <f>100/(SUM(I1720:Z1720))</f>
        <v>1.6129032258064515</v>
      </c>
      <c r="AC1720" s="259">
        <f>SUM(I1720:AA1720)</f>
        <v>100</v>
      </c>
      <c r="AD1720" s="63"/>
      <c r="AE1720" s="63"/>
      <c r="AF1720" s="63"/>
      <c r="AG1720" s="66"/>
      <c r="AH1720" s="67" t="s">
        <v>1576</v>
      </c>
      <c r="AI1720" s="67" t="s">
        <v>1577</v>
      </c>
      <c r="AJ1720" s="690" t="s">
        <v>1578</v>
      </c>
      <c r="AK1720" s="61" t="s">
        <v>1579</v>
      </c>
      <c r="AL1720" s="66">
        <f>(B1720-DATE(1970,1,1))*86400</f>
        <v>1516406400</v>
      </c>
      <c r="AM1720" s="66">
        <f>(C1720-DATE(1970,1,1))*86400</f>
        <v>1517270400</v>
      </c>
      <c r="AN1720" s="66">
        <f>AVERAGE(AL1720:AM1720)</f>
        <v>1516838400</v>
      </c>
    </row>
    <row r="1721" spans="1:40" ht="15.75" customHeight="1" x14ac:dyDescent="0.2">
      <c r="A1721" s="288" t="s">
        <v>133</v>
      </c>
      <c r="B1721" s="60">
        <v>43120</v>
      </c>
      <c r="C1721" s="60">
        <v>43130</v>
      </c>
      <c r="D1721" s="61" t="s">
        <v>168</v>
      </c>
      <c r="E1721" s="334" t="s">
        <v>184</v>
      </c>
      <c r="F1721" s="61"/>
      <c r="G1721" s="61" t="s">
        <v>149</v>
      </c>
      <c r="H1721" s="334">
        <v>1000</v>
      </c>
      <c r="I1721" s="63">
        <v>53</v>
      </c>
      <c r="J1721" s="63"/>
      <c r="K1721" s="63">
        <v>18</v>
      </c>
      <c r="L1721" s="63">
        <v>4</v>
      </c>
      <c r="M1721" s="63">
        <v>5</v>
      </c>
      <c r="N1721" s="63">
        <v>2</v>
      </c>
      <c r="O1721" s="63"/>
      <c r="P1721" s="63">
        <v>3</v>
      </c>
      <c r="Q1721" s="63"/>
      <c r="R1721" s="63">
        <v>13</v>
      </c>
      <c r="S1721" s="63"/>
      <c r="T1721" s="63"/>
      <c r="U1721" s="63"/>
      <c r="V1721" s="63"/>
      <c r="W1721" s="63"/>
      <c r="X1721" s="63"/>
      <c r="Y1721" s="63"/>
      <c r="Z1721" s="64">
        <v>2</v>
      </c>
      <c r="AA1721" s="63">
        <v>0</v>
      </c>
      <c r="AB1721" s="65">
        <f>100/(SUM(I1721:Z1721))</f>
        <v>1</v>
      </c>
      <c r="AC1721" s="259">
        <f>SUM(I1721:AA1721)</f>
        <v>100</v>
      </c>
      <c r="AD1721" s="63"/>
      <c r="AE1721" s="63"/>
      <c r="AF1721" s="63"/>
      <c r="AG1721" s="66"/>
      <c r="AH1721" s="67" t="s">
        <v>1576</v>
      </c>
      <c r="AI1721" s="67" t="s">
        <v>1577</v>
      </c>
      <c r="AJ1721" s="690" t="s">
        <v>1578</v>
      </c>
      <c r="AK1721" s="61" t="s">
        <v>1579</v>
      </c>
      <c r="AL1721" s="66">
        <f>(B1721-DATE(1970,1,1))*86400</f>
        <v>1516406400</v>
      </c>
      <c r="AM1721" s="66">
        <f>(C1721-DATE(1970,1,1))*86400</f>
        <v>1517270400</v>
      </c>
      <c r="AN1721" s="66">
        <f>AVERAGE(AL1721:AM1721)</f>
        <v>1516838400</v>
      </c>
    </row>
    <row r="1722" spans="1:40" ht="15.75" customHeight="1" x14ac:dyDescent="0.2">
      <c r="A1722" s="449" t="s">
        <v>133</v>
      </c>
      <c r="B1722" s="460">
        <v>43119</v>
      </c>
      <c r="C1722" s="460">
        <v>43123</v>
      </c>
      <c r="D1722" s="451" t="s">
        <v>143</v>
      </c>
      <c r="E1722" s="452" t="s">
        <v>125</v>
      </c>
      <c r="F1722" s="451"/>
      <c r="G1722" s="451" t="s">
        <v>149</v>
      </c>
      <c r="H1722" s="454">
        <v>1200</v>
      </c>
      <c r="I1722" s="463">
        <v>37</v>
      </c>
      <c r="J1722" s="463"/>
      <c r="K1722" s="463">
        <v>13</v>
      </c>
      <c r="L1722" s="463">
        <v>5</v>
      </c>
      <c r="M1722" s="463">
        <v>6</v>
      </c>
      <c r="N1722" s="463">
        <v>1</v>
      </c>
      <c r="O1722" s="463"/>
      <c r="P1722" s="463">
        <v>1</v>
      </c>
      <c r="Q1722" s="463"/>
      <c r="R1722" s="455">
        <v>8</v>
      </c>
      <c r="S1722" s="463"/>
      <c r="T1722" s="463"/>
      <c r="U1722" s="463"/>
      <c r="V1722" s="463">
        <v>1</v>
      </c>
      <c r="W1722" s="463"/>
      <c r="X1722" s="463"/>
      <c r="Y1722" s="463"/>
      <c r="Z1722" s="463">
        <v>2</v>
      </c>
      <c r="AA1722" s="455">
        <v>26</v>
      </c>
      <c r="AB1722" s="457">
        <f>100/(SUM(I1722:Z1722))</f>
        <v>1.3513513513513513</v>
      </c>
      <c r="AC1722" s="432">
        <f>SUM(I1722:AA1722)</f>
        <v>100</v>
      </c>
      <c r="AD1722" s="455"/>
      <c r="AE1722" s="455"/>
      <c r="AF1722" s="455"/>
      <c r="AG1722" s="459"/>
      <c r="AH1722" s="458" t="s">
        <v>1580</v>
      </c>
      <c r="AI1722" s="458"/>
      <c r="AJ1722" s="451"/>
      <c r="AK1722" s="451" t="s">
        <v>1582</v>
      </c>
      <c r="AL1722" s="459">
        <f>(B1722-DATE(1970,1,1))*86400</f>
        <v>1516320000</v>
      </c>
      <c r="AM1722" s="459">
        <f>(C1722-DATE(1970,1,1))*86400</f>
        <v>1516665600</v>
      </c>
      <c r="AN1722" s="459">
        <f>AVERAGE(AL1722:AM1722)</f>
        <v>1516492800</v>
      </c>
    </row>
    <row r="1723" spans="1:40" ht="15.75" customHeight="1" x14ac:dyDescent="0.2">
      <c r="A1723" s="449" t="s">
        <v>133</v>
      </c>
      <c r="B1723" s="460">
        <v>43119</v>
      </c>
      <c r="C1723" s="460">
        <v>43123</v>
      </c>
      <c r="D1723" s="451" t="s">
        <v>143</v>
      </c>
      <c r="E1723" s="452" t="s">
        <v>125</v>
      </c>
      <c r="F1723" s="451"/>
      <c r="G1723" s="451" t="s">
        <v>149</v>
      </c>
      <c r="H1723" s="454">
        <v>1200</v>
      </c>
      <c r="I1723" s="463">
        <v>50</v>
      </c>
      <c r="J1723" s="463"/>
      <c r="K1723" s="463">
        <v>17</v>
      </c>
      <c r="L1723" s="463">
        <v>7</v>
      </c>
      <c r="M1723" s="463">
        <v>8</v>
      </c>
      <c r="N1723" s="463">
        <v>2</v>
      </c>
      <c r="O1723" s="463"/>
      <c r="P1723" s="463">
        <v>1</v>
      </c>
      <c r="Q1723" s="463"/>
      <c r="R1723" s="455">
        <v>11</v>
      </c>
      <c r="S1723" s="463"/>
      <c r="T1723" s="463"/>
      <c r="U1723" s="463"/>
      <c r="V1723" s="463">
        <v>1</v>
      </c>
      <c r="W1723" s="463"/>
      <c r="X1723" s="463"/>
      <c r="Y1723" s="463"/>
      <c r="Z1723" s="463">
        <v>3</v>
      </c>
      <c r="AA1723" s="455">
        <v>0</v>
      </c>
      <c r="AB1723" s="457">
        <f>100/(SUM(I1723:Z1723))</f>
        <v>1</v>
      </c>
      <c r="AC1723" s="432">
        <f>SUM(I1723:AA1723)</f>
        <v>100</v>
      </c>
      <c r="AD1723" s="455"/>
      <c r="AE1723" s="455"/>
      <c r="AF1723" s="455"/>
      <c r="AG1723" s="459"/>
      <c r="AH1723" s="458" t="s">
        <v>1580</v>
      </c>
      <c r="AI1723" s="458"/>
      <c r="AJ1723" s="451"/>
      <c r="AK1723" s="451" t="s">
        <v>1581</v>
      </c>
      <c r="AL1723" s="459">
        <f>(B1723-DATE(1970,1,1))*86400</f>
        <v>1516320000</v>
      </c>
      <c r="AM1723" s="459">
        <f>(C1723-DATE(1970,1,1))*86400</f>
        <v>1516665600</v>
      </c>
      <c r="AN1723" s="459">
        <f>AVERAGE(AL1723:AM1723)</f>
        <v>1516492800</v>
      </c>
    </row>
    <row r="1724" spans="1:40" ht="15.75" customHeight="1" x14ac:dyDescent="0.2">
      <c r="A1724" s="449" t="s">
        <v>123</v>
      </c>
      <c r="B1724" s="460">
        <v>43119</v>
      </c>
      <c r="C1724" s="460">
        <v>43123</v>
      </c>
      <c r="D1724" s="451" t="s">
        <v>143</v>
      </c>
      <c r="E1724" s="452" t="s">
        <v>125</v>
      </c>
      <c r="F1724" s="451"/>
      <c r="G1724" s="451" t="s">
        <v>149</v>
      </c>
      <c r="H1724" s="454">
        <v>1200</v>
      </c>
      <c r="I1724" s="463">
        <v>46</v>
      </c>
      <c r="J1724" s="463"/>
      <c r="K1724" s="463">
        <v>15</v>
      </c>
      <c r="L1724" s="463">
        <v>5</v>
      </c>
      <c r="M1724" s="463">
        <v>8</v>
      </c>
      <c r="N1724" s="463">
        <v>1</v>
      </c>
      <c r="O1724" s="463"/>
      <c r="P1724" s="463">
        <v>1</v>
      </c>
      <c r="Q1724" s="463"/>
      <c r="R1724" s="455">
        <v>10</v>
      </c>
      <c r="S1724" s="463"/>
      <c r="T1724" s="463"/>
      <c r="U1724" s="463"/>
      <c r="V1724" s="463">
        <v>0</v>
      </c>
      <c r="W1724" s="463"/>
      <c r="X1724" s="463"/>
      <c r="Y1724" s="463"/>
      <c r="Z1724" s="463">
        <v>1</v>
      </c>
      <c r="AA1724" s="455">
        <v>13</v>
      </c>
      <c r="AB1724" s="457">
        <f>100/(SUM(I1724:Z1724))</f>
        <v>1.1494252873563218</v>
      </c>
      <c r="AC1724" s="432">
        <f>SUM(I1724:AA1724)</f>
        <v>100</v>
      </c>
      <c r="AD1724" s="455"/>
      <c r="AE1724" s="455"/>
      <c r="AF1724" s="455"/>
      <c r="AG1724" s="459"/>
      <c r="AH1724" s="458" t="s">
        <v>1580</v>
      </c>
      <c r="AI1724" s="458"/>
      <c r="AJ1724" s="451"/>
      <c r="AK1724" s="451" t="s">
        <v>1583</v>
      </c>
      <c r="AL1724" s="459">
        <f>(B1724-DATE(1970,1,1))*86400</f>
        <v>1516320000</v>
      </c>
      <c r="AM1724" s="459">
        <f>(C1724-DATE(1970,1,1))*86400</f>
        <v>1516665600</v>
      </c>
      <c r="AN1724" s="459">
        <f>AVERAGE(AL1724:AM1724)</f>
        <v>1516492800</v>
      </c>
    </row>
    <row r="1725" spans="1:40" ht="15.75" customHeight="1" x14ac:dyDescent="0.2">
      <c r="A1725" s="449" t="s">
        <v>123</v>
      </c>
      <c r="B1725" s="460">
        <v>43119</v>
      </c>
      <c r="C1725" s="460">
        <v>43123</v>
      </c>
      <c r="D1725" s="451" t="s">
        <v>143</v>
      </c>
      <c r="E1725" s="452" t="s">
        <v>125</v>
      </c>
      <c r="F1725" s="451"/>
      <c r="G1725" s="451" t="s">
        <v>149</v>
      </c>
      <c r="H1725" s="454">
        <v>1200</v>
      </c>
      <c r="I1725" s="463">
        <v>53</v>
      </c>
      <c r="J1725" s="463"/>
      <c r="K1725" s="463">
        <v>18</v>
      </c>
      <c r="L1725" s="463">
        <v>6</v>
      </c>
      <c r="M1725" s="463">
        <v>9</v>
      </c>
      <c r="N1725" s="463">
        <v>1</v>
      </c>
      <c r="O1725" s="463"/>
      <c r="P1725" s="463">
        <v>1</v>
      </c>
      <c r="Q1725" s="463"/>
      <c r="R1725" s="455">
        <v>11</v>
      </c>
      <c r="S1725" s="463"/>
      <c r="T1725" s="463"/>
      <c r="U1725" s="463"/>
      <c r="V1725" s="463">
        <v>0</v>
      </c>
      <c r="W1725" s="463"/>
      <c r="X1725" s="463"/>
      <c r="Y1725" s="463"/>
      <c r="Z1725" s="463">
        <v>1</v>
      </c>
      <c r="AA1725" s="455">
        <v>0</v>
      </c>
      <c r="AB1725" s="457">
        <f>100/(SUM(I1725:Z1725))</f>
        <v>1</v>
      </c>
      <c r="AC1725" s="432">
        <f>SUM(I1725:AA1725)</f>
        <v>100</v>
      </c>
      <c r="AD1725" s="455"/>
      <c r="AE1725" s="455"/>
      <c r="AF1725" s="455"/>
      <c r="AG1725" s="459"/>
      <c r="AH1725" s="458" t="s">
        <v>1580</v>
      </c>
      <c r="AI1725" s="458"/>
      <c r="AJ1725" s="451"/>
      <c r="AK1725" s="451" t="s">
        <v>1583</v>
      </c>
      <c r="AL1725" s="459">
        <f>(B1725-DATE(1970,1,1))*86400</f>
        <v>1516320000</v>
      </c>
      <c r="AM1725" s="459">
        <f>(C1725-DATE(1970,1,1))*86400</f>
        <v>1516665600</v>
      </c>
      <c r="AN1725" s="459">
        <f>AVERAGE(AL1725:AM1725)</f>
        <v>1516492800</v>
      </c>
    </row>
    <row r="1726" spans="1:40" ht="15.75" customHeight="1" x14ac:dyDescent="0.2">
      <c r="A1726" s="280" t="s">
        <v>133</v>
      </c>
      <c r="B1726" s="169">
        <v>43117</v>
      </c>
      <c r="C1726" s="169">
        <v>43124</v>
      </c>
      <c r="D1726" s="76" t="s">
        <v>200</v>
      </c>
      <c r="E1726" s="320">
        <v>1</v>
      </c>
      <c r="F1726" s="76"/>
      <c r="G1726" s="76" t="s">
        <v>126</v>
      </c>
      <c r="H1726" s="383">
        <v>1000</v>
      </c>
      <c r="I1726" s="78">
        <v>35</v>
      </c>
      <c r="J1726" s="78"/>
      <c r="K1726" s="78">
        <v>10</v>
      </c>
      <c r="L1726" s="78">
        <v>7</v>
      </c>
      <c r="M1726" s="78">
        <v>5</v>
      </c>
      <c r="N1726" s="78">
        <v>1</v>
      </c>
      <c r="O1726" s="78"/>
      <c r="P1726" s="78"/>
      <c r="Q1726" s="78"/>
      <c r="R1726" s="78">
        <v>8</v>
      </c>
      <c r="S1726" s="78"/>
      <c r="T1726" s="78"/>
      <c r="U1726" s="78"/>
      <c r="V1726" s="78"/>
      <c r="W1726" s="78"/>
      <c r="X1726" s="78"/>
      <c r="Y1726" s="78"/>
      <c r="Z1726" s="78">
        <v>5</v>
      </c>
      <c r="AA1726" s="78">
        <v>29</v>
      </c>
      <c r="AB1726" s="79">
        <f>100/(SUM(I1726:Z1726))</f>
        <v>1.408450704225352</v>
      </c>
      <c r="AC1726" s="259">
        <f>SUM(I1726:AA1726)</f>
        <v>100</v>
      </c>
      <c r="AD1726" s="78"/>
      <c r="AE1726" s="78"/>
      <c r="AF1726" s="78"/>
      <c r="AG1726" s="80"/>
      <c r="AH1726" s="81" t="s">
        <v>1584</v>
      </c>
      <c r="AI1726" s="81" t="s">
        <v>1585</v>
      </c>
      <c r="AJ1726" s="76"/>
      <c r="AK1726" s="76"/>
      <c r="AL1726" s="80">
        <f>(B1726-DATE(1970,1,1))*86400</f>
        <v>1516147200</v>
      </c>
      <c r="AM1726" s="80">
        <f>(C1726-DATE(1970,1,1))*86400</f>
        <v>1516752000</v>
      </c>
      <c r="AN1726" s="80">
        <f>AVERAGE(AL1726:AM1726)</f>
        <v>1516449600</v>
      </c>
    </row>
    <row r="1727" spans="1:40" ht="15.75" customHeight="1" x14ac:dyDescent="0.2">
      <c r="A1727" s="280" t="s">
        <v>123</v>
      </c>
      <c r="B1727" s="169">
        <v>43117</v>
      </c>
      <c r="C1727" s="169">
        <v>43124</v>
      </c>
      <c r="D1727" s="76" t="s">
        <v>200</v>
      </c>
      <c r="E1727" s="320">
        <v>1</v>
      </c>
      <c r="F1727" s="76"/>
      <c r="G1727" s="76" t="s">
        <v>126</v>
      </c>
      <c r="H1727" s="383">
        <v>1000</v>
      </c>
      <c r="I1727" s="78">
        <v>51</v>
      </c>
      <c r="J1727" s="78"/>
      <c r="K1727" s="78">
        <v>16</v>
      </c>
      <c r="L1727" s="78">
        <v>8</v>
      </c>
      <c r="M1727" s="78">
        <v>6</v>
      </c>
      <c r="N1727" s="78">
        <v>1</v>
      </c>
      <c r="O1727" s="78"/>
      <c r="P1727" s="78"/>
      <c r="Q1727" s="78"/>
      <c r="R1727" s="78">
        <v>13</v>
      </c>
      <c r="S1727" s="78"/>
      <c r="T1727" s="78"/>
      <c r="U1727" s="78"/>
      <c r="V1727" s="78"/>
      <c r="W1727" s="78"/>
      <c r="X1727" s="78"/>
      <c r="Y1727" s="78"/>
      <c r="Z1727" s="78">
        <v>5</v>
      </c>
      <c r="AA1727" s="78">
        <v>0</v>
      </c>
      <c r="AB1727" s="79">
        <f>100/(SUM(I1727:Z1727))</f>
        <v>1</v>
      </c>
      <c r="AC1727" s="259">
        <f>SUM(I1727:AA1727)</f>
        <v>100</v>
      </c>
      <c r="AD1727" s="78"/>
      <c r="AE1727" s="78"/>
      <c r="AF1727" s="78"/>
      <c r="AG1727" s="80"/>
      <c r="AH1727" s="81" t="s">
        <v>1584</v>
      </c>
      <c r="AI1727" s="81" t="s">
        <v>1585</v>
      </c>
      <c r="AJ1727" s="76"/>
      <c r="AK1727" s="76"/>
      <c r="AL1727" s="80">
        <f>(B1727-DATE(1970,1,1))*86400</f>
        <v>1516147200</v>
      </c>
      <c r="AM1727" s="80">
        <f>(C1727-DATE(1970,1,1))*86400</f>
        <v>1516752000</v>
      </c>
      <c r="AN1727" s="80">
        <f>AVERAGE(AL1727:AM1727)</f>
        <v>1516449600</v>
      </c>
    </row>
    <row r="1728" spans="1:40" ht="15.75" customHeight="1" x14ac:dyDescent="0.2">
      <c r="A1728" s="312" t="s">
        <v>133</v>
      </c>
      <c r="B1728" s="178">
        <v>43111</v>
      </c>
      <c r="C1728" s="178">
        <v>43123</v>
      </c>
      <c r="D1728" s="177" t="s">
        <v>1586</v>
      </c>
      <c r="E1728" s="321">
        <v>1</v>
      </c>
      <c r="F1728" s="177"/>
      <c r="G1728" s="177" t="s">
        <v>149</v>
      </c>
      <c r="H1728" s="321">
        <v>1012</v>
      </c>
      <c r="I1728" s="179">
        <v>46</v>
      </c>
      <c r="J1728" s="179">
        <v>5</v>
      </c>
      <c r="K1728" s="179">
        <v>11</v>
      </c>
      <c r="L1728" s="179">
        <v>4</v>
      </c>
      <c r="M1728" s="179">
        <v>5</v>
      </c>
      <c r="N1728" s="179">
        <v>1</v>
      </c>
      <c r="O1728" s="179">
        <v>2</v>
      </c>
      <c r="P1728" s="179">
        <v>1</v>
      </c>
      <c r="Q1728" s="179"/>
      <c r="R1728" s="180"/>
      <c r="S1728" s="179"/>
      <c r="T1728" s="179"/>
      <c r="U1728" s="179"/>
      <c r="V1728" s="179"/>
      <c r="W1728" s="179"/>
      <c r="X1728" s="179"/>
      <c r="Y1728" s="179"/>
      <c r="Z1728" s="179">
        <v>0</v>
      </c>
      <c r="AA1728" s="179">
        <v>26</v>
      </c>
      <c r="AB1728" s="181">
        <f>100/(SUM(I1728:Z1728))</f>
        <v>1.3333333333333333</v>
      </c>
      <c r="AC1728" s="259">
        <f>SUM(I1728:AA1728)</f>
        <v>101</v>
      </c>
      <c r="AD1728" s="179">
        <v>53</v>
      </c>
      <c r="AE1728" s="179"/>
      <c r="AF1728" s="179"/>
      <c r="AG1728" s="182"/>
      <c r="AH1728" s="549" t="s">
        <v>1587</v>
      </c>
      <c r="AI1728" s="183" t="s">
        <v>1588</v>
      </c>
      <c r="AJ1728" s="402" t="s">
        <v>2177</v>
      </c>
      <c r="AK1728" s="177" t="s">
        <v>1590</v>
      </c>
      <c r="AL1728" s="182">
        <f>(B1728-DATE(1970,1,1))*86400</f>
        <v>1515628800</v>
      </c>
      <c r="AM1728" s="182">
        <f>(C1728-DATE(1970,1,1))*86400</f>
        <v>1516665600</v>
      </c>
      <c r="AN1728" s="182">
        <f>AVERAGE(AL1728:AM1728)</f>
        <v>1516147200</v>
      </c>
    </row>
    <row r="1729" spans="1:65" ht="15.75" customHeight="1" x14ac:dyDescent="0.2">
      <c r="A1729" s="312" t="s">
        <v>133</v>
      </c>
      <c r="B1729" s="178">
        <v>43111</v>
      </c>
      <c r="C1729" s="178">
        <v>43123</v>
      </c>
      <c r="D1729" s="177" t="s">
        <v>1586</v>
      </c>
      <c r="E1729" s="321">
        <v>1</v>
      </c>
      <c r="F1729" s="177"/>
      <c r="G1729" s="177" t="s">
        <v>149</v>
      </c>
      <c r="H1729" s="321">
        <v>1012</v>
      </c>
      <c r="I1729" s="179">
        <v>62</v>
      </c>
      <c r="J1729" s="179">
        <v>7</v>
      </c>
      <c r="K1729" s="179">
        <v>14</v>
      </c>
      <c r="L1729" s="179">
        <v>5</v>
      </c>
      <c r="M1729" s="179">
        <v>6</v>
      </c>
      <c r="N1729" s="179">
        <v>2</v>
      </c>
      <c r="O1729" s="179">
        <v>2</v>
      </c>
      <c r="P1729" s="179">
        <v>1</v>
      </c>
      <c r="Q1729" s="179"/>
      <c r="R1729" s="180" t="s">
        <v>355</v>
      </c>
      <c r="S1729" s="179"/>
      <c r="T1729" s="179"/>
      <c r="U1729" s="179"/>
      <c r="V1729" s="179"/>
      <c r="W1729" s="179"/>
      <c r="X1729" s="179"/>
      <c r="Y1729" s="179"/>
      <c r="Z1729" s="179">
        <v>0</v>
      </c>
      <c r="AA1729" s="179">
        <v>0</v>
      </c>
      <c r="AB1729" s="181">
        <f>100/(SUM(I1729:Z1729))</f>
        <v>1.0101010101010102</v>
      </c>
      <c r="AC1729" s="259">
        <f>SUM(I1729:AA1729)</f>
        <v>99</v>
      </c>
      <c r="AD1729" s="179"/>
      <c r="AE1729" s="179"/>
      <c r="AF1729" s="179"/>
      <c r="AG1729" s="182"/>
      <c r="AH1729" s="183" t="s">
        <v>2441</v>
      </c>
      <c r="AI1729" s="183" t="s">
        <v>1588</v>
      </c>
      <c r="AJ1729" s="402" t="s">
        <v>2176</v>
      </c>
      <c r="AK1729" s="177" t="s">
        <v>1589</v>
      </c>
      <c r="AL1729" s="182">
        <f>(B1729-DATE(1970,1,1))*86400</f>
        <v>1515628800</v>
      </c>
      <c r="AM1729" s="182">
        <f>(C1729-DATE(1970,1,1))*86400</f>
        <v>1516665600</v>
      </c>
      <c r="AN1729" s="182">
        <f>AVERAGE(AL1729:AM1729)</f>
        <v>1516147200</v>
      </c>
    </row>
    <row r="1730" spans="1:65" ht="15.75" customHeight="1" x14ac:dyDescent="0.2">
      <c r="A1730" s="312" t="s">
        <v>123</v>
      </c>
      <c r="B1730" s="178">
        <v>43111</v>
      </c>
      <c r="C1730" s="178">
        <v>43123</v>
      </c>
      <c r="D1730" s="177" t="s">
        <v>1586</v>
      </c>
      <c r="E1730" s="321">
        <v>1</v>
      </c>
      <c r="F1730" s="177"/>
      <c r="G1730" s="177" t="s">
        <v>149</v>
      </c>
      <c r="H1730" s="321">
        <v>1012</v>
      </c>
      <c r="I1730" s="179">
        <v>63</v>
      </c>
      <c r="J1730" s="179">
        <v>6</v>
      </c>
      <c r="K1730" s="179">
        <v>16</v>
      </c>
      <c r="L1730" s="179">
        <v>3</v>
      </c>
      <c r="M1730" s="179">
        <v>7</v>
      </c>
      <c r="N1730" s="179">
        <v>0</v>
      </c>
      <c r="O1730" s="179">
        <v>3</v>
      </c>
      <c r="P1730" s="179">
        <v>1</v>
      </c>
      <c r="Q1730" s="179"/>
      <c r="R1730" s="180"/>
      <c r="S1730" s="179"/>
      <c r="T1730" s="179"/>
      <c r="U1730" s="179"/>
      <c r="V1730" s="179"/>
      <c r="W1730" s="179"/>
      <c r="X1730" s="179"/>
      <c r="Y1730" s="179"/>
      <c r="Z1730" s="179">
        <v>0</v>
      </c>
      <c r="AA1730" s="179">
        <v>0</v>
      </c>
      <c r="AB1730" s="181">
        <f>100/(SUM(I1730:Z1730))</f>
        <v>1.0101010101010102</v>
      </c>
      <c r="AC1730" s="259">
        <f>SUM(I1730:AA1730)</f>
        <v>99</v>
      </c>
      <c r="AD1730" s="179"/>
      <c r="AE1730" s="179"/>
      <c r="AF1730" s="179"/>
      <c r="AG1730" s="182"/>
      <c r="AH1730" s="183" t="s">
        <v>2441</v>
      </c>
      <c r="AI1730" s="183" t="s">
        <v>1588</v>
      </c>
      <c r="AJ1730" s="530" t="s">
        <v>2175</v>
      </c>
      <c r="AK1730" s="177" t="s">
        <v>1589</v>
      </c>
      <c r="AL1730" s="182">
        <f>(B1730-DATE(1970,1,1))*86400</f>
        <v>1515628800</v>
      </c>
      <c r="AM1730" s="182">
        <f>(C1730-DATE(1970,1,1))*86400</f>
        <v>1516665600</v>
      </c>
      <c r="AN1730" s="182">
        <f>AVERAGE(AL1730:AM1730)</f>
        <v>1516147200</v>
      </c>
    </row>
    <row r="1731" spans="1:65" ht="15.75" customHeight="1" x14ac:dyDescent="0.2">
      <c r="A1731" s="302" t="s">
        <v>123</v>
      </c>
      <c r="B1731" s="254">
        <v>43101</v>
      </c>
      <c r="C1731" s="254">
        <v>43131</v>
      </c>
      <c r="D1731" s="262" t="s">
        <v>2445</v>
      </c>
      <c r="E1731" s="322">
        <v>0</v>
      </c>
      <c r="F1731" s="121"/>
      <c r="G1731" s="262" t="s">
        <v>244</v>
      </c>
      <c r="H1731" s="379">
        <v>500</v>
      </c>
      <c r="I1731" s="123">
        <v>55</v>
      </c>
      <c r="J1731" s="123"/>
      <c r="K1731" s="123">
        <v>16</v>
      </c>
      <c r="L1731" s="123">
        <v>5</v>
      </c>
      <c r="M1731" s="123">
        <v>7</v>
      </c>
      <c r="N1731" s="123">
        <v>1</v>
      </c>
      <c r="O1731" s="123"/>
      <c r="P1731" s="123">
        <v>2</v>
      </c>
      <c r="Q1731" s="123"/>
      <c r="R1731" s="123">
        <v>11</v>
      </c>
      <c r="S1731" s="123"/>
      <c r="T1731" s="123"/>
      <c r="U1731" s="123"/>
      <c r="V1731" s="123"/>
      <c r="W1731" s="123"/>
      <c r="X1731" s="123"/>
      <c r="Y1731" s="123"/>
      <c r="Z1731" s="124">
        <v>3</v>
      </c>
      <c r="AA1731" s="123">
        <v>0</v>
      </c>
      <c r="AB1731" s="125">
        <f>100/(SUM(I1731:Z1731))</f>
        <v>1</v>
      </c>
      <c r="AC1731" s="259">
        <f>SUM(I1731:AA1731)</f>
        <v>100</v>
      </c>
      <c r="AD1731" s="123"/>
      <c r="AE1731" s="123"/>
      <c r="AF1731" s="123"/>
      <c r="AG1731" s="263" t="s">
        <v>719</v>
      </c>
      <c r="AH1731" s="253" t="s">
        <v>2013</v>
      </c>
      <c r="AI1731" s="253"/>
      <c r="AJ1731" s="127"/>
      <c r="AK1731" s="121" t="s">
        <v>2033</v>
      </c>
      <c r="AL1731" s="126">
        <f>(B1731-DATE(1970,1,1))*86400</f>
        <v>1514764800</v>
      </c>
      <c r="AM1731" s="126">
        <f>(C1731-DATE(1970,1,1))*86400</f>
        <v>1517356800</v>
      </c>
      <c r="AN1731" s="126">
        <f>AVERAGE(AL1731:AM1731)</f>
        <v>1516060800</v>
      </c>
    </row>
    <row r="1732" spans="1:65" s="275" customFormat="1" ht="15.75" customHeight="1" x14ac:dyDescent="0.2">
      <c r="A1732" s="281" t="s">
        <v>133</v>
      </c>
      <c r="B1732" s="167">
        <v>43110</v>
      </c>
      <c r="C1732" s="167">
        <v>43116</v>
      </c>
      <c r="D1732" s="53" t="s">
        <v>154</v>
      </c>
      <c r="E1732" s="323">
        <v>0</v>
      </c>
      <c r="F1732" s="53"/>
      <c r="G1732" s="53" t="s">
        <v>126</v>
      </c>
      <c r="H1732" s="384">
        <v>1023</v>
      </c>
      <c r="I1732" s="55">
        <v>26</v>
      </c>
      <c r="J1732" s="55"/>
      <c r="K1732" s="55">
        <v>11</v>
      </c>
      <c r="L1732" s="55">
        <v>5</v>
      </c>
      <c r="M1732" s="55">
        <v>3</v>
      </c>
      <c r="N1732" s="55">
        <v>1</v>
      </c>
      <c r="O1732" s="55"/>
      <c r="P1732" s="55">
        <v>0</v>
      </c>
      <c r="Q1732" s="55"/>
      <c r="R1732" s="55">
        <v>11</v>
      </c>
      <c r="S1732" s="55"/>
      <c r="T1732" s="55"/>
      <c r="U1732" s="55"/>
      <c r="V1732" s="55">
        <v>1</v>
      </c>
      <c r="W1732" s="55"/>
      <c r="X1732" s="55"/>
      <c r="Y1732" s="55"/>
      <c r="Z1732" s="55">
        <v>1</v>
      </c>
      <c r="AA1732" s="55">
        <v>41</v>
      </c>
      <c r="AB1732" s="57">
        <f>100/(SUM(I1732:Z1732))</f>
        <v>1.6949152542372881</v>
      </c>
      <c r="AC1732" s="259">
        <f>SUM(I1732:AA1732)</f>
        <v>100</v>
      </c>
      <c r="AD1732" s="55"/>
      <c r="AE1732" s="55"/>
      <c r="AF1732" s="55"/>
      <c r="AG1732" s="58"/>
      <c r="AH1732" s="59" t="s">
        <v>1591</v>
      </c>
      <c r="AI1732" s="59" t="s">
        <v>1592</v>
      </c>
      <c r="AJ1732" s="59" t="s">
        <v>1593</v>
      </c>
      <c r="AK1732" s="53"/>
      <c r="AL1732" s="58">
        <f>(B1732-DATE(1970,1,1))*86400</f>
        <v>1515542400</v>
      </c>
      <c r="AM1732" s="58">
        <f>(C1732-DATE(1970,1,1))*86400</f>
        <v>1516060800</v>
      </c>
      <c r="AN1732" s="58">
        <f>AVERAGE(AL1732:AM1732)</f>
        <v>1515801600</v>
      </c>
      <c r="AO1732" s="274"/>
      <c r="AP1732" s="274"/>
      <c r="AQ1732" s="274"/>
      <c r="AR1732" s="274"/>
      <c r="AS1732" s="274"/>
      <c r="AT1732" s="274"/>
      <c r="AU1732" s="274"/>
      <c r="AV1732" s="274"/>
      <c r="AW1732" s="274"/>
      <c r="AX1732" s="274"/>
      <c r="AY1732" s="274"/>
      <c r="AZ1732" s="274"/>
      <c r="BA1732" s="274"/>
      <c r="BB1732" s="274"/>
      <c r="BC1732" s="274"/>
      <c r="BD1732" s="274"/>
      <c r="BE1732" s="274"/>
      <c r="BF1732" s="274"/>
      <c r="BG1732" s="274"/>
      <c r="BH1732" s="274"/>
      <c r="BI1732" s="274"/>
      <c r="BJ1732" s="274"/>
      <c r="BK1732" s="274"/>
      <c r="BL1732" s="274"/>
      <c r="BM1732" s="274"/>
    </row>
    <row r="1733" spans="1:65" s="275" customFormat="1" ht="15.75" customHeight="1" x14ac:dyDescent="0.2">
      <c r="A1733" s="281" t="s">
        <v>123</v>
      </c>
      <c r="B1733" s="167">
        <v>43110</v>
      </c>
      <c r="C1733" s="167">
        <v>43116</v>
      </c>
      <c r="D1733" s="53" t="s">
        <v>154</v>
      </c>
      <c r="E1733" s="323">
        <v>0</v>
      </c>
      <c r="F1733" s="53"/>
      <c r="G1733" s="53" t="s">
        <v>126</v>
      </c>
      <c r="H1733" s="384">
        <v>1023</v>
      </c>
      <c r="I1733" s="55">
        <v>35</v>
      </c>
      <c r="J1733" s="55"/>
      <c r="K1733" s="55">
        <v>14</v>
      </c>
      <c r="L1733" s="55">
        <v>6</v>
      </c>
      <c r="M1733" s="55">
        <v>3</v>
      </c>
      <c r="N1733" s="55">
        <v>1</v>
      </c>
      <c r="O1733" s="55"/>
      <c r="P1733" s="55">
        <v>0</v>
      </c>
      <c r="Q1733" s="55"/>
      <c r="R1733" s="55">
        <v>15</v>
      </c>
      <c r="S1733" s="55"/>
      <c r="T1733" s="55"/>
      <c r="U1733" s="55"/>
      <c r="V1733" s="55">
        <v>1</v>
      </c>
      <c r="W1733" s="55"/>
      <c r="X1733" s="55"/>
      <c r="Y1733" s="55"/>
      <c r="Z1733" s="55">
        <v>2</v>
      </c>
      <c r="AA1733" s="55">
        <v>23</v>
      </c>
      <c r="AB1733" s="57">
        <f>100/(SUM(I1733:Z1733))</f>
        <v>1.2987012987012987</v>
      </c>
      <c r="AC1733" s="259">
        <f>SUM(I1733:AA1733)</f>
        <v>100</v>
      </c>
      <c r="AD1733" s="55"/>
      <c r="AE1733" s="55"/>
      <c r="AF1733" s="55"/>
      <c r="AG1733" s="58"/>
      <c r="AH1733" s="59" t="s">
        <v>1591</v>
      </c>
      <c r="AI1733" s="59" t="s">
        <v>1592</v>
      </c>
      <c r="AJ1733" s="53"/>
      <c r="AK1733" s="53"/>
      <c r="AL1733" s="58">
        <f>(B1733-DATE(1970,1,1))*86400</f>
        <v>1515542400</v>
      </c>
      <c r="AM1733" s="58">
        <f>(C1733-DATE(1970,1,1))*86400</f>
        <v>1516060800</v>
      </c>
      <c r="AN1733" s="58">
        <f>AVERAGE(AL1733:AM1733)</f>
        <v>1515801600</v>
      </c>
      <c r="AO1733" s="274"/>
      <c r="AP1733" s="274"/>
      <c r="AQ1733" s="274"/>
      <c r="AR1733" s="274"/>
      <c r="AS1733" s="274"/>
      <c r="AT1733" s="274"/>
      <c r="AU1733" s="274"/>
      <c r="AV1733" s="274"/>
      <c r="AW1733" s="274"/>
      <c r="AX1733" s="274"/>
      <c r="AY1733" s="274"/>
      <c r="AZ1733" s="274"/>
      <c r="BA1733" s="274"/>
      <c r="BB1733" s="274"/>
      <c r="BC1733" s="274"/>
      <c r="BD1733" s="274"/>
      <c r="BE1733" s="274"/>
      <c r="BF1733" s="274"/>
      <c r="BG1733" s="274"/>
      <c r="BH1733" s="274"/>
      <c r="BI1733" s="274"/>
      <c r="BJ1733" s="274"/>
      <c r="BK1733" s="274"/>
      <c r="BL1733" s="274"/>
      <c r="BM1733" s="274"/>
    </row>
    <row r="1734" spans="1:65" s="275" customFormat="1" ht="15" customHeight="1" x14ac:dyDescent="0.2">
      <c r="A1734" s="281" t="s">
        <v>123</v>
      </c>
      <c r="B1734" s="167">
        <v>43110</v>
      </c>
      <c r="C1734" s="167">
        <v>43116</v>
      </c>
      <c r="D1734" s="53" t="s">
        <v>154</v>
      </c>
      <c r="E1734" s="323">
        <v>0</v>
      </c>
      <c r="F1734" s="53"/>
      <c r="G1734" s="53" t="s">
        <v>126</v>
      </c>
      <c r="H1734" s="384">
        <v>1023</v>
      </c>
      <c r="I1734" s="55">
        <v>49</v>
      </c>
      <c r="J1734" s="55"/>
      <c r="K1734" s="55">
        <v>16</v>
      </c>
      <c r="L1734" s="55">
        <v>7</v>
      </c>
      <c r="M1734" s="55">
        <v>5</v>
      </c>
      <c r="N1734" s="55">
        <v>2</v>
      </c>
      <c r="O1734" s="55"/>
      <c r="P1734" s="55">
        <v>1</v>
      </c>
      <c r="Q1734" s="55"/>
      <c r="R1734" s="55">
        <v>17</v>
      </c>
      <c r="S1734" s="55"/>
      <c r="T1734" s="55"/>
      <c r="U1734" s="55"/>
      <c r="V1734" s="55">
        <v>1</v>
      </c>
      <c r="W1734" s="55"/>
      <c r="X1734" s="55"/>
      <c r="Y1734" s="55"/>
      <c r="Z1734" s="55">
        <v>3</v>
      </c>
      <c r="AA1734" s="55">
        <v>0</v>
      </c>
      <c r="AB1734" s="57">
        <f>100/(SUM(I1734:Z1734))</f>
        <v>0.99009900990099009</v>
      </c>
      <c r="AC1734" s="259">
        <f>SUM(I1734:AA1734)</f>
        <v>101</v>
      </c>
      <c r="AD1734" s="55"/>
      <c r="AE1734" s="55"/>
      <c r="AF1734" s="55"/>
      <c r="AG1734" s="58"/>
      <c r="AH1734" s="59" t="s">
        <v>1591</v>
      </c>
      <c r="AI1734" s="59" t="s">
        <v>1592</v>
      </c>
      <c r="AJ1734" s="53"/>
      <c r="AK1734" s="53"/>
      <c r="AL1734" s="58">
        <f>(B1734-DATE(1970,1,1))*86400</f>
        <v>1515542400</v>
      </c>
      <c r="AM1734" s="58">
        <f>(C1734-DATE(1970,1,1))*86400</f>
        <v>1516060800</v>
      </c>
      <c r="AN1734" s="58">
        <f>AVERAGE(AL1734:AM1734)</f>
        <v>1515801600</v>
      </c>
      <c r="AO1734" s="274"/>
      <c r="AP1734" s="274"/>
      <c r="AQ1734" s="274"/>
      <c r="AR1734" s="274"/>
      <c r="AS1734" s="274"/>
      <c r="AT1734" s="274"/>
      <c r="AU1734" s="274"/>
      <c r="AV1734" s="274"/>
      <c r="AW1734" s="274"/>
      <c r="AX1734" s="274"/>
      <c r="AY1734" s="274"/>
      <c r="AZ1734" s="274"/>
      <c r="BA1734" s="274"/>
      <c r="BB1734" s="274"/>
      <c r="BC1734" s="274"/>
      <c r="BD1734" s="274"/>
      <c r="BE1734" s="274"/>
      <c r="BF1734" s="274"/>
      <c r="BG1734" s="274"/>
      <c r="BH1734" s="274"/>
      <c r="BI1734" s="274"/>
      <c r="BJ1734" s="274"/>
      <c r="BK1734" s="274"/>
      <c r="BL1734" s="274"/>
      <c r="BM1734" s="274"/>
    </row>
    <row r="1735" spans="1:65" s="275" customFormat="1" ht="15" customHeight="1" x14ac:dyDescent="0.2">
      <c r="A1735" s="279" t="s">
        <v>133</v>
      </c>
      <c r="B1735" s="14">
        <v>43103</v>
      </c>
      <c r="C1735" s="14">
        <v>43121</v>
      </c>
      <c r="D1735" s="13" t="s">
        <v>124</v>
      </c>
      <c r="E1735" s="324">
        <v>1</v>
      </c>
      <c r="F1735" s="13"/>
      <c r="G1735" s="13" t="s">
        <v>149</v>
      </c>
      <c r="H1735" s="324">
        <v>2000</v>
      </c>
      <c r="I1735" s="15">
        <v>40</v>
      </c>
      <c r="J1735" s="15">
        <v>5</v>
      </c>
      <c r="K1735" s="15">
        <v>7</v>
      </c>
      <c r="L1735" s="15">
        <v>3</v>
      </c>
      <c r="M1735" s="15">
        <v>4</v>
      </c>
      <c r="N1735" s="15">
        <v>1</v>
      </c>
      <c r="O1735" s="15">
        <v>0</v>
      </c>
      <c r="P1735" s="15">
        <v>2</v>
      </c>
      <c r="Q1735" s="15"/>
      <c r="R1735" s="15"/>
      <c r="S1735" s="15"/>
      <c r="T1735" s="15"/>
      <c r="U1735" s="15"/>
      <c r="V1735" s="15">
        <v>1</v>
      </c>
      <c r="W1735" s="15"/>
      <c r="X1735" s="15"/>
      <c r="Y1735" s="15"/>
      <c r="Z1735" s="98">
        <v>1</v>
      </c>
      <c r="AA1735" s="15">
        <v>36</v>
      </c>
      <c r="AB1735" s="16">
        <f>100/(SUM(I1735:Z1735))</f>
        <v>1.5625</v>
      </c>
      <c r="AC1735" s="259">
        <f>SUM(I1735:AA1735)</f>
        <v>100</v>
      </c>
      <c r="AD1735" s="15"/>
      <c r="AE1735" s="15"/>
      <c r="AF1735" s="15"/>
      <c r="AG1735" s="17"/>
      <c r="AH1735" s="201" t="s">
        <v>2145</v>
      </c>
      <c r="AI1735" s="18" t="s">
        <v>1595</v>
      </c>
      <c r="AJ1735" s="13"/>
      <c r="AK1735" s="13" t="s">
        <v>1596</v>
      </c>
      <c r="AL1735" s="17">
        <f>(B1735-DATE(1970,1,1))*86400</f>
        <v>1514937600</v>
      </c>
      <c r="AM1735" s="17">
        <f>(C1735-DATE(1970,1,1))*86400</f>
        <v>1516492800</v>
      </c>
      <c r="AN1735" s="17">
        <f>AVERAGE(AL1735:AM1735)</f>
        <v>1515715200</v>
      </c>
      <c r="AO1735" s="274"/>
      <c r="AP1735" s="274"/>
      <c r="AQ1735" s="274"/>
      <c r="AR1735" s="274"/>
      <c r="AS1735" s="274"/>
      <c r="AT1735" s="274"/>
      <c r="AU1735" s="274"/>
      <c r="AV1735" s="274"/>
      <c r="AW1735" s="274"/>
      <c r="AX1735" s="274"/>
      <c r="AY1735" s="274"/>
      <c r="AZ1735" s="274"/>
      <c r="BA1735" s="274"/>
      <c r="BB1735" s="274"/>
      <c r="BC1735" s="274"/>
      <c r="BD1735" s="274"/>
      <c r="BE1735" s="274"/>
      <c r="BF1735" s="274"/>
      <c r="BG1735" s="274"/>
      <c r="BH1735" s="274"/>
      <c r="BI1735" s="274"/>
      <c r="BJ1735" s="274"/>
      <c r="BK1735" s="274"/>
      <c r="BL1735" s="274"/>
      <c r="BM1735" s="274"/>
    </row>
    <row r="1736" spans="1:65" s="275" customFormat="1" ht="15" customHeight="1" x14ac:dyDescent="0.2">
      <c r="A1736" s="279" t="s">
        <v>123</v>
      </c>
      <c r="B1736" s="14">
        <v>43103</v>
      </c>
      <c r="C1736" s="14">
        <v>43121</v>
      </c>
      <c r="D1736" s="13" t="s">
        <v>124</v>
      </c>
      <c r="E1736" s="324">
        <v>1</v>
      </c>
      <c r="F1736" s="13"/>
      <c r="G1736" s="13" t="s">
        <v>149</v>
      </c>
      <c r="H1736" s="324">
        <v>2000</v>
      </c>
      <c r="I1736" s="15">
        <v>54</v>
      </c>
      <c r="J1736" s="15">
        <v>9</v>
      </c>
      <c r="K1736" s="15">
        <v>13</v>
      </c>
      <c r="L1736" s="15">
        <v>8</v>
      </c>
      <c r="M1736" s="15">
        <v>8</v>
      </c>
      <c r="N1736" s="15">
        <v>1</v>
      </c>
      <c r="O1736" s="15">
        <v>1</v>
      </c>
      <c r="P1736" s="15">
        <v>3</v>
      </c>
      <c r="Q1736" s="15"/>
      <c r="R1736" s="98"/>
      <c r="S1736" s="15"/>
      <c r="T1736" s="15"/>
      <c r="U1736" s="15"/>
      <c r="V1736" s="15">
        <v>2</v>
      </c>
      <c r="W1736" s="15"/>
      <c r="X1736" s="15"/>
      <c r="Y1736" s="15"/>
      <c r="Z1736" s="15">
        <v>1</v>
      </c>
      <c r="AA1736" s="15">
        <v>0</v>
      </c>
      <c r="AB1736" s="16">
        <f>100/(SUM(I1736:Z1736))</f>
        <v>1</v>
      </c>
      <c r="AC1736" s="259">
        <f>SUM(I1736:AA1736)</f>
        <v>100</v>
      </c>
      <c r="AD1736" s="15"/>
      <c r="AE1736" s="15"/>
      <c r="AF1736" s="15"/>
      <c r="AG1736" s="17"/>
      <c r="AH1736" s="18" t="s">
        <v>1594</v>
      </c>
      <c r="AI1736" s="18" t="s">
        <v>1595</v>
      </c>
      <c r="AJ1736" s="13"/>
      <c r="AK1736" s="13" t="s">
        <v>1597</v>
      </c>
      <c r="AL1736" s="17">
        <f>(B1736-DATE(1970,1,1))*86400</f>
        <v>1514937600</v>
      </c>
      <c r="AM1736" s="17">
        <f>(C1736-DATE(1970,1,1))*86400</f>
        <v>1516492800</v>
      </c>
      <c r="AN1736" s="17">
        <f>AVERAGE(AL1736:AM1736)</f>
        <v>1515715200</v>
      </c>
      <c r="AO1736" s="274"/>
      <c r="AP1736" s="274"/>
      <c r="AQ1736" s="274"/>
      <c r="AR1736" s="274"/>
      <c r="AS1736" s="274"/>
      <c r="AT1736" s="274"/>
      <c r="AU1736" s="274"/>
      <c r="AV1736" s="274"/>
      <c r="AW1736" s="274"/>
      <c r="AX1736" s="274"/>
      <c r="AY1736" s="274"/>
      <c r="AZ1736" s="274"/>
      <c r="BA1736" s="274"/>
      <c r="BB1736" s="274"/>
      <c r="BC1736" s="274"/>
      <c r="BD1736" s="274"/>
      <c r="BE1736" s="274"/>
      <c r="BF1736" s="274"/>
      <c r="BG1736" s="274"/>
      <c r="BH1736" s="274"/>
      <c r="BI1736" s="274"/>
      <c r="BJ1736" s="274"/>
      <c r="BK1736" s="274"/>
      <c r="BL1736" s="274"/>
      <c r="BM1736" s="274"/>
    </row>
    <row r="1737" spans="1:65" s="275" customFormat="1" ht="15" customHeight="1" x14ac:dyDescent="0.2">
      <c r="A1737" s="286" t="s">
        <v>133</v>
      </c>
      <c r="B1737" s="41">
        <v>43107</v>
      </c>
      <c r="C1737" s="41">
        <v>43115</v>
      </c>
      <c r="D1737" s="40" t="s">
        <v>148</v>
      </c>
      <c r="E1737" s="325">
        <v>1</v>
      </c>
      <c r="F1737" s="40"/>
      <c r="G1737" s="40" t="s">
        <v>149</v>
      </c>
      <c r="H1737" s="381">
        <v>1000</v>
      </c>
      <c r="I1737" s="224">
        <v>33.5</v>
      </c>
      <c r="J1737" s="224">
        <v>8.3000000000000007</v>
      </c>
      <c r="K1737" s="42">
        <v>10</v>
      </c>
      <c r="L1737" s="42">
        <v>4</v>
      </c>
      <c r="M1737" s="42">
        <v>4.5999999999999996</v>
      </c>
      <c r="N1737" s="42">
        <v>0.8</v>
      </c>
      <c r="O1737" s="42">
        <v>0.3</v>
      </c>
      <c r="P1737" s="42">
        <v>1.8</v>
      </c>
      <c r="Q1737" s="42"/>
      <c r="R1737" s="43"/>
      <c r="S1737" s="42"/>
      <c r="T1737" s="42"/>
      <c r="U1737" s="42"/>
      <c r="V1737" s="42">
        <v>0.5</v>
      </c>
      <c r="W1737" s="42"/>
      <c r="X1737" s="42"/>
      <c r="Y1737" s="42"/>
      <c r="Z1737" s="42">
        <v>1.3</v>
      </c>
      <c r="AA1737" s="43">
        <v>34.9</v>
      </c>
      <c r="AB1737" s="44">
        <f>100/(SUM(I1737:Z1737))</f>
        <v>1.5360983102918588</v>
      </c>
      <c r="AC1737" s="259">
        <f>SUM(I1737:AA1737)</f>
        <v>100</v>
      </c>
      <c r="AD1737" s="42">
        <v>45</v>
      </c>
      <c r="AE1737" s="42"/>
      <c r="AF1737" s="42"/>
      <c r="AG1737" s="45"/>
      <c r="AH1737" s="391" t="s">
        <v>2137</v>
      </c>
      <c r="AI1737" s="132" t="s">
        <v>1598</v>
      </c>
      <c r="AJ1737" s="40"/>
      <c r="AK1737" s="40" t="s">
        <v>2134</v>
      </c>
      <c r="AL1737" s="45">
        <f>(B1737-DATE(1970,1,1))*86400</f>
        <v>1515283200</v>
      </c>
      <c r="AM1737" s="45">
        <f>(C1737-DATE(1970,1,1))*86400</f>
        <v>1515974400</v>
      </c>
      <c r="AN1737" s="45">
        <f>AVERAGE(AL1737:AM1737)</f>
        <v>1515628800</v>
      </c>
      <c r="AO1737" s="274"/>
      <c r="AP1737" s="274"/>
      <c r="AQ1737" s="274"/>
      <c r="AR1737" s="274"/>
      <c r="AS1737" s="274"/>
      <c r="AT1737" s="274"/>
      <c r="AU1737" s="274"/>
      <c r="AV1737" s="274"/>
      <c r="AW1737" s="274"/>
      <c r="AX1737" s="274"/>
      <c r="AY1737" s="274"/>
      <c r="AZ1737" s="274"/>
      <c r="BA1737" s="274"/>
      <c r="BB1737" s="274"/>
      <c r="BC1737" s="274"/>
      <c r="BD1737" s="274"/>
      <c r="BE1737" s="274"/>
      <c r="BF1737" s="274"/>
      <c r="BG1737" s="274"/>
      <c r="BH1737" s="274"/>
      <c r="BI1737" s="274"/>
      <c r="BJ1737" s="274"/>
      <c r="BK1737" s="274"/>
      <c r="BL1737" s="274"/>
      <c r="BM1737" s="274"/>
    </row>
    <row r="1738" spans="1:65" s="275" customFormat="1" ht="15" customHeight="1" x14ac:dyDescent="0.2">
      <c r="A1738" s="286" t="s">
        <v>123</v>
      </c>
      <c r="B1738" s="41">
        <v>43107</v>
      </c>
      <c r="C1738" s="41">
        <v>43115</v>
      </c>
      <c r="D1738" s="40" t="s">
        <v>148</v>
      </c>
      <c r="E1738" s="325">
        <v>1</v>
      </c>
      <c r="F1738" s="40"/>
      <c r="G1738" s="40" t="s">
        <v>149</v>
      </c>
      <c r="H1738" s="381">
        <v>1000</v>
      </c>
      <c r="I1738" s="42">
        <v>50.3</v>
      </c>
      <c r="J1738" s="42">
        <v>13</v>
      </c>
      <c r="K1738" s="42">
        <v>15.7</v>
      </c>
      <c r="L1738" s="42">
        <v>7.1</v>
      </c>
      <c r="M1738" s="42">
        <v>7.9</v>
      </c>
      <c r="N1738" s="42">
        <v>1.4</v>
      </c>
      <c r="O1738" s="42">
        <v>0.5</v>
      </c>
      <c r="P1738" s="42">
        <v>2.2000000000000002</v>
      </c>
      <c r="Q1738" s="42"/>
      <c r="R1738" s="43"/>
      <c r="S1738" s="42"/>
      <c r="T1738" s="42"/>
      <c r="U1738" s="42"/>
      <c r="V1738" s="42">
        <v>0.9</v>
      </c>
      <c r="W1738" s="42"/>
      <c r="X1738" s="42"/>
      <c r="Y1738" s="42"/>
      <c r="Z1738" s="42">
        <v>1.1000000000000001</v>
      </c>
      <c r="AA1738" s="42">
        <v>0</v>
      </c>
      <c r="AB1738" s="44">
        <f>100/(SUM(I1738:Z1738))</f>
        <v>0.99900099900099892</v>
      </c>
      <c r="AC1738" s="259">
        <f>SUM(I1738:AA1738)</f>
        <v>100.10000000000001</v>
      </c>
      <c r="AD1738" s="42"/>
      <c r="AE1738" s="42"/>
      <c r="AF1738" s="42"/>
      <c r="AG1738" s="45"/>
      <c r="AH1738" s="391" t="s">
        <v>2137</v>
      </c>
      <c r="AI1738" s="132" t="s">
        <v>1598</v>
      </c>
      <c r="AJ1738" s="132" t="s">
        <v>1599</v>
      </c>
      <c r="AK1738" s="40" t="s">
        <v>1600</v>
      </c>
      <c r="AL1738" s="45">
        <f>(B1738-DATE(1970,1,1))*86400</f>
        <v>1515283200</v>
      </c>
      <c r="AM1738" s="45">
        <f>(C1738-DATE(1970,1,1))*86400</f>
        <v>1515974400</v>
      </c>
      <c r="AN1738" s="45">
        <f>AVERAGE(AL1738:AM1738)</f>
        <v>1515628800</v>
      </c>
      <c r="AO1738" s="274"/>
      <c r="AP1738" s="274"/>
      <c r="AQ1738" s="274"/>
      <c r="AR1738" s="274"/>
      <c r="AS1738" s="274"/>
      <c r="AT1738" s="274"/>
      <c r="AU1738" s="274"/>
      <c r="AV1738" s="274"/>
      <c r="AW1738" s="274"/>
      <c r="AX1738" s="274"/>
      <c r="AY1738" s="274"/>
      <c r="AZ1738" s="274"/>
      <c r="BA1738" s="274"/>
      <c r="BB1738" s="274"/>
      <c r="BC1738" s="274"/>
      <c r="BD1738" s="274"/>
      <c r="BE1738" s="274"/>
      <c r="BF1738" s="274"/>
      <c r="BG1738" s="274"/>
      <c r="BH1738" s="274"/>
      <c r="BI1738" s="274"/>
      <c r="BJ1738" s="274"/>
      <c r="BK1738" s="274"/>
      <c r="BL1738" s="274"/>
      <c r="BM1738" s="274"/>
    </row>
    <row r="1739" spans="1:65" s="275" customFormat="1" ht="15" customHeight="1" x14ac:dyDescent="0.2">
      <c r="A1739" s="296" t="s">
        <v>133</v>
      </c>
      <c r="B1739" s="100">
        <v>43105</v>
      </c>
      <c r="C1739" s="100">
        <v>43109</v>
      </c>
      <c r="D1739" s="99" t="s">
        <v>276</v>
      </c>
      <c r="E1739" s="326">
        <v>0</v>
      </c>
      <c r="F1739" s="99"/>
      <c r="G1739" s="99" t="s">
        <v>126</v>
      </c>
      <c r="H1739" s="326">
        <v>1000</v>
      </c>
      <c r="I1739" s="101">
        <v>33</v>
      </c>
      <c r="J1739" s="101"/>
      <c r="K1739" s="101">
        <v>17</v>
      </c>
      <c r="L1739" s="101">
        <v>5</v>
      </c>
      <c r="M1739" s="101">
        <v>5</v>
      </c>
      <c r="N1739" s="101">
        <v>1</v>
      </c>
      <c r="O1739" s="101"/>
      <c r="P1739" s="101">
        <v>3</v>
      </c>
      <c r="Q1739" s="101"/>
      <c r="R1739" s="131">
        <v>6</v>
      </c>
      <c r="S1739" s="101"/>
      <c r="T1739" s="101"/>
      <c r="U1739" s="101"/>
      <c r="V1739" s="101">
        <v>1</v>
      </c>
      <c r="W1739" s="101"/>
      <c r="X1739" s="101"/>
      <c r="Y1739" s="101"/>
      <c r="Z1739" s="101">
        <v>0</v>
      </c>
      <c r="AA1739" s="131">
        <v>29</v>
      </c>
      <c r="AB1739" s="102">
        <f>100/(SUM(I1739:Z1739))</f>
        <v>1.408450704225352</v>
      </c>
      <c r="AC1739" s="259">
        <f>SUM(I1739:AA1739)</f>
        <v>100</v>
      </c>
      <c r="AD1739" s="101"/>
      <c r="AE1739" s="101"/>
      <c r="AF1739" s="101"/>
      <c r="AG1739" s="394" t="s">
        <v>2165</v>
      </c>
      <c r="AH1739" s="99" t="s">
        <v>1506</v>
      </c>
      <c r="AI1739" s="104" t="s">
        <v>1601</v>
      </c>
      <c r="AJ1739" s="104" t="s">
        <v>1602</v>
      </c>
      <c r="AK1739" s="99" t="s">
        <v>1603</v>
      </c>
      <c r="AL1739" s="103">
        <f>(B1739-DATE(1970,1,1))*86400</f>
        <v>1515110400</v>
      </c>
      <c r="AM1739" s="103">
        <f>(C1739-DATE(1970,1,1))*86400</f>
        <v>1515456000</v>
      </c>
      <c r="AN1739" s="103">
        <f>AVERAGE(AL1739:AM1739)</f>
        <v>1515283200</v>
      </c>
      <c r="AO1739" s="274"/>
      <c r="AP1739" s="274"/>
      <c r="AQ1739" s="274"/>
      <c r="AR1739" s="274"/>
      <c r="AS1739" s="274"/>
      <c r="AT1739" s="274"/>
      <c r="AU1739" s="274"/>
      <c r="AV1739" s="274"/>
      <c r="AW1739" s="274"/>
      <c r="AX1739" s="274"/>
      <c r="AY1739" s="274"/>
      <c r="AZ1739" s="274"/>
      <c r="BA1739" s="274"/>
      <c r="BB1739" s="274"/>
      <c r="BC1739" s="274"/>
      <c r="BD1739" s="274"/>
      <c r="BE1739" s="274"/>
      <c r="BF1739" s="274"/>
      <c r="BG1739" s="274"/>
      <c r="BH1739" s="274"/>
      <c r="BI1739" s="274"/>
      <c r="BJ1739" s="274"/>
      <c r="BK1739" s="274"/>
      <c r="BL1739" s="274"/>
      <c r="BM1739" s="274"/>
    </row>
    <row r="1740" spans="1:65" s="275" customFormat="1" ht="15" customHeight="1" x14ac:dyDescent="0.2">
      <c r="A1740" s="296" t="s">
        <v>123</v>
      </c>
      <c r="B1740" s="100">
        <v>43105</v>
      </c>
      <c r="C1740" s="100">
        <v>43109</v>
      </c>
      <c r="D1740" s="99" t="s">
        <v>276</v>
      </c>
      <c r="E1740" s="326">
        <v>0</v>
      </c>
      <c r="F1740" s="99"/>
      <c r="G1740" s="99" t="s">
        <v>126</v>
      </c>
      <c r="H1740" s="326">
        <v>1000</v>
      </c>
      <c r="I1740" s="101">
        <v>48</v>
      </c>
      <c r="J1740" s="101"/>
      <c r="K1740" s="101">
        <v>22</v>
      </c>
      <c r="L1740" s="101">
        <v>7</v>
      </c>
      <c r="M1740" s="101">
        <v>7</v>
      </c>
      <c r="N1740" s="101">
        <v>2</v>
      </c>
      <c r="O1740" s="101"/>
      <c r="P1740" s="101">
        <v>3</v>
      </c>
      <c r="Q1740" s="101"/>
      <c r="R1740" s="131">
        <v>9</v>
      </c>
      <c r="S1740" s="101"/>
      <c r="T1740" s="101"/>
      <c r="U1740" s="101"/>
      <c r="V1740" s="101">
        <v>1</v>
      </c>
      <c r="W1740" s="101"/>
      <c r="X1740" s="101"/>
      <c r="Y1740" s="101"/>
      <c r="Z1740" s="101">
        <v>1</v>
      </c>
      <c r="AA1740" s="101">
        <v>0</v>
      </c>
      <c r="AB1740" s="102">
        <f>100/(SUM(I1740:Z1740))</f>
        <v>1</v>
      </c>
      <c r="AC1740" s="259">
        <f>SUM(I1740:AA1740)</f>
        <v>100</v>
      </c>
      <c r="AD1740" s="101"/>
      <c r="AE1740" s="101"/>
      <c r="AF1740" s="101"/>
      <c r="AG1740" s="103"/>
      <c r="AH1740" s="99" t="s">
        <v>1506</v>
      </c>
      <c r="AI1740" s="104" t="s">
        <v>1601</v>
      </c>
      <c r="AJ1740" s="104" t="s">
        <v>1602</v>
      </c>
      <c r="AK1740" s="99" t="s">
        <v>1604</v>
      </c>
      <c r="AL1740" s="103">
        <f>(B1740-DATE(1970,1,1))*86400</f>
        <v>1515110400</v>
      </c>
      <c r="AM1740" s="103">
        <f>(C1740-DATE(1970,1,1))*86400</f>
        <v>1515456000</v>
      </c>
      <c r="AN1740" s="103">
        <f>AVERAGE(AL1740:AM1740)</f>
        <v>1515283200</v>
      </c>
      <c r="AO1740" s="274"/>
      <c r="AP1740" s="274"/>
      <c r="AQ1740" s="274"/>
      <c r="AR1740" s="274"/>
      <c r="AS1740" s="274"/>
      <c r="AT1740" s="274"/>
      <c r="AU1740" s="274"/>
      <c r="AV1740" s="274"/>
      <c r="AW1740" s="274"/>
      <c r="AX1740" s="274"/>
      <c r="AY1740" s="274"/>
      <c r="AZ1740" s="274"/>
      <c r="BA1740" s="274"/>
      <c r="BB1740" s="274"/>
      <c r="BC1740" s="274"/>
      <c r="BD1740" s="274"/>
      <c r="BE1740" s="274"/>
      <c r="BF1740" s="274"/>
      <c r="BG1740" s="274"/>
      <c r="BH1740" s="274"/>
      <c r="BI1740" s="274"/>
      <c r="BJ1740" s="274"/>
      <c r="BK1740" s="274"/>
      <c r="BL1740" s="274"/>
      <c r="BM1740" s="274"/>
    </row>
    <row r="1741" spans="1:65" s="275" customFormat="1" ht="15" customHeight="1" x14ac:dyDescent="0.2">
      <c r="A1741" s="506" t="s">
        <v>133</v>
      </c>
      <c r="B1741" s="507">
        <v>43096</v>
      </c>
      <c r="C1741" s="507">
        <v>43102</v>
      </c>
      <c r="D1741" s="508" t="s">
        <v>200</v>
      </c>
      <c r="E1741" s="509">
        <v>1</v>
      </c>
      <c r="F1741" s="510"/>
      <c r="G1741" s="510" t="s">
        <v>126</v>
      </c>
      <c r="H1741" s="509">
        <v>1000</v>
      </c>
      <c r="I1741" s="511">
        <v>36</v>
      </c>
      <c r="J1741" s="511">
        <v>9</v>
      </c>
      <c r="K1741" s="511">
        <v>9</v>
      </c>
      <c r="L1741" s="511">
        <v>6</v>
      </c>
      <c r="M1741" s="511">
        <v>5</v>
      </c>
      <c r="N1741" s="511">
        <v>1</v>
      </c>
      <c r="O1741" s="511"/>
      <c r="P1741" s="511"/>
      <c r="Q1741" s="511"/>
      <c r="R1741" s="511"/>
      <c r="S1741" s="511"/>
      <c r="T1741" s="511"/>
      <c r="U1741" s="512"/>
      <c r="V1741" s="511"/>
      <c r="W1741" s="512"/>
      <c r="X1741" s="512"/>
      <c r="Y1741" s="511"/>
      <c r="Z1741" s="512">
        <v>5</v>
      </c>
      <c r="AA1741" s="512">
        <v>29</v>
      </c>
      <c r="AB1741" s="513">
        <f>100/(SUM(I1741:Z1741))</f>
        <v>1.408450704225352</v>
      </c>
      <c r="AC1741" s="513">
        <f>SUM(I1741:AA1741)</f>
        <v>100</v>
      </c>
      <c r="AD1741" s="512"/>
      <c r="AE1741" s="512"/>
      <c r="AF1741" s="512"/>
      <c r="AG1741" s="514" t="s">
        <v>136</v>
      </c>
      <c r="AH1741" s="510" t="s">
        <v>2107</v>
      </c>
      <c r="AI1741" s="510" t="s">
        <v>2108</v>
      </c>
      <c r="AJ1741" s="510"/>
      <c r="AK1741" s="510"/>
      <c r="AL1741" s="515">
        <f>(B1741-DATE(1970,1,1))*86400</f>
        <v>1514332800</v>
      </c>
      <c r="AM1741" s="515">
        <f>(C1741-DATE(1970,1,1))*86400</f>
        <v>1514851200</v>
      </c>
      <c r="AN1741" s="515">
        <f>AVERAGE(AL1741:AM1741)</f>
        <v>1514592000</v>
      </c>
      <c r="AO1741" s="274"/>
      <c r="AP1741" s="274"/>
      <c r="AQ1741" s="274"/>
      <c r="AR1741" s="274"/>
      <c r="AS1741" s="274"/>
      <c r="AT1741" s="274"/>
      <c r="AU1741" s="274"/>
      <c r="AV1741" s="274"/>
      <c r="AW1741" s="274"/>
      <c r="AX1741" s="274"/>
      <c r="AY1741" s="274"/>
      <c r="AZ1741" s="274"/>
      <c r="BA1741" s="274"/>
      <c r="BB1741" s="274"/>
      <c r="BC1741" s="274"/>
      <c r="BD1741" s="274"/>
      <c r="BE1741" s="274"/>
      <c r="BF1741" s="274"/>
      <c r="BG1741" s="274"/>
      <c r="BH1741" s="274"/>
      <c r="BI1741" s="274"/>
      <c r="BJ1741" s="274"/>
      <c r="BK1741" s="274"/>
      <c r="BL1741" s="274"/>
      <c r="BM1741" s="274"/>
    </row>
    <row r="1742" spans="1:65" s="275" customFormat="1" ht="15" customHeight="1" x14ac:dyDescent="0.2">
      <c r="A1742" s="506" t="s">
        <v>123</v>
      </c>
      <c r="B1742" s="507">
        <v>43096</v>
      </c>
      <c r="C1742" s="507">
        <v>43102</v>
      </c>
      <c r="D1742" s="508" t="s">
        <v>200</v>
      </c>
      <c r="E1742" s="509">
        <v>1</v>
      </c>
      <c r="F1742" s="510"/>
      <c r="G1742" s="510" t="s">
        <v>126</v>
      </c>
      <c r="H1742" s="509">
        <v>1000</v>
      </c>
      <c r="I1742" s="511">
        <v>52</v>
      </c>
      <c r="J1742" s="511">
        <v>14</v>
      </c>
      <c r="K1742" s="511">
        <v>16</v>
      </c>
      <c r="L1742" s="511">
        <v>7</v>
      </c>
      <c r="M1742" s="511">
        <v>6</v>
      </c>
      <c r="N1742" s="511">
        <v>1</v>
      </c>
      <c r="O1742" s="511"/>
      <c r="P1742" s="511"/>
      <c r="Q1742" s="511"/>
      <c r="R1742" s="511"/>
      <c r="S1742" s="511"/>
      <c r="T1742" s="511"/>
      <c r="U1742" s="512"/>
      <c r="V1742" s="511"/>
      <c r="W1742" s="512"/>
      <c r="X1742" s="512"/>
      <c r="Y1742" s="511"/>
      <c r="Z1742" s="512">
        <v>4</v>
      </c>
      <c r="AA1742" s="512">
        <v>0</v>
      </c>
      <c r="AB1742" s="513">
        <f>100/(SUM(I1742:Z1742))</f>
        <v>1</v>
      </c>
      <c r="AC1742" s="513">
        <f>SUM(I1742:AA1742)</f>
        <v>100</v>
      </c>
      <c r="AD1742" s="512"/>
      <c r="AE1742" s="512"/>
      <c r="AF1742" s="512"/>
      <c r="AG1742" s="514" t="s">
        <v>136</v>
      </c>
      <c r="AH1742" s="510" t="s">
        <v>2107</v>
      </c>
      <c r="AI1742" s="510" t="s">
        <v>2108</v>
      </c>
      <c r="AJ1742" s="510"/>
      <c r="AK1742" s="510"/>
      <c r="AL1742" s="515">
        <f>(B1742-DATE(1970,1,1))*86400</f>
        <v>1514332800</v>
      </c>
      <c r="AM1742" s="515">
        <f>(C1742-DATE(1970,1,1))*86400</f>
        <v>1514851200</v>
      </c>
      <c r="AN1742" s="515">
        <f>AVERAGE(AL1742:AM1742)</f>
        <v>1514592000</v>
      </c>
    </row>
    <row r="1743" spans="1:65" s="275" customFormat="1" ht="15" customHeight="1" x14ac:dyDescent="0.2">
      <c r="A1743" s="492" t="s">
        <v>133</v>
      </c>
      <c r="B1743" s="493">
        <v>43079</v>
      </c>
      <c r="C1743" s="493">
        <v>43089</v>
      </c>
      <c r="D1743" s="494" t="s">
        <v>168</v>
      </c>
      <c r="E1743" s="495">
        <v>0</v>
      </c>
      <c r="F1743" s="496"/>
      <c r="G1743" s="496" t="s">
        <v>149</v>
      </c>
      <c r="H1743" s="497">
        <v>1000</v>
      </c>
      <c r="I1743" s="498">
        <v>34</v>
      </c>
      <c r="J1743" s="498">
        <v>7</v>
      </c>
      <c r="K1743" s="498">
        <v>10</v>
      </c>
      <c r="L1743" s="498">
        <v>3</v>
      </c>
      <c r="M1743" s="498">
        <v>3</v>
      </c>
      <c r="N1743" s="499">
        <v>1</v>
      </c>
      <c r="O1743" s="500"/>
      <c r="P1743" s="498">
        <v>1</v>
      </c>
      <c r="Q1743" s="498"/>
      <c r="R1743" s="498"/>
      <c r="S1743" s="498"/>
      <c r="T1743" s="498"/>
      <c r="U1743" s="501"/>
      <c r="V1743" s="498"/>
      <c r="W1743" s="501"/>
      <c r="X1743" s="501"/>
      <c r="Y1743" s="498"/>
      <c r="Z1743" s="501">
        <v>1</v>
      </c>
      <c r="AA1743" s="501">
        <v>39</v>
      </c>
      <c r="AB1743" s="502">
        <f>100/(SUM(I1743:Z1743))</f>
        <v>1.6666666666666667</v>
      </c>
      <c r="AC1743" s="502">
        <f>SUM(I1743:AA1743)</f>
        <v>99</v>
      </c>
      <c r="AD1743" s="501"/>
      <c r="AE1743" s="501"/>
      <c r="AF1743" s="501"/>
      <c r="AG1743" s="503" t="s">
        <v>136</v>
      </c>
      <c r="AH1743" s="496" t="s">
        <v>2110</v>
      </c>
      <c r="AI1743" s="496" t="s">
        <v>2109</v>
      </c>
      <c r="AJ1743" s="496" t="s">
        <v>2111</v>
      </c>
      <c r="AK1743" s="496" t="s">
        <v>2112</v>
      </c>
      <c r="AL1743" s="504">
        <f>(B1743-DATE(1970,1,1))*86400</f>
        <v>1512864000</v>
      </c>
      <c r="AM1743" s="504">
        <f>(C1743-DATE(1970,1,1))*86400</f>
        <v>1513728000</v>
      </c>
      <c r="AN1743" s="504">
        <f>AVERAGE(AL1743:AM1743)</f>
        <v>1513296000</v>
      </c>
      <c r="AO1743" s="274"/>
      <c r="AP1743" s="274"/>
      <c r="AQ1743" s="274"/>
      <c r="AR1743" s="274"/>
      <c r="AS1743" s="274"/>
      <c r="AT1743" s="274"/>
      <c r="AU1743" s="274"/>
      <c r="AV1743" s="274"/>
      <c r="AW1743" s="274"/>
      <c r="AX1743" s="274"/>
      <c r="AY1743" s="274"/>
      <c r="AZ1743" s="274"/>
      <c r="BA1743" s="274"/>
      <c r="BB1743" s="274"/>
      <c r="BC1743" s="274"/>
      <c r="BD1743" s="274"/>
      <c r="BE1743" s="274"/>
      <c r="BF1743" s="274"/>
      <c r="BG1743" s="274"/>
      <c r="BH1743" s="274"/>
      <c r="BI1743" s="274"/>
      <c r="BJ1743" s="274"/>
      <c r="BK1743" s="274"/>
      <c r="BL1743" s="274"/>
      <c r="BM1743" s="274"/>
    </row>
    <row r="1744" spans="1:65" s="275" customFormat="1" ht="15" customHeight="1" x14ac:dyDescent="0.2">
      <c r="A1744" s="492" t="s">
        <v>133</v>
      </c>
      <c r="B1744" s="493">
        <v>43079</v>
      </c>
      <c r="C1744" s="493">
        <v>43089</v>
      </c>
      <c r="D1744" s="494" t="s">
        <v>168</v>
      </c>
      <c r="E1744" s="495">
        <v>0</v>
      </c>
      <c r="F1744" s="496"/>
      <c r="G1744" s="496" t="s">
        <v>149</v>
      </c>
      <c r="H1744" s="497">
        <v>1000</v>
      </c>
      <c r="I1744" s="498">
        <v>57</v>
      </c>
      <c r="J1744" s="498">
        <v>11</v>
      </c>
      <c r="K1744" s="498">
        <v>16</v>
      </c>
      <c r="L1744" s="498">
        <v>5</v>
      </c>
      <c r="M1744" s="498">
        <v>5</v>
      </c>
      <c r="N1744" s="499">
        <v>2</v>
      </c>
      <c r="O1744" s="500"/>
      <c r="P1744" s="498">
        <v>2</v>
      </c>
      <c r="Q1744" s="498"/>
      <c r="R1744" s="498"/>
      <c r="S1744" s="498"/>
      <c r="T1744" s="498"/>
      <c r="U1744" s="501"/>
      <c r="V1744" s="498"/>
      <c r="W1744" s="501"/>
      <c r="X1744" s="501"/>
      <c r="Y1744" s="498"/>
      <c r="Z1744" s="501">
        <v>1</v>
      </c>
      <c r="AA1744" s="501">
        <v>0</v>
      </c>
      <c r="AB1744" s="502">
        <f>100/(SUM(I1744:Z1744))</f>
        <v>1.0101010101010102</v>
      </c>
      <c r="AC1744" s="502">
        <f>SUM(I1744:AA1744)</f>
        <v>99</v>
      </c>
      <c r="AD1744" s="501"/>
      <c r="AE1744" s="501"/>
      <c r="AF1744" s="501"/>
      <c r="AG1744" s="503" t="s">
        <v>136</v>
      </c>
      <c r="AH1744" s="496" t="s">
        <v>2110</v>
      </c>
      <c r="AI1744" s="496" t="s">
        <v>2109</v>
      </c>
      <c r="AJ1744" s="496" t="s">
        <v>2111</v>
      </c>
      <c r="AK1744" s="496" t="s">
        <v>2112</v>
      </c>
      <c r="AL1744" s="504">
        <f>(B1744-DATE(1970,1,1))*86400</f>
        <v>1512864000</v>
      </c>
      <c r="AM1744" s="504">
        <f>(C1744-DATE(1970,1,1))*86400</f>
        <v>1513728000</v>
      </c>
      <c r="AN1744" s="504">
        <f>AVERAGE(AL1744:AM1744)</f>
        <v>1513296000</v>
      </c>
      <c r="AO1744" s="274"/>
      <c r="AP1744" s="274"/>
      <c r="AQ1744" s="274"/>
      <c r="AR1744" s="274"/>
      <c r="AS1744" s="274"/>
      <c r="AT1744" s="274"/>
      <c r="AU1744" s="274"/>
      <c r="AV1744" s="274"/>
      <c r="AW1744" s="274"/>
      <c r="AX1744" s="274"/>
      <c r="AY1744" s="274"/>
      <c r="AZ1744" s="274"/>
      <c r="BA1744" s="274"/>
      <c r="BB1744" s="274"/>
      <c r="BC1744" s="274"/>
      <c r="BD1744" s="274"/>
      <c r="BE1744" s="274"/>
      <c r="BF1744" s="274"/>
      <c r="BG1744" s="274"/>
      <c r="BH1744" s="274"/>
      <c r="BI1744" s="274"/>
      <c r="BJ1744" s="274"/>
      <c r="BK1744" s="274"/>
      <c r="BL1744" s="274"/>
      <c r="BM1744" s="274"/>
    </row>
    <row r="1745" spans="1:65" s="275" customFormat="1" ht="15" customHeight="1" x14ac:dyDescent="0.2">
      <c r="A1745" s="477" t="s">
        <v>133</v>
      </c>
      <c r="B1745" s="478">
        <v>43077</v>
      </c>
      <c r="C1745" s="478">
        <v>43082</v>
      </c>
      <c r="D1745" s="479" t="s">
        <v>154</v>
      </c>
      <c r="E1745" s="480">
        <v>0</v>
      </c>
      <c r="F1745" s="481"/>
      <c r="G1745" s="481" t="s">
        <v>126</v>
      </c>
      <c r="H1745" s="482">
        <v>1005</v>
      </c>
      <c r="I1745" s="483">
        <v>26</v>
      </c>
      <c r="J1745" s="483">
        <v>9</v>
      </c>
      <c r="K1745" s="483">
        <v>9</v>
      </c>
      <c r="L1745" s="483">
        <v>5</v>
      </c>
      <c r="M1745" s="483">
        <v>4</v>
      </c>
      <c r="N1745" s="483">
        <v>1</v>
      </c>
      <c r="O1745" s="483"/>
      <c r="P1745" s="483">
        <v>1</v>
      </c>
      <c r="Q1745" s="483"/>
      <c r="R1745" s="483"/>
      <c r="S1745" s="483"/>
      <c r="T1745" s="483"/>
      <c r="U1745" s="484"/>
      <c r="V1745" s="483">
        <v>1</v>
      </c>
      <c r="W1745" s="484"/>
      <c r="X1745" s="484"/>
      <c r="Y1745" s="483"/>
      <c r="Z1745" s="484">
        <v>1</v>
      </c>
      <c r="AA1745" s="484">
        <v>43</v>
      </c>
      <c r="AB1745" s="485">
        <f>100/(SUM(I1745:Z1745))</f>
        <v>1.7543859649122806</v>
      </c>
      <c r="AC1745" s="485">
        <f>SUM(I1745:AA1745)</f>
        <v>100</v>
      </c>
      <c r="AD1745" s="484"/>
      <c r="AE1745" s="484"/>
      <c r="AF1745" s="484"/>
      <c r="AG1745" s="486" t="s">
        <v>1511</v>
      </c>
      <c r="AH1745" s="487" t="s">
        <v>2114</v>
      </c>
      <c r="AI1745" s="481" t="s">
        <v>2115</v>
      </c>
      <c r="AJ1745" s="481"/>
      <c r="AK1745" s="481"/>
      <c r="AL1745" s="488">
        <f>(B1745-DATE(1970,1,1))*86400</f>
        <v>1512691200</v>
      </c>
      <c r="AM1745" s="488">
        <f>(C1745-DATE(1970,1,1))*86400</f>
        <v>1513123200</v>
      </c>
      <c r="AN1745" s="488">
        <f>AVERAGE(AL1745:AM1745)</f>
        <v>1512907200</v>
      </c>
      <c r="AO1745" s="274"/>
      <c r="AP1745" s="274"/>
      <c r="AQ1745" s="274"/>
      <c r="AR1745" s="274"/>
      <c r="AS1745" s="274"/>
      <c r="AT1745" s="274"/>
      <c r="AU1745" s="274"/>
      <c r="AV1745" s="274"/>
      <c r="AW1745" s="274"/>
      <c r="AX1745" s="274"/>
      <c r="AY1745" s="274"/>
      <c r="AZ1745" s="274"/>
      <c r="BA1745" s="274"/>
      <c r="BB1745" s="274"/>
      <c r="BC1745" s="274"/>
      <c r="BD1745" s="274"/>
      <c r="BE1745" s="274"/>
      <c r="BF1745" s="274"/>
      <c r="BG1745" s="274"/>
      <c r="BH1745" s="274"/>
      <c r="BI1745" s="274"/>
      <c r="BJ1745" s="274"/>
      <c r="BK1745" s="274"/>
      <c r="BL1745" s="274"/>
      <c r="BM1745" s="274"/>
    </row>
    <row r="1746" spans="1:65" s="275" customFormat="1" ht="15" customHeight="1" x14ac:dyDescent="0.2">
      <c r="A1746" s="477" t="s">
        <v>123</v>
      </c>
      <c r="B1746" s="478">
        <v>43077</v>
      </c>
      <c r="C1746" s="478">
        <v>43082</v>
      </c>
      <c r="D1746" s="479" t="s">
        <v>154</v>
      </c>
      <c r="E1746" s="480">
        <v>0</v>
      </c>
      <c r="F1746" s="481"/>
      <c r="G1746" s="481" t="s">
        <v>126</v>
      </c>
      <c r="H1746" s="482">
        <v>1005</v>
      </c>
      <c r="I1746" s="483">
        <v>48</v>
      </c>
      <c r="J1746" s="483">
        <v>15</v>
      </c>
      <c r="K1746" s="483">
        <v>14</v>
      </c>
      <c r="L1746" s="483">
        <v>7</v>
      </c>
      <c r="M1746" s="483">
        <v>6</v>
      </c>
      <c r="N1746" s="483">
        <v>2</v>
      </c>
      <c r="O1746" s="483"/>
      <c r="P1746" s="483">
        <v>2</v>
      </c>
      <c r="Q1746" s="483"/>
      <c r="R1746" s="483"/>
      <c r="S1746" s="483"/>
      <c r="T1746" s="483"/>
      <c r="U1746" s="484"/>
      <c r="V1746" s="483">
        <v>2</v>
      </c>
      <c r="W1746" s="484"/>
      <c r="X1746" s="484"/>
      <c r="Y1746" s="483"/>
      <c r="Z1746" s="484">
        <v>4</v>
      </c>
      <c r="AA1746" s="484">
        <v>0</v>
      </c>
      <c r="AB1746" s="485">
        <f>100/(SUM(I1746:Z1746))</f>
        <v>1</v>
      </c>
      <c r="AC1746" s="485">
        <f>SUM(I1746:AA1746)</f>
        <v>100</v>
      </c>
      <c r="AD1746" s="484"/>
      <c r="AE1746" s="484"/>
      <c r="AF1746" s="484"/>
      <c r="AG1746" s="486" t="s">
        <v>1511</v>
      </c>
      <c r="AH1746" s="481" t="s">
        <v>2113</v>
      </c>
      <c r="AI1746" s="481" t="s">
        <v>2116</v>
      </c>
      <c r="AJ1746" s="481"/>
      <c r="AK1746" s="481" t="s">
        <v>2122</v>
      </c>
      <c r="AL1746" s="488">
        <f>(B1746-DATE(1970,1,1))*86400</f>
        <v>1512691200</v>
      </c>
      <c r="AM1746" s="488">
        <f>(C1746-DATE(1970,1,1))*86400</f>
        <v>1513123200</v>
      </c>
      <c r="AN1746" s="488">
        <f>AVERAGE(AL1746:AM1746)</f>
        <v>1512907200</v>
      </c>
      <c r="AO1746" s="274"/>
      <c r="AP1746" s="274"/>
      <c r="AQ1746" s="274"/>
      <c r="AR1746" s="274"/>
      <c r="AS1746" s="274"/>
      <c r="AT1746" s="274"/>
      <c r="AU1746" s="274"/>
      <c r="AV1746" s="274"/>
      <c r="AW1746" s="274"/>
      <c r="AX1746" s="274"/>
      <c r="AY1746" s="274"/>
      <c r="AZ1746" s="274"/>
      <c r="BA1746" s="274"/>
      <c r="BB1746" s="274"/>
      <c r="BC1746" s="274"/>
      <c r="BD1746" s="274"/>
      <c r="BE1746" s="274"/>
      <c r="BF1746" s="274"/>
      <c r="BG1746" s="274"/>
      <c r="BH1746" s="274"/>
      <c r="BI1746" s="274"/>
      <c r="BJ1746" s="274"/>
      <c r="BK1746" s="274"/>
      <c r="BL1746" s="274"/>
      <c r="BM1746" s="274"/>
    </row>
    <row r="1747" spans="1:65" s="275" customFormat="1" ht="15" customHeight="1" x14ac:dyDescent="0.2">
      <c r="A1747" s="532" t="s">
        <v>133</v>
      </c>
      <c r="B1747" s="533">
        <v>43075</v>
      </c>
      <c r="C1747" s="533">
        <v>43083</v>
      </c>
      <c r="D1747" s="391" t="s">
        <v>148</v>
      </c>
      <c r="E1747" s="534">
        <v>1</v>
      </c>
      <c r="F1747" s="391"/>
      <c r="G1747" s="391" t="s">
        <v>149</v>
      </c>
      <c r="H1747" s="535">
        <v>1000</v>
      </c>
      <c r="I1747" s="536">
        <v>33.4</v>
      </c>
      <c r="J1747" s="536">
        <v>8.1999999999999993</v>
      </c>
      <c r="K1747" s="536">
        <v>9.1</v>
      </c>
      <c r="L1747" s="536">
        <v>4.9000000000000004</v>
      </c>
      <c r="M1747" s="536">
        <v>5.0999999999999996</v>
      </c>
      <c r="N1747" s="537">
        <v>1.5</v>
      </c>
      <c r="O1747" s="536"/>
      <c r="P1747" s="536">
        <v>1.4</v>
      </c>
      <c r="Q1747" s="536"/>
      <c r="R1747" s="536"/>
      <c r="S1747" s="536"/>
      <c r="T1747" s="536"/>
      <c r="U1747" s="536"/>
      <c r="V1747" s="536">
        <v>0.5</v>
      </c>
      <c r="W1747" s="536"/>
      <c r="X1747" s="536"/>
      <c r="Y1747" s="536"/>
      <c r="Z1747" s="536">
        <v>2</v>
      </c>
      <c r="AA1747" s="536">
        <v>33.9</v>
      </c>
      <c r="AB1747" s="538">
        <f>100/(SUM(I1747:Z1747))</f>
        <v>1.5128593040847202</v>
      </c>
      <c r="AC1747" s="538">
        <f>SUM(I1747:AA1747)</f>
        <v>100</v>
      </c>
      <c r="AD1747" s="539"/>
      <c r="AE1747" s="539"/>
      <c r="AF1747" s="539"/>
      <c r="AG1747" s="540" t="s">
        <v>136</v>
      </c>
      <c r="AH1747" s="391" t="s">
        <v>2123</v>
      </c>
      <c r="AI1747" s="541" t="s">
        <v>1383</v>
      </c>
      <c r="AJ1747" s="391"/>
      <c r="AK1747" s="391" t="s">
        <v>2112</v>
      </c>
      <c r="AL1747" s="542">
        <f>(B1747-DATE(1970,1,1))*86400</f>
        <v>1512518400</v>
      </c>
      <c r="AM1747" s="542">
        <f>(C1747-DATE(1970,1,1))*86400</f>
        <v>1513209600</v>
      </c>
      <c r="AN1747" s="542">
        <f>AVERAGE(AL1747:AM1747)</f>
        <v>1512864000</v>
      </c>
      <c r="AO1747" s="274"/>
      <c r="AP1747" s="274"/>
      <c r="AQ1747" s="274"/>
      <c r="AR1747" s="274"/>
      <c r="AS1747" s="274"/>
      <c r="AT1747" s="274"/>
      <c r="AU1747" s="274"/>
      <c r="AV1747" s="274"/>
      <c r="AW1747" s="274"/>
      <c r="AX1747" s="274"/>
      <c r="AY1747" s="274"/>
      <c r="AZ1747" s="274"/>
      <c r="BA1747" s="274"/>
      <c r="BB1747" s="274"/>
      <c r="BC1747" s="274"/>
      <c r="BD1747" s="274"/>
      <c r="BE1747" s="274"/>
      <c r="BF1747" s="274"/>
      <c r="BG1747" s="274"/>
      <c r="BH1747" s="274"/>
      <c r="BI1747" s="274"/>
      <c r="BJ1747" s="274"/>
      <c r="BK1747" s="274"/>
      <c r="BL1747" s="274"/>
      <c r="BM1747" s="274"/>
    </row>
    <row r="1748" spans="1:65" s="275" customFormat="1" ht="15" customHeight="1" x14ac:dyDescent="0.2">
      <c r="A1748" s="532" t="s">
        <v>123</v>
      </c>
      <c r="B1748" s="533">
        <v>43075</v>
      </c>
      <c r="C1748" s="533">
        <v>43083</v>
      </c>
      <c r="D1748" s="391" t="s">
        <v>148</v>
      </c>
      <c r="E1748" s="534">
        <v>1</v>
      </c>
      <c r="F1748" s="391"/>
      <c r="G1748" s="391" t="s">
        <v>149</v>
      </c>
      <c r="H1748" s="535">
        <v>1000</v>
      </c>
      <c r="I1748" s="543">
        <v>52</v>
      </c>
      <c r="J1748" s="543">
        <v>12</v>
      </c>
      <c r="K1748" s="543">
        <v>14</v>
      </c>
      <c r="L1748" s="543">
        <v>7</v>
      </c>
      <c r="M1748" s="543">
        <v>8</v>
      </c>
      <c r="N1748" s="543">
        <v>3</v>
      </c>
      <c r="O1748" s="544"/>
      <c r="P1748" s="543">
        <v>2</v>
      </c>
      <c r="Q1748" s="543"/>
      <c r="R1748" s="543"/>
      <c r="S1748" s="543"/>
      <c r="T1748" s="543"/>
      <c r="U1748" s="539"/>
      <c r="V1748" s="543">
        <v>0</v>
      </c>
      <c r="W1748" s="539"/>
      <c r="X1748" s="539"/>
      <c r="Y1748" s="543"/>
      <c r="Z1748" s="539">
        <v>3</v>
      </c>
      <c r="AA1748" s="539">
        <v>0</v>
      </c>
      <c r="AB1748" s="538">
        <f>100/(SUM(I1748:Z1748))</f>
        <v>0.99009900990099009</v>
      </c>
      <c r="AC1748" s="538">
        <f>SUM(I1748:AA1748)</f>
        <v>101</v>
      </c>
      <c r="AD1748" s="539"/>
      <c r="AE1748" s="539"/>
      <c r="AF1748" s="539"/>
      <c r="AG1748" s="540" t="s">
        <v>136</v>
      </c>
      <c r="AH1748" s="391" t="s">
        <v>2123</v>
      </c>
      <c r="AI1748" s="541" t="s">
        <v>1383</v>
      </c>
      <c r="AJ1748" s="391"/>
      <c r="AK1748" s="391" t="s">
        <v>2112</v>
      </c>
      <c r="AL1748" s="542">
        <f>(B1748-DATE(1970,1,1))*86400</f>
        <v>1512518400</v>
      </c>
      <c r="AM1748" s="542">
        <f>(C1748-DATE(1970,1,1))*86400</f>
        <v>1513209600</v>
      </c>
      <c r="AN1748" s="542">
        <f>AVERAGE(AL1748:AM1748)</f>
        <v>1512864000</v>
      </c>
      <c r="AO1748" s="274"/>
      <c r="AP1748" s="274"/>
      <c r="AQ1748" s="274"/>
      <c r="AR1748" s="274"/>
      <c r="AS1748" s="274"/>
      <c r="AT1748" s="274"/>
      <c r="AU1748" s="274"/>
      <c r="AV1748" s="274"/>
      <c r="AW1748" s="274"/>
      <c r="AX1748" s="274"/>
      <c r="AY1748" s="274"/>
      <c r="AZ1748" s="274"/>
      <c r="BA1748" s="274"/>
      <c r="BB1748" s="274"/>
      <c r="BC1748" s="274"/>
      <c r="BD1748" s="274"/>
      <c r="BE1748" s="274"/>
      <c r="BF1748" s="274"/>
      <c r="BG1748" s="274"/>
      <c r="BH1748" s="274"/>
      <c r="BI1748" s="274"/>
      <c r="BJ1748" s="274"/>
      <c r="BK1748" s="274"/>
      <c r="BL1748" s="274"/>
      <c r="BM1748" s="274"/>
    </row>
    <row r="1749" spans="1:65" s="275" customFormat="1" ht="15" customHeight="1" x14ac:dyDescent="0.2">
      <c r="A1749" s="464" t="s">
        <v>133</v>
      </c>
      <c r="B1749" s="465">
        <v>43070</v>
      </c>
      <c r="C1749" s="465">
        <v>43087</v>
      </c>
      <c r="D1749" s="466" t="s">
        <v>124</v>
      </c>
      <c r="E1749" s="467">
        <v>1</v>
      </c>
      <c r="F1749" s="468"/>
      <c r="G1749" s="468" t="s">
        <v>149</v>
      </c>
      <c r="H1749" s="469">
        <v>2000</v>
      </c>
      <c r="I1749" s="470">
        <v>37</v>
      </c>
      <c r="J1749" s="470">
        <v>5</v>
      </c>
      <c r="K1749" s="470">
        <v>8</v>
      </c>
      <c r="L1749" s="470">
        <v>4</v>
      </c>
      <c r="M1749" s="470">
        <v>4</v>
      </c>
      <c r="N1749" s="470">
        <v>1</v>
      </c>
      <c r="O1749" s="470">
        <v>0</v>
      </c>
      <c r="P1749" s="470">
        <v>2</v>
      </c>
      <c r="Q1749" s="470"/>
      <c r="R1749" s="470"/>
      <c r="S1749" s="470"/>
      <c r="T1749" s="470"/>
      <c r="U1749" s="471"/>
      <c r="V1749" s="470">
        <v>1</v>
      </c>
      <c r="W1749" s="471"/>
      <c r="X1749" s="471"/>
      <c r="Y1749" s="470"/>
      <c r="Z1749" s="471">
        <v>1</v>
      </c>
      <c r="AA1749" s="471">
        <v>37</v>
      </c>
      <c r="AB1749" s="472">
        <f>100/(SUM(I1749:Z1749))</f>
        <v>1.5873015873015872</v>
      </c>
      <c r="AC1749" s="472">
        <f>SUM(I1749:AA1749)</f>
        <v>100</v>
      </c>
      <c r="AD1749" s="471"/>
      <c r="AE1749" s="471"/>
      <c r="AF1749" s="471"/>
      <c r="AG1749" s="473" t="s">
        <v>2146</v>
      </c>
      <c r="AH1749" s="474" t="s">
        <v>2147</v>
      </c>
      <c r="AI1749" s="474" t="s">
        <v>2149</v>
      </c>
      <c r="AJ1749" s="468"/>
      <c r="AK1749" s="468" t="s">
        <v>2148</v>
      </c>
      <c r="AL1749" s="475">
        <f>(B1749-DATE(1970,1,1))*86400</f>
        <v>1512086400</v>
      </c>
      <c r="AM1749" s="475">
        <f>(C1749-DATE(1970,1,1))*86400</f>
        <v>1513555200</v>
      </c>
      <c r="AN1749" s="475">
        <f>AVERAGE(AL1749:AM1749)</f>
        <v>1512820800</v>
      </c>
      <c r="AO1749" s="274"/>
      <c r="AP1749" s="274"/>
      <c r="AQ1749" s="274"/>
      <c r="AR1749" s="274"/>
      <c r="AS1749" s="274"/>
      <c r="AT1749" s="274"/>
      <c r="AU1749" s="274"/>
      <c r="AV1749" s="274"/>
      <c r="AW1749" s="274"/>
      <c r="AX1749" s="274"/>
      <c r="AY1749" s="274"/>
      <c r="AZ1749" s="274"/>
      <c r="BA1749" s="274"/>
      <c r="BB1749" s="274"/>
      <c r="BC1749" s="274"/>
      <c r="BD1749" s="274"/>
      <c r="BE1749" s="274"/>
      <c r="BF1749" s="274"/>
      <c r="BG1749" s="274"/>
      <c r="BH1749" s="274"/>
      <c r="BI1749" s="274"/>
      <c r="BJ1749" s="274"/>
      <c r="BK1749" s="274"/>
      <c r="BL1749" s="274"/>
      <c r="BM1749" s="274"/>
    </row>
    <row r="1750" spans="1:65" s="275" customFormat="1" ht="15" customHeight="1" x14ac:dyDescent="0.2">
      <c r="A1750" s="464" t="s">
        <v>123</v>
      </c>
      <c r="B1750" s="465">
        <v>43070</v>
      </c>
      <c r="C1750" s="465">
        <v>43087</v>
      </c>
      <c r="D1750" s="466" t="s">
        <v>124</v>
      </c>
      <c r="E1750" s="467">
        <v>1</v>
      </c>
      <c r="F1750" s="468"/>
      <c r="G1750" s="468" t="s">
        <v>149</v>
      </c>
      <c r="H1750" s="469">
        <v>2000</v>
      </c>
      <c r="I1750" s="470">
        <v>51</v>
      </c>
      <c r="J1750" s="470">
        <v>8</v>
      </c>
      <c r="K1750" s="470">
        <v>14</v>
      </c>
      <c r="L1750" s="470">
        <v>9</v>
      </c>
      <c r="M1750" s="470">
        <v>9</v>
      </c>
      <c r="N1750" s="470">
        <v>2</v>
      </c>
      <c r="O1750" s="470">
        <v>1</v>
      </c>
      <c r="P1750" s="470">
        <v>3</v>
      </c>
      <c r="Q1750" s="470"/>
      <c r="R1750" s="470"/>
      <c r="S1750" s="470"/>
      <c r="T1750" s="470"/>
      <c r="U1750" s="471"/>
      <c r="V1750" s="470">
        <v>2</v>
      </c>
      <c r="W1750" s="471"/>
      <c r="X1750" s="471"/>
      <c r="Y1750" s="470"/>
      <c r="Z1750" s="471">
        <v>1</v>
      </c>
      <c r="AA1750" s="471">
        <v>0</v>
      </c>
      <c r="AB1750" s="472">
        <f>100/(SUM(I1750:Z1750))</f>
        <v>1</v>
      </c>
      <c r="AC1750" s="472">
        <f>SUM(I1750:AA1750)</f>
        <v>100</v>
      </c>
      <c r="AD1750" s="471"/>
      <c r="AE1750" s="471"/>
      <c r="AF1750" s="471"/>
      <c r="AG1750" s="473" t="s">
        <v>2146</v>
      </c>
      <c r="AH1750" s="474" t="s">
        <v>2147</v>
      </c>
      <c r="AI1750" s="474" t="s">
        <v>2149</v>
      </c>
      <c r="AJ1750" s="468"/>
      <c r="AK1750" s="468" t="s">
        <v>2148</v>
      </c>
      <c r="AL1750" s="475">
        <f>(B1750-DATE(1970,1,1))*86400</f>
        <v>1512086400</v>
      </c>
      <c r="AM1750" s="475">
        <f>(C1750-DATE(1970,1,1))*86400</f>
        <v>1513555200</v>
      </c>
      <c r="AN1750" s="475">
        <f>AVERAGE(AL1750:AM1750)</f>
        <v>1512820800</v>
      </c>
      <c r="AO1750" s="274"/>
      <c r="AP1750" s="274"/>
      <c r="AQ1750" s="274"/>
      <c r="AR1750" s="274"/>
      <c r="AS1750" s="274"/>
      <c r="AT1750" s="274"/>
      <c r="AU1750" s="274"/>
      <c r="AV1750" s="274"/>
      <c r="AW1750" s="274"/>
      <c r="AX1750" s="274"/>
      <c r="AY1750" s="274"/>
      <c r="AZ1750" s="274"/>
      <c r="BA1750" s="274"/>
      <c r="BB1750" s="274"/>
      <c r="BC1750" s="274"/>
      <c r="BD1750" s="274"/>
      <c r="BE1750" s="274"/>
      <c r="BF1750" s="274"/>
      <c r="BG1750" s="274"/>
      <c r="BH1750" s="274"/>
      <c r="BI1750" s="274"/>
      <c r="BJ1750" s="274"/>
      <c r="BK1750" s="274"/>
      <c r="BL1750" s="274"/>
      <c r="BM1750" s="274"/>
    </row>
    <row r="1751" spans="1:65" s="275" customFormat="1" ht="15" customHeight="1" x14ac:dyDescent="0.2">
      <c r="A1751" s="314" t="s">
        <v>133</v>
      </c>
      <c r="B1751" s="317">
        <v>43075</v>
      </c>
      <c r="C1751" s="317">
        <v>43081</v>
      </c>
      <c r="D1751" s="274" t="s">
        <v>276</v>
      </c>
      <c r="E1751" s="327">
        <v>0</v>
      </c>
      <c r="G1751" s="275" t="s">
        <v>126</v>
      </c>
      <c r="H1751" s="387">
        <v>1000</v>
      </c>
      <c r="I1751" s="315">
        <v>35</v>
      </c>
      <c r="J1751" s="315">
        <v>6</v>
      </c>
      <c r="K1751" s="315">
        <v>16</v>
      </c>
      <c r="L1751" s="315">
        <v>5</v>
      </c>
      <c r="M1751" s="315">
        <v>5</v>
      </c>
      <c r="N1751" s="315">
        <v>1</v>
      </c>
      <c r="O1751" s="315">
        <v>1</v>
      </c>
      <c r="P1751" s="315">
        <v>3</v>
      </c>
      <c r="Q1751" s="315"/>
      <c r="R1751" s="315"/>
      <c r="S1751" s="315"/>
      <c r="T1751" s="315"/>
      <c r="U1751" s="316"/>
      <c r="V1751" s="315">
        <v>1</v>
      </c>
      <c r="W1751" s="316"/>
      <c r="X1751" s="316"/>
      <c r="Y1751" s="315"/>
      <c r="Z1751" s="316">
        <v>0</v>
      </c>
      <c r="AA1751" s="395">
        <v>27</v>
      </c>
      <c r="AB1751" s="259">
        <f>100/(SUM(I1751:Z1751))</f>
        <v>1.3698630136986301</v>
      </c>
      <c r="AC1751" s="259">
        <f>SUM(I1751:AA1751)</f>
        <v>100</v>
      </c>
      <c r="AD1751" s="316"/>
      <c r="AE1751" s="316"/>
      <c r="AF1751" s="316"/>
      <c r="AG1751" s="318" t="s">
        <v>365</v>
      </c>
      <c r="AH1751" s="390" t="s">
        <v>2167</v>
      </c>
      <c r="AI1751" s="390"/>
      <c r="AJ1751" s="390" t="s">
        <v>2168</v>
      </c>
      <c r="AL1751" s="260">
        <f>(B1751-DATE(1970,1,1))*86400</f>
        <v>1512518400</v>
      </c>
      <c r="AM1751" s="260">
        <f>(C1751-DATE(1970,1,1))*86400</f>
        <v>1513036800</v>
      </c>
      <c r="AN1751" s="260">
        <f>AVERAGE(AL1751:AM1751)</f>
        <v>1512777600</v>
      </c>
      <c r="AO1751" s="274"/>
      <c r="AP1751" s="274"/>
      <c r="AQ1751" s="274"/>
      <c r="AR1751" s="274"/>
      <c r="AS1751" s="274"/>
      <c r="AT1751" s="274"/>
      <c r="AU1751" s="274"/>
      <c r="AV1751" s="274"/>
      <c r="AW1751" s="274"/>
      <c r="AX1751" s="274"/>
      <c r="AY1751" s="274"/>
      <c r="AZ1751" s="274"/>
      <c r="BA1751" s="274"/>
      <c r="BB1751" s="274"/>
      <c r="BC1751" s="274"/>
      <c r="BD1751" s="274"/>
      <c r="BE1751" s="274"/>
      <c r="BF1751" s="274"/>
      <c r="BG1751" s="274"/>
      <c r="BH1751" s="274"/>
      <c r="BI1751" s="274"/>
      <c r="BJ1751" s="274"/>
      <c r="BK1751" s="274"/>
      <c r="BL1751" s="274"/>
      <c r="BM1751" s="274"/>
    </row>
    <row r="1752" spans="1:65" s="275" customFormat="1" ht="15" customHeight="1" x14ac:dyDescent="0.2">
      <c r="A1752" s="314" t="s">
        <v>123</v>
      </c>
      <c r="B1752" s="317">
        <v>43075</v>
      </c>
      <c r="C1752" s="317">
        <v>43081</v>
      </c>
      <c r="D1752" s="274" t="s">
        <v>276</v>
      </c>
      <c r="E1752" s="327">
        <v>0</v>
      </c>
      <c r="G1752" s="275" t="s">
        <v>126</v>
      </c>
      <c r="H1752" s="387">
        <v>1000</v>
      </c>
      <c r="I1752" s="315">
        <v>50</v>
      </c>
      <c r="J1752" s="315">
        <v>8</v>
      </c>
      <c r="K1752" s="315">
        <v>21</v>
      </c>
      <c r="L1752" s="315">
        <v>7</v>
      </c>
      <c r="M1752" s="315">
        <v>7</v>
      </c>
      <c r="N1752" s="389">
        <v>1</v>
      </c>
      <c r="O1752" s="315">
        <v>1</v>
      </c>
      <c r="P1752" s="315">
        <v>3</v>
      </c>
      <c r="Q1752" s="315"/>
      <c r="R1752" s="315"/>
      <c r="S1752" s="315"/>
      <c r="T1752" s="315"/>
      <c r="U1752" s="316"/>
      <c r="V1752" s="315">
        <v>2</v>
      </c>
      <c r="W1752" s="316"/>
      <c r="X1752" s="316"/>
      <c r="Y1752" s="315"/>
      <c r="Z1752" s="395">
        <v>0</v>
      </c>
      <c r="AA1752" s="316">
        <v>0</v>
      </c>
      <c r="AB1752" s="259">
        <f>100/(SUM(I1752:Z1752))</f>
        <v>1</v>
      </c>
      <c r="AC1752" s="259">
        <f>SUM(I1752:AA1752)</f>
        <v>100</v>
      </c>
      <c r="AD1752" s="316"/>
      <c r="AE1752" s="316"/>
      <c r="AF1752" s="316"/>
      <c r="AG1752" s="318" t="s">
        <v>365</v>
      </c>
      <c r="AH1752" s="390" t="s">
        <v>2166</v>
      </c>
      <c r="AI1752" s="390" t="s">
        <v>2167</v>
      </c>
      <c r="AJ1752" s="390" t="s">
        <v>2168</v>
      </c>
      <c r="AL1752" s="260">
        <f>(B1752-DATE(1970,1,1))*86400</f>
        <v>1512518400</v>
      </c>
      <c r="AM1752" s="260">
        <f>(C1752-DATE(1970,1,1))*86400</f>
        <v>1513036800</v>
      </c>
      <c r="AN1752" s="260">
        <f>AVERAGE(AL1752:AM1752)</f>
        <v>1512777600</v>
      </c>
      <c r="AO1752" s="274"/>
      <c r="AP1752" s="274"/>
      <c r="AQ1752" s="274"/>
      <c r="AR1752" s="274"/>
      <c r="AS1752" s="274"/>
      <c r="AT1752" s="274"/>
      <c r="AU1752" s="274"/>
      <c r="AV1752" s="274"/>
      <c r="AW1752" s="274"/>
      <c r="AX1752" s="274"/>
      <c r="AY1752" s="274"/>
      <c r="AZ1752" s="274"/>
      <c r="BA1752" s="274"/>
      <c r="BB1752" s="274"/>
      <c r="BC1752" s="274"/>
      <c r="BD1752" s="274"/>
      <c r="BE1752" s="274"/>
      <c r="BF1752" s="274"/>
      <c r="BG1752" s="274"/>
      <c r="BH1752" s="274"/>
      <c r="BI1752" s="274"/>
      <c r="BJ1752" s="274"/>
      <c r="BK1752" s="274"/>
      <c r="BL1752" s="274"/>
      <c r="BM1752" s="274"/>
    </row>
    <row r="1753" spans="1:65" s="275" customFormat="1" ht="15" customHeight="1" x14ac:dyDescent="0.2">
      <c r="A1753" s="314" t="s">
        <v>133</v>
      </c>
      <c r="B1753" s="317">
        <v>43063</v>
      </c>
      <c r="C1753" s="317">
        <v>43069</v>
      </c>
      <c r="D1753" s="274" t="s">
        <v>276</v>
      </c>
      <c r="E1753" s="327">
        <v>0</v>
      </c>
      <c r="G1753" s="275" t="s">
        <v>149</v>
      </c>
      <c r="H1753" s="387">
        <v>1000</v>
      </c>
      <c r="I1753" s="315">
        <v>34</v>
      </c>
      <c r="J1753" s="315">
        <v>6</v>
      </c>
      <c r="K1753" s="315">
        <v>17</v>
      </c>
      <c r="L1753" s="315">
        <v>5</v>
      </c>
      <c r="M1753" s="315">
        <v>6</v>
      </c>
      <c r="N1753" s="315">
        <v>1</v>
      </c>
      <c r="O1753" s="315">
        <v>1</v>
      </c>
      <c r="P1753" s="315">
        <v>3</v>
      </c>
      <c r="Q1753" s="315"/>
      <c r="R1753" s="315"/>
      <c r="S1753" s="315"/>
      <c r="T1753" s="315"/>
      <c r="U1753" s="316"/>
      <c r="V1753" s="315">
        <v>1</v>
      </c>
      <c r="W1753" s="316"/>
      <c r="X1753" s="316"/>
      <c r="Y1753" s="315"/>
      <c r="Z1753" s="316">
        <v>0</v>
      </c>
      <c r="AA1753" s="316">
        <v>26</v>
      </c>
      <c r="AB1753" s="259">
        <f>100/(SUM(I1753:Z1753))</f>
        <v>1.3513513513513513</v>
      </c>
      <c r="AC1753" s="259">
        <f>SUM(I1753:AA1753)</f>
        <v>100</v>
      </c>
      <c r="AD1753" s="316"/>
      <c r="AE1753" s="316"/>
      <c r="AF1753" s="316"/>
      <c r="AG1753" s="318" t="s">
        <v>136</v>
      </c>
      <c r="AH1753" s="390" t="s">
        <v>2169</v>
      </c>
      <c r="AI1753" s="390" t="s">
        <v>2170</v>
      </c>
      <c r="AJ1753" s="390" t="s">
        <v>2167</v>
      </c>
      <c r="AL1753" s="260">
        <f>(B1753-DATE(1970,1,1))*86400</f>
        <v>1511481600</v>
      </c>
      <c r="AM1753" s="260">
        <f>(C1753-DATE(1970,1,1))*86400</f>
        <v>1512000000</v>
      </c>
      <c r="AN1753" s="260">
        <f>AVERAGE(AL1753:AM1753)</f>
        <v>1511740800</v>
      </c>
      <c r="AO1753" s="274"/>
      <c r="AP1753" s="274"/>
      <c r="AQ1753" s="274"/>
      <c r="AR1753" s="274"/>
      <c r="AS1753" s="274"/>
      <c r="AT1753" s="274"/>
      <c r="AU1753" s="274"/>
      <c r="AV1753" s="274"/>
      <c r="AW1753" s="274"/>
      <c r="AX1753" s="274"/>
      <c r="AY1753" s="274"/>
      <c r="AZ1753" s="274"/>
      <c r="BA1753" s="274"/>
      <c r="BB1753" s="274"/>
      <c r="BC1753" s="274"/>
      <c r="BD1753" s="274"/>
      <c r="BE1753" s="274"/>
      <c r="BF1753" s="274"/>
      <c r="BG1753" s="274"/>
      <c r="BH1753" s="274"/>
      <c r="BI1753" s="274"/>
      <c r="BJ1753" s="274"/>
      <c r="BK1753" s="274"/>
      <c r="BL1753" s="274"/>
      <c r="BM1753" s="274"/>
    </row>
    <row r="1754" spans="1:65" s="275" customFormat="1" ht="15" customHeight="1" x14ac:dyDescent="0.2">
      <c r="A1754" s="314" t="s">
        <v>123</v>
      </c>
      <c r="B1754" s="317">
        <v>43063</v>
      </c>
      <c r="C1754" s="317">
        <v>43069</v>
      </c>
      <c r="D1754" s="274" t="s">
        <v>276</v>
      </c>
      <c r="E1754" s="327">
        <v>0</v>
      </c>
      <c r="G1754" s="275" t="s">
        <v>149</v>
      </c>
      <c r="H1754" s="387">
        <v>1000</v>
      </c>
      <c r="I1754" s="315">
        <v>50</v>
      </c>
      <c r="J1754" s="315">
        <v>7</v>
      </c>
      <c r="K1754" s="315">
        <v>22</v>
      </c>
      <c r="L1754" s="315">
        <v>7</v>
      </c>
      <c r="M1754" s="315">
        <v>8</v>
      </c>
      <c r="N1754" s="315">
        <v>1</v>
      </c>
      <c r="O1754" s="315">
        <v>1</v>
      </c>
      <c r="P1754" s="315">
        <v>3</v>
      </c>
      <c r="Q1754" s="315"/>
      <c r="R1754" s="315"/>
      <c r="S1754" s="315"/>
      <c r="T1754" s="315"/>
      <c r="U1754" s="316"/>
      <c r="V1754" s="315">
        <v>1</v>
      </c>
      <c r="W1754" s="316"/>
      <c r="X1754" s="316"/>
      <c r="Y1754" s="315"/>
      <c r="Z1754" s="316">
        <v>0</v>
      </c>
      <c r="AA1754" s="316">
        <v>0</v>
      </c>
      <c r="AB1754" s="259">
        <f>100/(SUM(I1754:Z1754))</f>
        <v>1</v>
      </c>
      <c r="AC1754" s="259">
        <f>SUM(I1754:AA1754)</f>
        <v>100</v>
      </c>
      <c r="AD1754" s="316"/>
      <c r="AE1754" s="316"/>
      <c r="AF1754" s="316"/>
      <c r="AG1754" s="318" t="s">
        <v>136</v>
      </c>
      <c r="AH1754" s="390" t="s">
        <v>2169</v>
      </c>
      <c r="AI1754" s="390" t="s">
        <v>2170</v>
      </c>
      <c r="AJ1754" s="390" t="s">
        <v>2167</v>
      </c>
      <c r="AL1754" s="260">
        <f>(B1754-DATE(1970,1,1))*86400</f>
        <v>1511481600</v>
      </c>
      <c r="AM1754" s="260">
        <f>(C1754-DATE(1970,1,1))*86400</f>
        <v>1512000000</v>
      </c>
      <c r="AN1754" s="260">
        <f>AVERAGE(AL1754:AM1754)</f>
        <v>1511740800</v>
      </c>
      <c r="AO1754" s="274"/>
      <c r="AP1754" s="274"/>
      <c r="AQ1754" s="274"/>
      <c r="AR1754" s="274"/>
      <c r="AS1754" s="274"/>
      <c r="AT1754" s="274"/>
      <c r="AU1754" s="274"/>
      <c r="AV1754" s="274"/>
      <c r="AW1754" s="274"/>
      <c r="AX1754" s="274"/>
      <c r="AY1754" s="274"/>
      <c r="AZ1754" s="274"/>
      <c r="BA1754" s="274"/>
      <c r="BB1754" s="274"/>
      <c r="BC1754" s="274"/>
      <c r="BD1754" s="274"/>
      <c r="BE1754" s="274"/>
      <c r="BF1754" s="274"/>
      <c r="BG1754" s="274"/>
      <c r="BH1754" s="274"/>
      <c r="BI1754" s="274"/>
      <c r="BJ1754" s="274"/>
      <c r="BK1754" s="274"/>
      <c r="BL1754" s="274"/>
      <c r="BM1754" s="274"/>
    </row>
    <row r="1755" spans="1:65" s="275" customFormat="1" ht="15" customHeight="1" x14ac:dyDescent="0.2">
      <c r="A1755" s="422" t="s">
        <v>133</v>
      </c>
      <c r="B1755" s="423">
        <v>43063</v>
      </c>
      <c r="C1755" s="423">
        <v>43069</v>
      </c>
      <c r="D1755" s="424" t="s">
        <v>143</v>
      </c>
      <c r="E1755" s="425">
        <v>1</v>
      </c>
      <c r="F1755" s="426"/>
      <c r="G1755" s="426" t="s">
        <v>149</v>
      </c>
      <c r="H1755" s="427">
        <v>1000</v>
      </c>
      <c r="I1755" s="428">
        <v>39</v>
      </c>
      <c r="J1755" s="428">
        <v>7</v>
      </c>
      <c r="K1755" s="428">
        <v>11</v>
      </c>
      <c r="L1755" s="428">
        <v>4</v>
      </c>
      <c r="M1755" s="428">
        <v>5</v>
      </c>
      <c r="N1755" s="429">
        <v>1</v>
      </c>
      <c r="O1755" s="430"/>
      <c r="P1755" s="428">
        <v>1</v>
      </c>
      <c r="Q1755" s="428"/>
      <c r="R1755" s="428"/>
      <c r="S1755" s="428"/>
      <c r="T1755" s="428"/>
      <c r="U1755" s="431"/>
      <c r="V1755" s="428">
        <v>1</v>
      </c>
      <c r="W1755" s="431"/>
      <c r="X1755" s="431"/>
      <c r="Y1755" s="428"/>
      <c r="Z1755" s="431">
        <v>1</v>
      </c>
      <c r="AA1755" s="431">
        <v>30</v>
      </c>
      <c r="AB1755" s="432">
        <f>100/(SUM(I1755:Z1755))</f>
        <v>1.4285714285714286</v>
      </c>
      <c r="AC1755" s="432">
        <f>SUM(I1755:AA1755)</f>
        <v>100</v>
      </c>
      <c r="AD1755" s="431"/>
      <c r="AE1755" s="431"/>
      <c r="AF1755" s="431"/>
      <c r="AG1755" s="433" t="s">
        <v>136</v>
      </c>
      <c r="AH1755" s="434" t="s">
        <v>2179</v>
      </c>
      <c r="AI1755" s="426" t="s">
        <v>2180</v>
      </c>
      <c r="AJ1755" s="434" t="s">
        <v>2178</v>
      </c>
      <c r="AK1755" s="426" t="s">
        <v>2112</v>
      </c>
      <c r="AL1755" s="435">
        <f>(B1755-DATE(1970,1,1))*86400</f>
        <v>1511481600</v>
      </c>
      <c r="AM1755" s="435">
        <f>(C1755-DATE(1970,1,1))*86400</f>
        <v>1512000000</v>
      </c>
      <c r="AN1755" s="435">
        <f>AVERAGE(AL1755:AM1755)</f>
        <v>1511740800</v>
      </c>
      <c r="AO1755" s="274"/>
      <c r="AP1755" s="274"/>
      <c r="AQ1755" s="274"/>
      <c r="AR1755" s="274"/>
      <c r="AS1755" s="274"/>
      <c r="AT1755" s="274"/>
      <c r="AU1755" s="274"/>
      <c r="AV1755" s="274"/>
      <c r="AW1755" s="274"/>
      <c r="AX1755" s="274"/>
      <c r="AY1755" s="274"/>
      <c r="AZ1755" s="274"/>
      <c r="BA1755" s="274"/>
      <c r="BB1755" s="274"/>
      <c r="BC1755" s="274"/>
      <c r="BD1755" s="274"/>
      <c r="BE1755" s="274"/>
      <c r="BF1755" s="274"/>
      <c r="BG1755" s="274"/>
      <c r="BH1755" s="274"/>
      <c r="BI1755" s="274"/>
      <c r="BJ1755" s="274"/>
      <c r="BK1755" s="274"/>
      <c r="BL1755" s="274"/>
      <c r="BM1755" s="274"/>
    </row>
    <row r="1756" spans="1:65" s="275" customFormat="1" ht="15" customHeight="1" x14ac:dyDescent="0.2">
      <c r="A1756" s="422" t="s">
        <v>133</v>
      </c>
      <c r="B1756" s="423">
        <v>43063</v>
      </c>
      <c r="C1756" s="423">
        <v>43069</v>
      </c>
      <c r="D1756" s="424" t="s">
        <v>143</v>
      </c>
      <c r="E1756" s="425">
        <v>1</v>
      </c>
      <c r="F1756" s="426"/>
      <c r="G1756" s="426" t="s">
        <v>149</v>
      </c>
      <c r="H1756" s="427">
        <v>1000</v>
      </c>
      <c r="I1756" s="681">
        <v>56</v>
      </c>
      <c r="J1756" s="681">
        <v>10</v>
      </c>
      <c r="K1756" s="681">
        <v>15</v>
      </c>
      <c r="L1756" s="681">
        <v>6</v>
      </c>
      <c r="M1756" s="681">
        <v>7</v>
      </c>
      <c r="N1756" s="429">
        <v>2</v>
      </c>
      <c r="O1756" s="430"/>
      <c r="P1756" s="428">
        <v>2</v>
      </c>
      <c r="Q1756" s="428"/>
      <c r="R1756" s="428"/>
      <c r="S1756" s="428"/>
      <c r="T1756" s="428"/>
      <c r="U1756" s="431"/>
      <c r="V1756" s="428">
        <v>2</v>
      </c>
      <c r="W1756" s="431"/>
      <c r="X1756" s="431"/>
      <c r="Y1756" s="428"/>
      <c r="Z1756" s="431">
        <v>0</v>
      </c>
      <c r="AA1756" s="431">
        <v>0</v>
      </c>
      <c r="AB1756" s="432">
        <f>100/(SUM(I1756:Z1756))</f>
        <v>1</v>
      </c>
      <c r="AC1756" s="432">
        <f>SUM(I1756:AA1756)</f>
        <v>100</v>
      </c>
      <c r="AD1756" s="431"/>
      <c r="AE1756" s="431"/>
      <c r="AF1756" s="431"/>
      <c r="AG1756" s="433" t="s">
        <v>136</v>
      </c>
      <c r="AH1756" s="434" t="s">
        <v>2179</v>
      </c>
      <c r="AI1756" s="426" t="s">
        <v>2180</v>
      </c>
      <c r="AJ1756" s="434" t="s">
        <v>2178</v>
      </c>
      <c r="AK1756" s="426" t="s">
        <v>2112</v>
      </c>
      <c r="AL1756" s="435">
        <f>(B1756-DATE(1970,1,1))*86400</f>
        <v>1511481600</v>
      </c>
      <c r="AM1756" s="435">
        <f>(C1756-DATE(1970,1,1))*86400</f>
        <v>1512000000</v>
      </c>
      <c r="AN1756" s="435">
        <f>AVERAGE(AL1756:AM1756)</f>
        <v>1511740800</v>
      </c>
    </row>
    <row r="1757" spans="1:65" s="275" customFormat="1" ht="15" customHeight="1" x14ac:dyDescent="0.2">
      <c r="A1757" s="422" t="s">
        <v>123</v>
      </c>
      <c r="B1757" s="423">
        <v>43063</v>
      </c>
      <c r="C1757" s="423">
        <v>43069</v>
      </c>
      <c r="D1757" s="424" t="s">
        <v>143</v>
      </c>
      <c r="E1757" s="425">
        <v>1</v>
      </c>
      <c r="F1757" s="426"/>
      <c r="G1757" s="426" t="s">
        <v>149</v>
      </c>
      <c r="H1757" s="427">
        <v>1000</v>
      </c>
      <c r="I1757" s="428">
        <v>60</v>
      </c>
      <c r="J1757" s="428">
        <v>10</v>
      </c>
      <c r="K1757" s="428">
        <v>15</v>
      </c>
      <c r="L1757" s="428">
        <v>5</v>
      </c>
      <c r="M1757" s="428">
        <v>7</v>
      </c>
      <c r="N1757" s="429">
        <v>2</v>
      </c>
      <c r="O1757" s="430"/>
      <c r="P1757" s="428">
        <v>1</v>
      </c>
      <c r="Q1757" s="428"/>
      <c r="R1757" s="428"/>
      <c r="S1757" s="428"/>
      <c r="T1757" s="428"/>
      <c r="U1757" s="431"/>
      <c r="V1757" s="428">
        <v>0</v>
      </c>
      <c r="W1757" s="431"/>
      <c r="X1757" s="431"/>
      <c r="Y1757" s="428"/>
      <c r="Z1757" s="431">
        <v>0</v>
      </c>
      <c r="AA1757" s="431">
        <v>0</v>
      </c>
      <c r="AB1757" s="432">
        <f>100/(SUM(I1757:Z1757))</f>
        <v>1</v>
      </c>
      <c r="AC1757" s="432">
        <f>SUM(I1757:AA1757)</f>
        <v>100</v>
      </c>
      <c r="AD1757" s="431"/>
      <c r="AE1757" s="431"/>
      <c r="AF1757" s="431"/>
      <c r="AG1757" s="433" t="s">
        <v>136</v>
      </c>
      <c r="AH1757" s="434" t="s">
        <v>2179</v>
      </c>
      <c r="AI1757" s="426" t="s">
        <v>2180</v>
      </c>
      <c r="AJ1757" s="434" t="s">
        <v>2178</v>
      </c>
      <c r="AK1757" s="426" t="s">
        <v>2112</v>
      </c>
      <c r="AL1757" s="435">
        <f>(B1757-DATE(1970,1,1))*86400</f>
        <v>1511481600</v>
      </c>
      <c r="AM1757" s="435">
        <f>(C1757-DATE(1970,1,1))*86400</f>
        <v>1512000000</v>
      </c>
      <c r="AN1757" s="435">
        <f>AVERAGE(AL1757:AM1757)</f>
        <v>1511740800</v>
      </c>
      <c r="AO1757" s="274"/>
      <c r="AP1757" s="274"/>
      <c r="AQ1757" s="274"/>
      <c r="AR1757" s="274"/>
      <c r="AS1757" s="274"/>
      <c r="AT1757" s="274"/>
      <c r="AU1757" s="274"/>
      <c r="AV1757" s="274"/>
      <c r="AW1757" s="274"/>
      <c r="AX1757" s="274"/>
      <c r="AY1757" s="274"/>
      <c r="AZ1757" s="274"/>
      <c r="BA1757" s="274"/>
      <c r="BB1757" s="274"/>
      <c r="BC1757" s="274"/>
      <c r="BD1757" s="274"/>
      <c r="BE1757" s="274"/>
      <c r="BF1757" s="274"/>
      <c r="BG1757" s="274"/>
      <c r="BH1757" s="274"/>
      <c r="BI1757" s="274"/>
      <c r="BJ1757" s="274"/>
      <c r="BK1757" s="274"/>
      <c r="BL1757" s="274"/>
      <c r="BM1757" s="274"/>
    </row>
    <row r="1758" spans="1:65" s="275" customFormat="1" ht="15" customHeight="1" x14ac:dyDescent="0.2">
      <c r="A1758" s="492" t="s">
        <v>133</v>
      </c>
      <c r="B1758" s="493">
        <v>43057</v>
      </c>
      <c r="C1758" s="493">
        <v>43069</v>
      </c>
      <c r="D1758" s="494" t="s">
        <v>168</v>
      </c>
      <c r="E1758" s="495">
        <v>0</v>
      </c>
      <c r="F1758" s="496"/>
      <c r="G1758" s="496" t="s">
        <v>149</v>
      </c>
      <c r="H1758" s="497">
        <v>1000</v>
      </c>
      <c r="I1758" s="498">
        <v>34</v>
      </c>
      <c r="J1758" s="498">
        <v>7</v>
      </c>
      <c r="K1758" s="498">
        <v>8</v>
      </c>
      <c r="L1758" s="498">
        <v>4</v>
      </c>
      <c r="M1758" s="498">
        <v>3</v>
      </c>
      <c r="N1758" s="499">
        <v>1</v>
      </c>
      <c r="O1758" s="500"/>
      <c r="P1758" s="498">
        <v>2</v>
      </c>
      <c r="Q1758" s="498"/>
      <c r="R1758" s="498"/>
      <c r="S1758" s="498"/>
      <c r="T1758" s="498"/>
      <c r="U1758" s="501"/>
      <c r="V1758" s="498"/>
      <c r="W1758" s="501"/>
      <c r="X1758" s="501"/>
      <c r="Y1758" s="498"/>
      <c r="Z1758" s="501">
        <v>1</v>
      </c>
      <c r="AA1758" s="501">
        <v>40</v>
      </c>
      <c r="AB1758" s="502">
        <f>100/(SUM(I1758:Z1758))</f>
        <v>1.6666666666666667</v>
      </c>
      <c r="AC1758" s="502">
        <f>SUM(I1758:AA1758)</f>
        <v>100</v>
      </c>
      <c r="AD1758" s="501"/>
      <c r="AE1758" s="501"/>
      <c r="AF1758" s="501"/>
      <c r="AG1758" s="503" t="s">
        <v>136</v>
      </c>
      <c r="AH1758" s="496" t="s">
        <v>2126</v>
      </c>
      <c r="AI1758" s="496" t="s">
        <v>2125</v>
      </c>
      <c r="AJ1758" s="496" t="s">
        <v>2125</v>
      </c>
      <c r="AK1758" s="496" t="s">
        <v>2112</v>
      </c>
      <c r="AL1758" s="504">
        <f>(B1758-DATE(1970,1,1))*86400</f>
        <v>1510963200</v>
      </c>
      <c r="AM1758" s="504">
        <f>(C1758-DATE(1970,1,1))*86400</f>
        <v>1512000000</v>
      </c>
      <c r="AN1758" s="504">
        <f>AVERAGE(AL1758:AM1758)</f>
        <v>1511481600</v>
      </c>
      <c r="AO1758" s="274"/>
      <c r="AP1758" s="274"/>
      <c r="AQ1758" s="274"/>
      <c r="AR1758" s="274"/>
      <c r="AS1758" s="274"/>
      <c r="AT1758" s="274"/>
      <c r="AU1758" s="274"/>
      <c r="AV1758" s="274"/>
      <c r="AW1758" s="274"/>
      <c r="AX1758" s="274"/>
      <c r="AY1758" s="274"/>
      <c r="AZ1758" s="274"/>
      <c r="BA1758" s="274"/>
      <c r="BB1758" s="274"/>
      <c r="BC1758" s="274"/>
      <c r="BD1758" s="274"/>
      <c r="BE1758" s="274"/>
      <c r="BF1758" s="274"/>
      <c r="BG1758" s="274"/>
      <c r="BH1758" s="274"/>
      <c r="BI1758" s="274"/>
      <c r="BJ1758" s="274"/>
      <c r="BK1758" s="274"/>
      <c r="BL1758" s="274"/>
      <c r="BM1758" s="274"/>
    </row>
    <row r="1759" spans="1:65" s="275" customFormat="1" ht="15" customHeight="1" x14ac:dyDescent="0.2">
      <c r="A1759" s="492" t="s">
        <v>133</v>
      </c>
      <c r="B1759" s="493">
        <v>43057</v>
      </c>
      <c r="C1759" s="493">
        <v>43069</v>
      </c>
      <c r="D1759" s="494" t="s">
        <v>168</v>
      </c>
      <c r="E1759" s="495">
        <v>0</v>
      </c>
      <c r="F1759" s="496"/>
      <c r="G1759" s="496" t="s">
        <v>149</v>
      </c>
      <c r="H1759" s="497">
        <v>1000</v>
      </c>
      <c r="I1759" s="498">
        <v>57</v>
      </c>
      <c r="J1759" s="498">
        <v>11</v>
      </c>
      <c r="K1759" s="498">
        <v>13</v>
      </c>
      <c r="L1759" s="498">
        <v>6</v>
      </c>
      <c r="M1759" s="498">
        <v>6</v>
      </c>
      <c r="N1759" s="499">
        <v>2</v>
      </c>
      <c r="O1759" s="500"/>
      <c r="P1759" s="498">
        <v>3</v>
      </c>
      <c r="Q1759" s="498"/>
      <c r="R1759" s="498"/>
      <c r="S1759" s="498"/>
      <c r="T1759" s="498"/>
      <c r="U1759" s="501"/>
      <c r="V1759" s="498"/>
      <c r="W1759" s="501"/>
      <c r="X1759" s="501"/>
      <c r="Y1759" s="498"/>
      <c r="Z1759" s="501">
        <v>2</v>
      </c>
      <c r="AA1759" s="501">
        <v>0</v>
      </c>
      <c r="AB1759" s="502">
        <f>100/(SUM(I1759:Z1759))</f>
        <v>1</v>
      </c>
      <c r="AC1759" s="502">
        <f>SUM(I1759:AA1759)</f>
        <v>100</v>
      </c>
      <c r="AD1759" s="501"/>
      <c r="AE1759" s="501"/>
      <c r="AF1759" s="501"/>
      <c r="AG1759" s="503" t="s">
        <v>136</v>
      </c>
      <c r="AH1759" s="496" t="s">
        <v>2124</v>
      </c>
      <c r="AI1759" s="496" t="s">
        <v>2125</v>
      </c>
      <c r="AJ1759" s="496" t="s">
        <v>2125</v>
      </c>
      <c r="AK1759" s="496" t="s">
        <v>2112</v>
      </c>
      <c r="AL1759" s="504">
        <f>(B1759-DATE(1970,1,1))*86400</f>
        <v>1510963200</v>
      </c>
      <c r="AM1759" s="504">
        <f>(C1759-DATE(1970,1,1))*86400</f>
        <v>1512000000</v>
      </c>
      <c r="AN1759" s="504">
        <f>AVERAGE(AL1759:AM1759)</f>
        <v>1511481600</v>
      </c>
      <c r="AO1759" s="274"/>
      <c r="AP1759" s="274"/>
      <c r="AQ1759" s="274"/>
      <c r="AR1759" s="274"/>
      <c r="AS1759" s="274"/>
      <c r="AT1759" s="274"/>
      <c r="AU1759" s="274"/>
      <c r="AV1759" s="274"/>
      <c r="AW1759" s="274"/>
      <c r="AX1759" s="274"/>
      <c r="AY1759" s="274"/>
      <c r="AZ1759" s="274"/>
      <c r="BA1759" s="274"/>
      <c r="BB1759" s="274"/>
      <c r="BC1759" s="274"/>
      <c r="BD1759" s="274"/>
      <c r="BE1759" s="274"/>
      <c r="BF1759" s="274"/>
      <c r="BG1759" s="274"/>
      <c r="BH1759" s="274"/>
      <c r="BI1759" s="274"/>
      <c r="BJ1759" s="274"/>
      <c r="BK1759" s="274"/>
      <c r="BL1759" s="274"/>
      <c r="BM1759" s="274"/>
    </row>
    <row r="1760" spans="1:65" s="275" customFormat="1" ht="15" customHeight="1" x14ac:dyDescent="0.2">
      <c r="A1760" s="506" t="s">
        <v>133</v>
      </c>
      <c r="B1760" s="507">
        <v>43059</v>
      </c>
      <c r="C1760" s="507">
        <v>43067</v>
      </c>
      <c r="D1760" s="517" t="s">
        <v>200</v>
      </c>
      <c r="E1760" s="509">
        <v>1</v>
      </c>
      <c r="F1760" s="508"/>
      <c r="G1760" s="508" t="s">
        <v>126</v>
      </c>
      <c r="H1760" s="518">
        <v>1000</v>
      </c>
      <c r="I1760" s="511">
        <v>36</v>
      </c>
      <c r="J1760" s="511">
        <v>8</v>
      </c>
      <c r="K1760" s="511">
        <v>9</v>
      </c>
      <c r="L1760" s="511">
        <v>7</v>
      </c>
      <c r="M1760" s="511">
        <v>4</v>
      </c>
      <c r="N1760" s="519">
        <v>1</v>
      </c>
      <c r="O1760" s="520"/>
      <c r="P1760" s="511"/>
      <c r="Q1760" s="511"/>
      <c r="R1760" s="511"/>
      <c r="S1760" s="511"/>
      <c r="T1760" s="511"/>
      <c r="U1760" s="512"/>
      <c r="V1760" s="511"/>
      <c r="W1760" s="512"/>
      <c r="X1760" s="512"/>
      <c r="Y1760" s="511"/>
      <c r="Z1760" s="512">
        <v>7</v>
      </c>
      <c r="AA1760" s="512">
        <v>28</v>
      </c>
      <c r="AB1760" s="513">
        <f>100/(SUM(I1760:Z1760))</f>
        <v>1.3888888888888888</v>
      </c>
      <c r="AC1760" s="513">
        <f>SUM(I1760:AA1760)</f>
        <v>100</v>
      </c>
      <c r="AD1760" s="512"/>
      <c r="AE1760" s="512"/>
      <c r="AF1760" s="512"/>
      <c r="AG1760" s="514" t="s">
        <v>136</v>
      </c>
      <c r="AH1760" s="521" t="s">
        <v>2159</v>
      </c>
      <c r="AI1760" s="508"/>
      <c r="AJ1760" s="521" t="s">
        <v>2158</v>
      </c>
      <c r="AK1760" s="508" t="s">
        <v>2112</v>
      </c>
      <c r="AL1760" s="515">
        <f>(B1760-DATE(1970,1,1))*86400</f>
        <v>1511136000</v>
      </c>
      <c r="AM1760" s="515">
        <f>(C1760-DATE(1970,1,1))*86400</f>
        <v>1511827200</v>
      </c>
      <c r="AN1760" s="515">
        <f>AVERAGE(AL1760:AM1760)</f>
        <v>1511481600</v>
      </c>
      <c r="AO1760" s="274"/>
      <c r="AP1760" s="274"/>
      <c r="AQ1760" s="274"/>
      <c r="AR1760" s="274"/>
      <c r="AS1760" s="274"/>
      <c r="AT1760" s="274"/>
      <c r="AU1760" s="274"/>
      <c r="AV1760" s="274"/>
      <c r="AW1760" s="274"/>
      <c r="AX1760" s="274"/>
      <c r="AY1760" s="274"/>
      <c r="AZ1760" s="274"/>
      <c r="BA1760" s="274"/>
      <c r="BB1760" s="274"/>
      <c r="BC1760" s="274"/>
      <c r="BD1760" s="274"/>
      <c r="BE1760" s="274"/>
      <c r="BF1760" s="274"/>
      <c r="BG1760" s="274"/>
      <c r="BH1760" s="274"/>
      <c r="BI1760" s="274"/>
      <c r="BJ1760" s="274"/>
      <c r="BK1760" s="274"/>
      <c r="BL1760" s="274"/>
      <c r="BM1760" s="274"/>
    </row>
    <row r="1761" spans="1:40" s="275" customFormat="1" ht="15" customHeight="1" x14ac:dyDescent="0.2">
      <c r="A1761" s="506" t="s">
        <v>123</v>
      </c>
      <c r="B1761" s="507">
        <v>43059</v>
      </c>
      <c r="C1761" s="507">
        <v>43067</v>
      </c>
      <c r="D1761" s="517" t="s">
        <v>200</v>
      </c>
      <c r="E1761" s="509">
        <v>1</v>
      </c>
      <c r="F1761" s="508"/>
      <c r="G1761" s="508" t="s">
        <v>126</v>
      </c>
      <c r="H1761" s="518">
        <v>1000</v>
      </c>
      <c r="I1761" s="511">
        <v>51</v>
      </c>
      <c r="J1761" s="511">
        <v>14</v>
      </c>
      <c r="K1761" s="511">
        <v>15</v>
      </c>
      <c r="L1761" s="511">
        <v>8</v>
      </c>
      <c r="M1761" s="511">
        <v>5</v>
      </c>
      <c r="N1761" s="519">
        <v>1</v>
      </c>
      <c r="O1761" s="520"/>
      <c r="P1761" s="511"/>
      <c r="Q1761" s="511"/>
      <c r="R1761" s="511"/>
      <c r="S1761" s="511"/>
      <c r="T1761" s="511"/>
      <c r="U1761" s="512"/>
      <c r="V1761" s="511"/>
      <c r="W1761" s="512"/>
      <c r="X1761" s="512"/>
      <c r="Y1761" s="511"/>
      <c r="Z1761" s="512">
        <v>6</v>
      </c>
      <c r="AA1761" s="512">
        <v>0</v>
      </c>
      <c r="AB1761" s="513">
        <f>100/(SUM(I1761:Z1761))</f>
        <v>1</v>
      </c>
      <c r="AC1761" s="513">
        <f>SUM(I1761:AA1761)</f>
        <v>100</v>
      </c>
      <c r="AD1761" s="512"/>
      <c r="AE1761" s="512"/>
      <c r="AF1761" s="512"/>
      <c r="AG1761" s="514" t="s">
        <v>136</v>
      </c>
      <c r="AH1761" s="521" t="s">
        <v>2159</v>
      </c>
      <c r="AI1761" s="508"/>
      <c r="AJ1761" s="521" t="s">
        <v>2158</v>
      </c>
      <c r="AK1761" s="508" t="s">
        <v>2112</v>
      </c>
      <c r="AL1761" s="515">
        <f>(B1761-DATE(1970,1,1))*86400</f>
        <v>1511136000</v>
      </c>
      <c r="AM1761" s="515">
        <f>(C1761-DATE(1970,1,1))*86400</f>
        <v>1511827200</v>
      </c>
      <c r="AN1761" s="515">
        <f>AVERAGE(AL1761:AM1761)</f>
        <v>1511481600</v>
      </c>
    </row>
    <row r="1762" spans="1:40" s="275" customFormat="1" ht="15" customHeight="1" x14ac:dyDescent="0.2">
      <c r="A1762" s="477" t="s">
        <v>133</v>
      </c>
      <c r="B1762" s="478">
        <v>43050</v>
      </c>
      <c r="C1762" s="478">
        <v>43054</v>
      </c>
      <c r="D1762" s="479" t="s">
        <v>154</v>
      </c>
      <c r="E1762" s="480">
        <v>0</v>
      </c>
      <c r="F1762" s="481"/>
      <c r="G1762" s="481" t="s">
        <v>126</v>
      </c>
      <c r="H1762" s="482">
        <v>1001</v>
      </c>
      <c r="I1762" s="483">
        <v>27</v>
      </c>
      <c r="J1762" s="483">
        <v>9</v>
      </c>
      <c r="K1762" s="483">
        <v>10</v>
      </c>
      <c r="L1762" s="483">
        <v>5</v>
      </c>
      <c r="M1762" s="483">
        <v>4</v>
      </c>
      <c r="N1762" s="490">
        <v>1</v>
      </c>
      <c r="O1762" s="491"/>
      <c r="P1762" s="483">
        <v>1</v>
      </c>
      <c r="Q1762" s="483"/>
      <c r="R1762" s="483"/>
      <c r="S1762" s="483"/>
      <c r="T1762" s="483"/>
      <c r="U1762" s="484"/>
      <c r="V1762" s="483">
        <v>1</v>
      </c>
      <c r="W1762" s="484"/>
      <c r="X1762" s="484"/>
      <c r="Y1762" s="483"/>
      <c r="Z1762" s="484">
        <v>2</v>
      </c>
      <c r="AA1762" s="484">
        <v>41</v>
      </c>
      <c r="AB1762" s="485">
        <f>100/(SUM(I1762:Z1762))</f>
        <v>1.6666666666666667</v>
      </c>
      <c r="AC1762" s="485">
        <f>SUM(I1762:AA1762)</f>
        <v>101</v>
      </c>
      <c r="AD1762" s="484"/>
      <c r="AE1762" s="484"/>
      <c r="AF1762" s="484"/>
      <c r="AG1762" s="486" t="s">
        <v>1511</v>
      </c>
      <c r="AH1762" s="481" t="s">
        <v>2117</v>
      </c>
      <c r="AI1762" s="481" t="s">
        <v>2118</v>
      </c>
      <c r="AJ1762" s="481"/>
      <c r="AK1762" s="481" t="s">
        <v>2112</v>
      </c>
      <c r="AL1762" s="488">
        <f>(B1762-DATE(1970,1,1))*86400</f>
        <v>1510358400</v>
      </c>
      <c r="AM1762" s="488">
        <f>(C1762-DATE(1970,1,1))*86400</f>
        <v>1510704000</v>
      </c>
      <c r="AN1762" s="488">
        <f>AVERAGE(AL1762:AM1762)</f>
        <v>1510531200</v>
      </c>
    </row>
    <row r="1763" spans="1:40" s="275" customFormat="1" ht="15" customHeight="1" x14ac:dyDescent="0.2">
      <c r="A1763" s="477" t="s">
        <v>133</v>
      </c>
      <c r="B1763" s="478">
        <v>43050</v>
      </c>
      <c r="C1763" s="478">
        <v>43054</v>
      </c>
      <c r="D1763" s="479" t="s">
        <v>154</v>
      </c>
      <c r="E1763" s="480">
        <v>0</v>
      </c>
      <c r="F1763" s="481"/>
      <c r="G1763" s="481" t="s">
        <v>126</v>
      </c>
      <c r="H1763" s="482">
        <v>1001</v>
      </c>
      <c r="I1763" s="483">
        <v>50</v>
      </c>
      <c r="J1763" s="483">
        <v>14</v>
      </c>
      <c r="K1763" s="483">
        <v>17</v>
      </c>
      <c r="L1763" s="483">
        <v>7</v>
      </c>
      <c r="M1763" s="483">
        <v>5</v>
      </c>
      <c r="N1763" s="483">
        <v>1</v>
      </c>
      <c r="O1763" s="491"/>
      <c r="P1763" s="483">
        <v>1</v>
      </c>
      <c r="Q1763" s="483"/>
      <c r="R1763" s="483"/>
      <c r="S1763" s="483"/>
      <c r="T1763" s="483"/>
      <c r="U1763" s="484"/>
      <c r="V1763" s="483">
        <v>1</v>
      </c>
      <c r="W1763" s="484"/>
      <c r="X1763" s="484"/>
      <c r="Y1763" s="483"/>
      <c r="Z1763" s="484">
        <v>2</v>
      </c>
      <c r="AA1763" s="484">
        <v>0</v>
      </c>
      <c r="AB1763" s="485">
        <f>100/(SUM(I1763:Z1763))</f>
        <v>1.0204081632653061</v>
      </c>
      <c r="AC1763" s="485">
        <f>SUM(I1763:AA1763)</f>
        <v>98</v>
      </c>
      <c r="AD1763" s="484"/>
      <c r="AE1763" s="484"/>
      <c r="AF1763" s="484"/>
      <c r="AG1763" s="486" t="s">
        <v>1511</v>
      </c>
      <c r="AH1763" s="481"/>
      <c r="AI1763" s="481" t="s">
        <v>2117</v>
      </c>
      <c r="AJ1763" s="481" t="s">
        <v>2118</v>
      </c>
      <c r="AK1763" s="481" t="s">
        <v>2122</v>
      </c>
      <c r="AL1763" s="488">
        <f>(B1763-DATE(1970,1,1))*86400</f>
        <v>1510358400</v>
      </c>
      <c r="AM1763" s="488">
        <f>(C1763-DATE(1970,1,1))*86400</f>
        <v>1510704000</v>
      </c>
      <c r="AN1763" s="488">
        <f>AVERAGE(AL1763:AM1763)</f>
        <v>1510531200</v>
      </c>
    </row>
    <row r="1764" spans="1:40" s="275" customFormat="1" ht="15" customHeight="1" x14ac:dyDescent="0.2">
      <c r="A1764" s="464" t="s">
        <v>133</v>
      </c>
      <c r="B1764" s="465">
        <v>43040</v>
      </c>
      <c r="C1764" s="465">
        <v>43058</v>
      </c>
      <c r="D1764" s="466" t="s">
        <v>124</v>
      </c>
      <c r="E1764" s="467">
        <v>1</v>
      </c>
      <c r="F1764" s="468"/>
      <c r="G1764" s="468" t="s">
        <v>149</v>
      </c>
      <c r="H1764" s="469">
        <v>2000</v>
      </c>
      <c r="I1764" s="470">
        <v>35</v>
      </c>
      <c r="J1764" s="470">
        <v>5</v>
      </c>
      <c r="K1764" s="470">
        <v>9</v>
      </c>
      <c r="L1764" s="470">
        <v>4</v>
      </c>
      <c r="M1764" s="470">
        <v>4</v>
      </c>
      <c r="N1764" s="470">
        <v>1</v>
      </c>
      <c r="O1764" s="470">
        <v>1</v>
      </c>
      <c r="P1764" s="470">
        <v>2</v>
      </c>
      <c r="Q1764" s="470"/>
      <c r="R1764" s="470"/>
      <c r="S1764" s="470"/>
      <c r="T1764" s="470"/>
      <c r="U1764" s="471"/>
      <c r="V1764" s="470">
        <v>1</v>
      </c>
      <c r="W1764" s="471"/>
      <c r="X1764" s="471"/>
      <c r="Y1764" s="470"/>
      <c r="Z1764" s="471">
        <v>1</v>
      </c>
      <c r="AA1764" s="471">
        <v>37</v>
      </c>
      <c r="AB1764" s="472">
        <f>100/(SUM(I1764:Z1764))</f>
        <v>1.5873015873015872</v>
      </c>
      <c r="AC1764" s="472">
        <f>SUM(I1764:AA1764)</f>
        <v>100</v>
      </c>
      <c r="AD1764" s="471"/>
      <c r="AE1764" s="471"/>
      <c r="AF1764" s="471"/>
      <c r="AG1764" s="473" t="s">
        <v>2146</v>
      </c>
      <c r="AH1764" s="474" t="s">
        <v>2151</v>
      </c>
      <c r="AI1764" s="474" t="s">
        <v>2150</v>
      </c>
      <c r="AJ1764" s="468"/>
      <c r="AK1764" s="468"/>
      <c r="AL1764" s="475">
        <f>(B1764-DATE(1970,1,1))*86400</f>
        <v>1509494400</v>
      </c>
      <c r="AM1764" s="475">
        <f>(C1764-DATE(1970,1,1))*86400</f>
        <v>1511049600</v>
      </c>
      <c r="AN1764" s="475">
        <f>AVERAGE(AL1764:AM1764)</f>
        <v>1510272000</v>
      </c>
    </row>
    <row r="1765" spans="1:40" s="275" customFormat="1" ht="15" customHeight="1" x14ac:dyDescent="0.2">
      <c r="A1765" s="464" t="s">
        <v>123</v>
      </c>
      <c r="B1765" s="465">
        <v>43040</v>
      </c>
      <c r="C1765" s="465">
        <v>43058</v>
      </c>
      <c r="D1765" s="466" t="s">
        <v>124</v>
      </c>
      <c r="E1765" s="467">
        <v>1</v>
      </c>
      <c r="F1765" s="468"/>
      <c r="G1765" s="468" t="s">
        <v>149</v>
      </c>
      <c r="H1765" s="469">
        <v>2000</v>
      </c>
      <c r="I1765" s="470">
        <v>48</v>
      </c>
      <c r="J1765" s="470">
        <v>9</v>
      </c>
      <c r="K1765" s="470">
        <v>16</v>
      </c>
      <c r="L1765" s="470">
        <v>8</v>
      </c>
      <c r="M1765" s="470">
        <v>8</v>
      </c>
      <c r="N1765" s="470">
        <v>2</v>
      </c>
      <c r="O1765" s="470">
        <v>1</v>
      </c>
      <c r="P1765" s="470">
        <v>4</v>
      </c>
      <c r="Q1765" s="470"/>
      <c r="R1765" s="470"/>
      <c r="S1765" s="470"/>
      <c r="T1765" s="470"/>
      <c r="U1765" s="471"/>
      <c r="V1765" s="470">
        <v>2</v>
      </c>
      <c r="W1765" s="471"/>
      <c r="X1765" s="471"/>
      <c r="Y1765" s="470"/>
      <c r="Z1765" s="471">
        <v>2</v>
      </c>
      <c r="AA1765" s="471">
        <v>0</v>
      </c>
      <c r="AB1765" s="472">
        <f>100/(SUM(I1765:Z1765))</f>
        <v>1</v>
      </c>
      <c r="AC1765" s="472">
        <f>SUM(I1765:AA1765)</f>
        <v>100</v>
      </c>
      <c r="AD1765" s="471"/>
      <c r="AE1765" s="471"/>
      <c r="AF1765" s="471"/>
      <c r="AG1765" s="473" t="s">
        <v>2146</v>
      </c>
      <c r="AH1765" s="474" t="s">
        <v>2151</v>
      </c>
      <c r="AI1765" s="644" t="s">
        <v>2150</v>
      </c>
      <c r="AJ1765" s="468"/>
      <c r="AK1765" s="468"/>
      <c r="AL1765" s="475">
        <f>(B1765-DATE(1970,1,1))*86400</f>
        <v>1509494400</v>
      </c>
      <c r="AM1765" s="475">
        <f>(C1765-DATE(1970,1,1))*86400</f>
        <v>1511049600</v>
      </c>
      <c r="AN1765" s="475">
        <f>AVERAGE(AL1765:AM1765)</f>
        <v>1510272000</v>
      </c>
    </row>
    <row r="1766" spans="1:40" s="275" customFormat="1" ht="15" customHeight="1" x14ac:dyDescent="0.2">
      <c r="A1766" s="532" t="s">
        <v>133</v>
      </c>
      <c r="B1766" s="533">
        <v>43045</v>
      </c>
      <c r="C1766" s="533">
        <v>43053</v>
      </c>
      <c r="D1766" s="391" t="s">
        <v>148</v>
      </c>
      <c r="E1766" s="534">
        <v>1</v>
      </c>
      <c r="F1766" s="391"/>
      <c r="G1766" s="391" t="s">
        <v>149</v>
      </c>
      <c r="H1766" s="535">
        <v>1000</v>
      </c>
      <c r="I1766" s="536">
        <v>30.6</v>
      </c>
      <c r="J1766" s="536">
        <v>8</v>
      </c>
      <c r="K1766" s="536">
        <v>10.1</v>
      </c>
      <c r="L1766" s="536">
        <v>4.8</v>
      </c>
      <c r="M1766" s="536">
        <v>5.9</v>
      </c>
      <c r="N1766" s="537">
        <v>1.7</v>
      </c>
      <c r="O1766" s="536"/>
      <c r="P1766" s="536">
        <v>1.2</v>
      </c>
      <c r="Q1766" s="536"/>
      <c r="R1766" s="536"/>
      <c r="S1766" s="536"/>
      <c r="T1766" s="536"/>
      <c r="U1766" s="536"/>
      <c r="V1766" s="536">
        <v>0.6</v>
      </c>
      <c r="W1766" s="536"/>
      <c r="X1766" s="536"/>
      <c r="Y1766" s="536"/>
      <c r="Z1766" s="536">
        <v>2.0999999999999996</v>
      </c>
      <c r="AA1766" s="536">
        <v>35</v>
      </c>
      <c r="AB1766" s="538">
        <f>100/(SUM(I1766:Z1766))</f>
        <v>1.5384615384615385</v>
      </c>
      <c r="AC1766" s="538">
        <f>SUM(I1766:AA1766)</f>
        <v>100</v>
      </c>
      <c r="AD1766" s="539"/>
      <c r="AE1766" s="539"/>
      <c r="AF1766" s="539"/>
      <c r="AG1766" s="540" t="s">
        <v>136</v>
      </c>
      <c r="AH1766" s="391" t="s">
        <v>2130</v>
      </c>
      <c r="AI1766" s="688" t="s">
        <v>2137</v>
      </c>
      <c r="AJ1766" s="391"/>
      <c r="AK1766" s="391" t="s">
        <v>2112</v>
      </c>
      <c r="AL1766" s="542">
        <f>(B1766-DATE(1970,1,1))*86400</f>
        <v>1509926400</v>
      </c>
      <c r="AM1766" s="542">
        <f>(C1766-DATE(1970,1,1))*86400</f>
        <v>1510617600</v>
      </c>
      <c r="AN1766" s="542">
        <f>AVERAGE(AL1766:AM1766)</f>
        <v>1510272000</v>
      </c>
    </row>
    <row r="1767" spans="1:40" s="275" customFormat="1" ht="15" customHeight="1" x14ac:dyDescent="0.2">
      <c r="A1767" s="532" t="s">
        <v>123</v>
      </c>
      <c r="B1767" s="533">
        <v>43045</v>
      </c>
      <c r="C1767" s="533">
        <v>43053</v>
      </c>
      <c r="D1767" s="391" t="s">
        <v>148</v>
      </c>
      <c r="E1767" s="534">
        <v>1</v>
      </c>
      <c r="F1767" s="391"/>
      <c r="G1767" s="391" t="s">
        <v>149</v>
      </c>
      <c r="H1767" s="535">
        <v>1000</v>
      </c>
      <c r="I1767" s="643">
        <v>49.4</v>
      </c>
      <c r="J1767" s="643">
        <v>12</v>
      </c>
      <c r="K1767" s="643">
        <v>17.899999999999999</v>
      </c>
      <c r="L1767" s="643">
        <v>5.7</v>
      </c>
      <c r="M1767" s="643">
        <v>10.1</v>
      </c>
      <c r="N1767" s="545">
        <v>1.3</v>
      </c>
      <c r="O1767" s="544"/>
      <c r="P1767" s="543">
        <v>2.1</v>
      </c>
      <c r="Q1767" s="543"/>
      <c r="R1767" s="543"/>
      <c r="S1767" s="543"/>
      <c r="T1767" s="543"/>
      <c r="U1767" s="539"/>
      <c r="V1767" s="543">
        <v>0.6</v>
      </c>
      <c r="W1767" s="539"/>
      <c r="X1767" s="539"/>
      <c r="Y1767" s="543"/>
      <c r="Z1767" s="539">
        <v>0.9</v>
      </c>
      <c r="AA1767" s="539">
        <v>0</v>
      </c>
      <c r="AB1767" s="538">
        <f>100/(SUM(I1767:Z1767))</f>
        <v>1.0000000000000002</v>
      </c>
      <c r="AC1767" s="538">
        <f>SUM(I1767:AA1767)</f>
        <v>99.999999999999986</v>
      </c>
      <c r="AD1767" s="539"/>
      <c r="AE1767" s="539"/>
      <c r="AF1767" s="539"/>
      <c r="AG1767" s="540" t="s">
        <v>136</v>
      </c>
      <c r="AH1767" s="391" t="s">
        <v>2130</v>
      </c>
      <c r="AI1767" s="688" t="s">
        <v>2137</v>
      </c>
      <c r="AJ1767" s="391"/>
      <c r="AK1767" s="391" t="s">
        <v>2112</v>
      </c>
      <c r="AL1767" s="542">
        <f>(B1767-DATE(1970,1,1))*86400</f>
        <v>1509926400</v>
      </c>
      <c r="AM1767" s="542">
        <f>(C1767-DATE(1970,1,1))*86400</f>
        <v>1510617600</v>
      </c>
      <c r="AN1767" s="542">
        <f>AVERAGE(AL1767:AM1767)</f>
        <v>1510272000</v>
      </c>
    </row>
    <row r="1768" spans="1:40" s="275" customFormat="1" ht="15" customHeight="1" x14ac:dyDescent="0.2">
      <c r="A1768" s="422" t="s">
        <v>133</v>
      </c>
      <c r="B1768" s="437">
        <v>43028</v>
      </c>
      <c r="C1768" s="437">
        <v>43032</v>
      </c>
      <c r="D1768" s="424" t="s">
        <v>143</v>
      </c>
      <c r="E1768" s="425">
        <v>1</v>
      </c>
      <c r="F1768" s="426"/>
      <c r="G1768" s="426" t="s">
        <v>149</v>
      </c>
      <c r="H1768" s="427">
        <v>1000</v>
      </c>
      <c r="I1768" s="428">
        <v>40</v>
      </c>
      <c r="J1768" s="428">
        <v>7</v>
      </c>
      <c r="K1768" s="428">
        <v>11</v>
      </c>
      <c r="L1768" s="428">
        <v>4</v>
      </c>
      <c r="M1768" s="428">
        <v>5</v>
      </c>
      <c r="N1768" s="429">
        <v>1</v>
      </c>
      <c r="O1768" s="430"/>
      <c r="P1768" s="428">
        <v>1</v>
      </c>
      <c r="Q1768" s="428"/>
      <c r="R1768" s="428"/>
      <c r="S1768" s="428"/>
      <c r="T1768" s="428"/>
      <c r="U1768" s="431"/>
      <c r="V1768" s="428">
        <v>1</v>
      </c>
      <c r="W1768" s="431"/>
      <c r="X1768" s="431"/>
      <c r="Y1768" s="428"/>
      <c r="Z1768" s="431">
        <v>0</v>
      </c>
      <c r="AA1768" s="431">
        <v>30</v>
      </c>
      <c r="AB1768" s="432">
        <f>100/(SUM(I1768:Z1768))</f>
        <v>1.4285714285714286</v>
      </c>
      <c r="AC1768" s="432">
        <f>SUM(I1768:AA1768)</f>
        <v>100</v>
      </c>
      <c r="AD1768" s="431"/>
      <c r="AE1768" s="431"/>
      <c r="AF1768" s="431"/>
      <c r="AG1768" s="433" t="s">
        <v>136</v>
      </c>
      <c r="AH1768" s="434" t="s">
        <v>2173</v>
      </c>
      <c r="AI1768" s="426"/>
      <c r="AJ1768" s="426"/>
      <c r="AK1768" s="426" t="s">
        <v>2112</v>
      </c>
      <c r="AL1768" s="435">
        <f>(B1768-DATE(1970,1,1))*86400</f>
        <v>1508457600</v>
      </c>
      <c r="AM1768" s="435">
        <f>(C1768-DATE(1970,1,1))*86400</f>
        <v>1508803200</v>
      </c>
      <c r="AN1768" s="435">
        <f>AVERAGE(AL1768:AM1768)</f>
        <v>1508630400</v>
      </c>
    </row>
    <row r="1769" spans="1:40" s="275" customFormat="1" ht="15" customHeight="1" x14ac:dyDescent="0.2">
      <c r="A1769" s="422" t="s">
        <v>133</v>
      </c>
      <c r="B1769" s="437">
        <v>43028</v>
      </c>
      <c r="C1769" s="437">
        <v>43032</v>
      </c>
      <c r="D1769" s="424" t="s">
        <v>143</v>
      </c>
      <c r="E1769" s="425">
        <v>1</v>
      </c>
      <c r="F1769" s="426"/>
      <c r="G1769" s="426" t="s">
        <v>149</v>
      </c>
      <c r="H1769" s="427">
        <v>1000</v>
      </c>
      <c r="I1769" s="428">
        <v>56</v>
      </c>
      <c r="J1769" s="428">
        <v>10</v>
      </c>
      <c r="K1769" s="428">
        <v>16</v>
      </c>
      <c r="L1769" s="428">
        <v>6</v>
      </c>
      <c r="M1769" s="428">
        <v>7</v>
      </c>
      <c r="N1769" s="429">
        <v>1</v>
      </c>
      <c r="O1769" s="430"/>
      <c r="P1769" s="428">
        <v>1</v>
      </c>
      <c r="Q1769" s="428"/>
      <c r="R1769" s="428"/>
      <c r="S1769" s="428"/>
      <c r="T1769" s="428"/>
      <c r="U1769" s="431"/>
      <c r="V1769" s="428">
        <v>2</v>
      </c>
      <c r="W1769" s="431"/>
      <c r="X1769" s="431"/>
      <c r="Y1769" s="428"/>
      <c r="Z1769" s="431">
        <v>1</v>
      </c>
      <c r="AA1769" s="431">
        <v>0</v>
      </c>
      <c r="AB1769" s="432">
        <f>100/(SUM(I1769:Z1769))</f>
        <v>1</v>
      </c>
      <c r="AC1769" s="432">
        <f>SUM(I1769:AA1769)</f>
        <v>100</v>
      </c>
      <c r="AD1769" s="431"/>
      <c r="AE1769" s="431"/>
      <c r="AF1769" s="431"/>
      <c r="AG1769" s="433" t="s">
        <v>136</v>
      </c>
      <c r="AH1769" s="434" t="s">
        <v>2173</v>
      </c>
      <c r="AI1769" s="426"/>
      <c r="AJ1769" s="426"/>
      <c r="AK1769" s="426" t="s">
        <v>2112</v>
      </c>
      <c r="AL1769" s="435">
        <f>(B1769-DATE(1970,1,1))*86400</f>
        <v>1508457600</v>
      </c>
      <c r="AM1769" s="435">
        <f>(C1769-DATE(1970,1,1))*86400</f>
        <v>1508803200</v>
      </c>
      <c r="AN1769" s="435">
        <f>AVERAGE(AL1769:AM1769)</f>
        <v>1508630400</v>
      </c>
    </row>
    <row r="1770" spans="1:40" s="275" customFormat="1" ht="15" customHeight="1" x14ac:dyDescent="0.2">
      <c r="A1770" s="422" t="s">
        <v>123</v>
      </c>
      <c r="B1770" s="437">
        <v>43028</v>
      </c>
      <c r="C1770" s="437">
        <v>43032</v>
      </c>
      <c r="D1770" s="424" t="s">
        <v>143</v>
      </c>
      <c r="E1770" s="425">
        <v>1</v>
      </c>
      <c r="F1770" s="426"/>
      <c r="G1770" s="426" t="s">
        <v>149</v>
      </c>
      <c r="H1770" s="427">
        <v>1000</v>
      </c>
      <c r="I1770" s="428">
        <v>61</v>
      </c>
      <c r="J1770" s="428">
        <v>9</v>
      </c>
      <c r="K1770" s="428">
        <v>14</v>
      </c>
      <c r="L1770" s="428">
        <v>5</v>
      </c>
      <c r="M1770" s="428">
        <v>7</v>
      </c>
      <c r="N1770" s="429">
        <v>1</v>
      </c>
      <c r="O1770" s="430"/>
      <c r="P1770" s="428">
        <v>1</v>
      </c>
      <c r="Q1770" s="428"/>
      <c r="R1770" s="428"/>
      <c r="S1770" s="428"/>
      <c r="T1770" s="428"/>
      <c r="U1770" s="431"/>
      <c r="V1770" s="428">
        <v>2</v>
      </c>
      <c r="W1770" s="431"/>
      <c r="X1770" s="431"/>
      <c r="Y1770" s="428"/>
      <c r="Z1770" s="431">
        <v>0</v>
      </c>
      <c r="AA1770" s="431">
        <v>0</v>
      </c>
      <c r="AB1770" s="432">
        <f>100/(SUM(I1770:Z1770))</f>
        <v>1</v>
      </c>
      <c r="AC1770" s="432">
        <f>SUM(I1770:AA1770)</f>
        <v>100</v>
      </c>
      <c r="AD1770" s="431"/>
      <c r="AE1770" s="431"/>
      <c r="AF1770" s="431"/>
      <c r="AG1770" s="433" t="s">
        <v>136</v>
      </c>
      <c r="AH1770" s="434" t="s">
        <v>2173</v>
      </c>
      <c r="AI1770" s="426"/>
      <c r="AJ1770" s="426"/>
      <c r="AK1770" s="426" t="s">
        <v>2112</v>
      </c>
      <c r="AL1770" s="435">
        <f>(B1770-DATE(1970,1,1))*86400</f>
        <v>1508457600</v>
      </c>
      <c r="AM1770" s="435">
        <f>(C1770-DATE(1970,1,1))*86400</f>
        <v>1508803200</v>
      </c>
      <c r="AN1770" s="435">
        <f>AVERAGE(AL1770:AM1770)</f>
        <v>1508630400</v>
      </c>
    </row>
    <row r="1771" spans="1:40" s="275" customFormat="1" ht="15" customHeight="1" x14ac:dyDescent="0.2">
      <c r="A1771" s="314" t="s">
        <v>133</v>
      </c>
      <c r="B1771" s="317">
        <v>43024</v>
      </c>
      <c r="C1771" s="317">
        <v>43029</v>
      </c>
      <c r="D1771" s="274" t="s">
        <v>276</v>
      </c>
      <c r="E1771" s="327">
        <v>0</v>
      </c>
      <c r="G1771" s="275" t="s">
        <v>126</v>
      </c>
      <c r="H1771" s="387">
        <v>1000</v>
      </c>
      <c r="I1771" s="315">
        <v>34</v>
      </c>
      <c r="J1771" s="315">
        <v>6</v>
      </c>
      <c r="K1771" s="315">
        <v>17</v>
      </c>
      <c r="L1771" s="315">
        <v>6</v>
      </c>
      <c r="M1771" s="315">
        <v>5</v>
      </c>
      <c r="N1771" s="315">
        <v>1</v>
      </c>
      <c r="O1771" s="315">
        <v>1</v>
      </c>
      <c r="P1771" s="315">
        <v>3</v>
      </c>
      <c r="Q1771" s="315"/>
      <c r="R1771" s="315"/>
      <c r="S1771" s="315"/>
      <c r="T1771" s="315"/>
      <c r="U1771" s="316"/>
      <c r="V1771" s="315">
        <v>1</v>
      </c>
      <c r="W1771" s="316"/>
      <c r="X1771" s="316"/>
      <c r="Y1771" s="315"/>
      <c r="Z1771" s="316">
        <v>1</v>
      </c>
      <c r="AA1771" s="316">
        <v>25</v>
      </c>
      <c r="AB1771" s="259">
        <f>100/(SUM(I1771:Z1771))</f>
        <v>1.3333333333333333</v>
      </c>
      <c r="AC1771" s="259">
        <f>SUM(I1771:AA1771)</f>
        <v>100</v>
      </c>
      <c r="AD1771" s="316"/>
      <c r="AE1771" s="316"/>
      <c r="AF1771" s="316"/>
      <c r="AG1771" s="318" t="s">
        <v>136</v>
      </c>
      <c r="AH1771" s="390" t="s">
        <v>2169</v>
      </c>
      <c r="AI1771" s="390" t="s">
        <v>2172</v>
      </c>
      <c r="AJ1771" s="390" t="s">
        <v>2171</v>
      </c>
      <c r="AL1771" s="260">
        <f>(B1771-DATE(1970,1,1))*86400</f>
        <v>1508112000</v>
      </c>
      <c r="AM1771" s="260">
        <f>(C1771-DATE(1970,1,1))*86400</f>
        <v>1508544000</v>
      </c>
      <c r="AN1771" s="260">
        <f>AVERAGE(AL1771:AM1771)</f>
        <v>1508328000</v>
      </c>
    </row>
    <row r="1772" spans="1:40" s="275" customFormat="1" ht="15" customHeight="1" x14ac:dyDescent="0.2">
      <c r="A1772" s="314" t="s">
        <v>133</v>
      </c>
      <c r="B1772" s="317">
        <v>43024</v>
      </c>
      <c r="C1772" s="317">
        <v>43029</v>
      </c>
      <c r="D1772" s="274" t="s">
        <v>276</v>
      </c>
      <c r="E1772" s="327">
        <v>0</v>
      </c>
      <c r="G1772" s="275" t="s">
        <v>126</v>
      </c>
      <c r="H1772" s="387">
        <v>1000</v>
      </c>
      <c r="I1772" s="315">
        <v>46</v>
      </c>
      <c r="J1772" s="315">
        <v>8</v>
      </c>
      <c r="K1772" s="315">
        <v>23</v>
      </c>
      <c r="L1772" s="315">
        <v>8</v>
      </c>
      <c r="M1772" s="315">
        <v>7</v>
      </c>
      <c r="N1772" s="315">
        <v>2</v>
      </c>
      <c r="O1772" s="315">
        <v>1</v>
      </c>
      <c r="P1772" s="315">
        <v>3</v>
      </c>
      <c r="Q1772" s="315"/>
      <c r="R1772" s="315"/>
      <c r="S1772" s="315"/>
      <c r="T1772" s="315"/>
      <c r="U1772" s="316"/>
      <c r="V1772" s="315">
        <v>1</v>
      </c>
      <c r="W1772" s="316"/>
      <c r="X1772" s="316"/>
      <c r="Y1772" s="315"/>
      <c r="Z1772" s="395">
        <v>1</v>
      </c>
      <c r="AA1772" s="316">
        <v>0</v>
      </c>
      <c r="AB1772" s="259">
        <f>100/(SUM(I1772:Z1772))</f>
        <v>1</v>
      </c>
      <c r="AC1772" s="259">
        <f>SUM(I1772:AA1772)</f>
        <v>100</v>
      </c>
      <c r="AD1772" s="316"/>
      <c r="AE1772" s="316"/>
      <c r="AF1772" s="316"/>
      <c r="AG1772" s="318" t="s">
        <v>136</v>
      </c>
      <c r="AH1772" s="390" t="s">
        <v>2169</v>
      </c>
      <c r="AI1772" s="390" t="s">
        <v>2172</v>
      </c>
      <c r="AJ1772" s="390" t="s">
        <v>2171</v>
      </c>
      <c r="AL1772" s="260">
        <f>(B1772-DATE(1970,1,1))*86400</f>
        <v>1508112000</v>
      </c>
      <c r="AM1772" s="260">
        <f>(C1772-DATE(1970,1,1))*86400</f>
        <v>1508544000</v>
      </c>
      <c r="AN1772" s="260">
        <f>AVERAGE(AL1772:AM1772)</f>
        <v>1508328000</v>
      </c>
    </row>
    <row r="1773" spans="1:40" s="275" customFormat="1" ht="15" customHeight="1" x14ac:dyDescent="0.2">
      <c r="A1773" s="314" t="s">
        <v>123</v>
      </c>
      <c r="B1773" s="317">
        <v>43024</v>
      </c>
      <c r="C1773" s="317">
        <v>43029</v>
      </c>
      <c r="D1773" s="274" t="s">
        <v>276</v>
      </c>
      <c r="E1773" s="327">
        <v>0</v>
      </c>
      <c r="G1773" s="275" t="s">
        <v>126</v>
      </c>
      <c r="H1773" s="387">
        <v>1000</v>
      </c>
      <c r="I1773" s="315">
        <v>49</v>
      </c>
      <c r="J1773" s="315">
        <v>7</v>
      </c>
      <c r="K1773" s="315">
        <v>22</v>
      </c>
      <c r="L1773" s="315">
        <v>8</v>
      </c>
      <c r="M1773" s="315">
        <v>7</v>
      </c>
      <c r="N1773" s="315">
        <v>1</v>
      </c>
      <c r="O1773" s="315">
        <v>1</v>
      </c>
      <c r="P1773" s="315">
        <v>3</v>
      </c>
      <c r="Q1773" s="315"/>
      <c r="R1773" s="315"/>
      <c r="S1773" s="315"/>
      <c r="T1773" s="315"/>
      <c r="U1773" s="316"/>
      <c r="V1773" s="315">
        <v>1</v>
      </c>
      <c r="W1773" s="316"/>
      <c r="X1773" s="316"/>
      <c r="Y1773" s="315"/>
      <c r="Z1773" s="316">
        <v>1</v>
      </c>
      <c r="AA1773" s="316">
        <v>0</v>
      </c>
      <c r="AB1773" s="259">
        <f>100/(SUM(I1773:Z1773))</f>
        <v>1</v>
      </c>
      <c r="AC1773" s="259">
        <f>SUM(I1773:AA1773)</f>
        <v>100</v>
      </c>
      <c r="AD1773" s="316"/>
      <c r="AE1773" s="316"/>
      <c r="AF1773" s="316"/>
      <c r="AG1773" s="318" t="s">
        <v>136</v>
      </c>
      <c r="AH1773" s="390" t="s">
        <v>2169</v>
      </c>
      <c r="AI1773" s="390" t="s">
        <v>2172</v>
      </c>
      <c r="AJ1773" s="390" t="s">
        <v>2171</v>
      </c>
      <c r="AL1773" s="260">
        <f>(B1773-DATE(1970,1,1))*86400</f>
        <v>1508112000</v>
      </c>
      <c r="AM1773" s="260">
        <f>(C1773-DATE(1970,1,1))*86400</f>
        <v>1508544000</v>
      </c>
      <c r="AN1773" s="260">
        <f>AVERAGE(AL1773:AM1773)</f>
        <v>1508328000</v>
      </c>
    </row>
    <row r="1774" spans="1:40" s="275" customFormat="1" ht="15" customHeight="1" x14ac:dyDescent="0.2">
      <c r="A1774" s="522" t="s">
        <v>133</v>
      </c>
      <c r="B1774" s="523">
        <v>43021</v>
      </c>
      <c r="C1774" s="523">
        <v>43029</v>
      </c>
      <c r="D1774" s="402" t="s">
        <v>1586</v>
      </c>
      <c r="E1774" s="524">
        <v>1</v>
      </c>
      <c r="F1774" s="525"/>
      <c r="G1774" s="525" t="s">
        <v>149</v>
      </c>
      <c r="H1774" s="526">
        <v>1017</v>
      </c>
      <c r="I1774" s="527">
        <v>39</v>
      </c>
      <c r="J1774" s="527">
        <v>8</v>
      </c>
      <c r="K1774" s="527">
        <v>10</v>
      </c>
      <c r="L1774" s="527">
        <v>3</v>
      </c>
      <c r="M1774" s="527">
        <v>3</v>
      </c>
      <c r="N1774" s="527">
        <v>1</v>
      </c>
      <c r="O1774" s="527">
        <v>0</v>
      </c>
      <c r="P1774" s="527">
        <v>1</v>
      </c>
      <c r="Q1774" s="527"/>
      <c r="R1774" s="527"/>
      <c r="S1774" s="527"/>
      <c r="T1774" s="527"/>
      <c r="U1774" s="528"/>
      <c r="V1774" s="527"/>
      <c r="W1774" s="528"/>
      <c r="X1774" s="528"/>
      <c r="Y1774" s="527"/>
      <c r="Z1774" s="528">
        <v>1</v>
      </c>
      <c r="AA1774" s="528">
        <v>34</v>
      </c>
      <c r="AB1774" s="205">
        <f>100/(SUM(I1774:Z1774))</f>
        <v>1.5151515151515151</v>
      </c>
      <c r="AC1774" s="205">
        <f>SUM(I1774:AA1774)</f>
        <v>100</v>
      </c>
      <c r="AD1774" s="528"/>
      <c r="AE1774" s="528"/>
      <c r="AF1774" s="528"/>
      <c r="AG1774" s="529" t="s">
        <v>136</v>
      </c>
      <c r="AH1774" s="530" t="s">
        <v>2174</v>
      </c>
      <c r="AI1774" s="402" t="s">
        <v>2177</v>
      </c>
      <c r="AJ1774" s="525"/>
      <c r="AK1774" s="525"/>
      <c r="AL1774" s="206">
        <f>(B1774-DATE(1970,1,1))*86400</f>
        <v>1507852800</v>
      </c>
      <c r="AM1774" s="206">
        <f>(C1774-DATE(1970,1,1))*86400</f>
        <v>1508544000</v>
      </c>
      <c r="AN1774" s="206">
        <f>AVERAGE(AL1774:AM1774)</f>
        <v>1508198400</v>
      </c>
    </row>
    <row r="1775" spans="1:40" s="275" customFormat="1" ht="15" customHeight="1" x14ac:dyDescent="0.2">
      <c r="A1775" s="522" t="s">
        <v>133</v>
      </c>
      <c r="B1775" s="523">
        <v>43021</v>
      </c>
      <c r="C1775" s="523">
        <v>43029</v>
      </c>
      <c r="D1775" s="402" t="s">
        <v>1586</v>
      </c>
      <c r="E1775" s="524">
        <v>1</v>
      </c>
      <c r="F1775" s="525"/>
      <c r="G1775" s="525" t="s">
        <v>149</v>
      </c>
      <c r="H1775" s="526">
        <v>1017</v>
      </c>
      <c r="I1775" s="527">
        <v>59</v>
      </c>
      <c r="J1775" s="527">
        <v>12</v>
      </c>
      <c r="K1775" s="527">
        <v>15</v>
      </c>
      <c r="L1775" s="527">
        <v>4</v>
      </c>
      <c r="M1775" s="527">
        <v>5</v>
      </c>
      <c r="N1775" s="527">
        <v>1</v>
      </c>
      <c r="O1775" s="527">
        <v>0</v>
      </c>
      <c r="P1775" s="527">
        <v>2</v>
      </c>
      <c r="Q1775" s="527"/>
      <c r="R1775" s="527"/>
      <c r="S1775" s="527"/>
      <c r="T1775" s="527"/>
      <c r="U1775" s="528"/>
      <c r="V1775" s="527" t="s">
        <v>355</v>
      </c>
      <c r="W1775" s="528"/>
      <c r="X1775" s="528"/>
      <c r="Y1775" s="527"/>
      <c r="Z1775" s="528">
        <v>2</v>
      </c>
      <c r="AA1775" s="528">
        <v>0</v>
      </c>
      <c r="AB1775" s="205">
        <f>100/(SUM(I1775:Z1775))</f>
        <v>1</v>
      </c>
      <c r="AC1775" s="205">
        <f>SUM(I1775:AA1775)</f>
        <v>100</v>
      </c>
      <c r="AD1775" s="528"/>
      <c r="AE1775" s="528"/>
      <c r="AF1775" s="528"/>
      <c r="AG1775" s="529" t="s">
        <v>136</v>
      </c>
      <c r="AH1775" s="530" t="s">
        <v>2174</v>
      </c>
      <c r="AI1775" s="402" t="s">
        <v>2176</v>
      </c>
      <c r="AJ1775" s="525"/>
      <c r="AK1775" s="525"/>
      <c r="AL1775" s="206">
        <f>(B1775-DATE(1970,1,1))*86400</f>
        <v>1507852800</v>
      </c>
      <c r="AM1775" s="206">
        <f>(C1775-DATE(1970,1,1))*86400</f>
        <v>1508544000</v>
      </c>
      <c r="AN1775" s="206">
        <f>AVERAGE(AL1775:AM1775)</f>
        <v>1508198400</v>
      </c>
    </row>
    <row r="1776" spans="1:40" s="275" customFormat="1" ht="15" customHeight="1" x14ac:dyDescent="0.2">
      <c r="A1776" s="522" t="s">
        <v>123</v>
      </c>
      <c r="B1776" s="523">
        <v>43021</v>
      </c>
      <c r="C1776" s="523">
        <v>43029</v>
      </c>
      <c r="D1776" s="402" t="s">
        <v>1586</v>
      </c>
      <c r="E1776" s="524">
        <v>1</v>
      </c>
      <c r="F1776" s="525"/>
      <c r="G1776" s="525" t="s">
        <v>149</v>
      </c>
      <c r="H1776" s="526">
        <v>1017</v>
      </c>
      <c r="I1776" s="527">
        <v>65</v>
      </c>
      <c r="J1776" s="527">
        <v>10</v>
      </c>
      <c r="K1776" s="527">
        <v>14</v>
      </c>
      <c r="L1776" s="527">
        <v>3</v>
      </c>
      <c r="M1776" s="527">
        <v>6</v>
      </c>
      <c r="N1776" s="527">
        <v>0</v>
      </c>
      <c r="O1776" s="527">
        <v>0</v>
      </c>
      <c r="P1776" s="527">
        <v>2</v>
      </c>
      <c r="Q1776" s="527"/>
      <c r="R1776" s="527"/>
      <c r="S1776" s="527"/>
      <c r="T1776" s="527"/>
      <c r="U1776" s="528"/>
      <c r="V1776" s="527"/>
      <c r="W1776" s="528"/>
      <c r="X1776" s="528"/>
      <c r="Y1776" s="527"/>
      <c r="Z1776" s="528">
        <v>1</v>
      </c>
      <c r="AA1776" s="528">
        <v>0</v>
      </c>
      <c r="AB1776" s="205">
        <f>100/(SUM(I1776:Z1776))</f>
        <v>0.99009900990099009</v>
      </c>
      <c r="AC1776" s="205">
        <f>SUM(I1776:AA1776)</f>
        <v>101</v>
      </c>
      <c r="AD1776" s="528"/>
      <c r="AE1776" s="528"/>
      <c r="AF1776" s="528"/>
      <c r="AG1776" s="529" t="s">
        <v>136</v>
      </c>
      <c r="AH1776" s="530" t="s">
        <v>2174</v>
      </c>
      <c r="AI1776" s="647" t="s">
        <v>2175</v>
      </c>
      <c r="AJ1776" s="525"/>
      <c r="AK1776" s="525"/>
      <c r="AL1776" s="206">
        <f>(B1776-DATE(1970,1,1))*86400</f>
        <v>1507852800</v>
      </c>
      <c r="AM1776" s="206">
        <f>(C1776-DATE(1970,1,1))*86400</f>
        <v>1508544000</v>
      </c>
      <c r="AN1776" s="206">
        <f>AVERAGE(AL1776:AM1776)</f>
        <v>1508198400</v>
      </c>
    </row>
    <row r="1777" spans="1:65" s="275" customFormat="1" ht="15" customHeight="1" x14ac:dyDescent="0.2">
      <c r="A1777" s="477" t="s">
        <v>133</v>
      </c>
      <c r="B1777" s="478">
        <v>43019</v>
      </c>
      <c r="C1777" s="478">
        <v>43025</v>
      </c>
      <c r="D1777" s="479" t="s">
        <v>154</v>
      </c>
      <c r="E1777" s="480">
        <v>0</v>
      </c>
      <c r="F1777" s="481"/>
      <c r="G1777" s="481" t="s">
        <v>126</v>
      </c>
      <c r="H1777" s="482">
        <v>1002</v>
      </c>
      <c r="I1777" s="483">
        <v>26</v>
      </c>
      <c r="J1777" s="483">
        <v>10</v>
      </c>
      <c r="K1777" s="483">
        <v>10</v>
      </c>
      <c r="L1777" s="483">
        <v>5</v>
      </c>
      <c r="M1777" s="483">
        <v>3</v>
      </c>
      <c r="N1777" s="483">
        <v>0</v>
      </c>
      <c r="O1777" s="483">
        <v>0</v>
      </c>
      <c r="P1777" s="483">
        <v>1</v>
      </c>
      <c r="Q1777" s="483"/>
      <c r="R1777" s="483"/>
      <c r="S1777" s="483"/>
      <c r="T1777" s="483"/>
      <c r="U1777" s="484"/>
      <c r="V1777" s="483">
        <v>1</v>
      </c>
      <c r="W1777" s="484"/>
      <c r="X1777" s="484"/>
      <c r="Y1777" s="483"/>
      <c r="Z1777" s="484">
        <v>1</v>
      </c>
      <c r="AA1777" s="484">
        <v>44</v>
      </c>
      <c r="AB1777" s="485">
        <f>100/(SUM(I1777:Z1777))</f>
        <v>1.7543859649122806</v>
      </c>
      <c r="AC1777" s="485">
        <f>SUM(I1777:AA1777)</f>
        <v>101</v>
      </c>
      <c r="AD1777" s="484"/>
      <c r="AE1777" s="484"/>
      <c r="AF1777" s="484"/>
      <c r="AG1777" s="486" t="s">
        <v>136</v>
      </c>
      <c r="AH1777" s="481" t="s">
        <v>2119</v>
      </c>
      <c r="AI1777" s="481" t="s">
        <v>2120</v>
      </c>
      <c r="AJ1777" s="481" t="s">
        <v>2121</v>
      </c>
      <c r="AK1777" s="481"/>
      <c r="AL1777" s="488">
        <f>(B1777-DATE(1970,1,1))*86400</f>
        <v>1507680000</v>
      </c>
      <c r="AM1777" s="488">
        <f>(C1777-DATE(1970,1,1))*86400</f>
        <v>1508198400</v>
      </c>
      <c r="AN1777" s="488">
        <f>AVERAGE(AL1777:AM1777)</f>
        <v>1507939200</v>
      </c>
    </row>
    <row r="1778" spans="1:65" s="275" customFormat="1" ht="15" customHeight="1" x14ac:dyDescent="0.2">
      <c r="A1778" s="477" t="s">
        <v>123</v>
      </c>
      <c r="B1778" s="478">
        <v>43019</v>
      </c>
      <c r="C1778" s="478">
        <v>43025</v>
      </c>
      <c r="D1778" s="479" t="s">
        <v>154</v>
      </c>
      <c r="E1778" s="480">
        <v>0</v>
      </c>
      <c r="F1778" s="481"/>
      <c r="G1778" s="481" t="s">
        <v>126</v>
      </c>
      <c r="H1778" s="482">
        <v>1002</v>
      </c>
      <c r="I1778" s="483">
        <v>49</v>
      </c>
      <c r="J1778" s="483">
        <v>15</v>
      </c>
      <c r="K1778" s="483">
        <v>17</v>
      </c>
      <c r="L1778" s="483">
        <v>7</v>
      </c>
      <c r="M1778" s="483">
        <v>4</v>
      </c>
      <c r="N1778" s="483">
        <v>0</v>
      </c>
      <c r="O1778" s="483">
        <v>0</v>
      </c>
      <c r="P1778" s="483">
        <v>2</v>
      </c>
      <c r="Q1778" s="483"/>
      <c r="R1778" s="483"/>
      <c r="S1778" s="483"/>
      <c r="T1778" s="483"/>
      <c r="U1778" s="484"/>
      <c r="V1778" s="483">
        <v>2</v>
      </c>
      <c r="W1778" s="484"/>
      <c r="X1778" s="484"/>
      <c r="Y1778" s="483"/>
      <c r="Z1778" s="484">
        <v>4</v>
      </c>
      <c r="AA1778" s="484">
        <v>0</v>
      </c>
      <c r="AB1778" s="485">
        <f>100/(SUM(I1778:Z1778))</f>
        <v>1</v>
      </c>
      <c r="AC1778" s="485">
        <f>SUM(I1778:AA1778)</f>
        <v>100</v>
      </c>
      <c r="AD1778" s="484"/>
      <c r="AE1778" s="484"/>
      <c r="AF1778" s="484"/>
      <c r="AG1778" s="486" t="s">
        <v>136</v>
      </c>
      <c r="AH1778" s="481" t="s">
        <v>2119</v>
      </c>
      <c r="AI1778" s="481"/>
      <c r="AJ1778" s="481"/>
      <c r="AK1778" s="481" t="s">
        <v>2122</v>
      </c>
      <c r="AL1778" s="488">
        <f>(B1778-DATE(1970,1,1))*86400</f>
        <v>1507680000</v>
      </c>
      <c r="AM1778" s="488">
        <f>(C1778-DATE(1970,1,1))*86400</f>
        <v>1508198400</v>
      </c>
      <c r="AN1778" s="488">
        <f>AVERAGE(AL1778:AM1778)</f>
        <v>1507939200</v>
      </c>
    </row>
    <row r="1779" spans="1:65" s="275" customFormat="1" ht="15" customHeight="1" x14ac:dyDescent="0.2">
      <c r="A1779" s="492" t="s">
        <v>133</v>
      </c>
      <c r="B1779" s="493">
        <v>43014</v>
      </c>
      <c r="C1779" s="493">
        <v>43028</v>
      </c>
      <c r="D1779" s="494" t="s">
        <v>168</v>
      </c>
      <c r="E1779" s="495">
        <v>0</v>
      </c>
      <c r="F1779" s="496"/>
      <c r="G1779" s="496" t="s">
        <v>149</v>
      </c>
      <c r="H1779" s="497">
        <v>1000</v>
      </c>
      <c r="I1779" s="498">
        <v>32</v>
      </c>
      <c r="J1779" s="498">
        <v>8</v>
      </c>
      <c r="K1779" s="498">
        <v>9</v>
      </c>
      <c r="L1779" s="498">
        <v>4</v>
      </c>
      <c r="M1779" s="498">
        <v>3</v>
      </c>
      <c r="N1779" s="498">
        <v>1</v>
      </c>
      <c r="O1779" s="498">
        <v>0</v>
      </c>
      <c r="P1779" s="498">
        <v>2</v>
      </c>
      <c r="Q1779" s="498"/>
      <c r="R1779" s="498"/>
      <c r="S1779" s="498"/>
      <c r="T1779" s="498"/>
      <c r="U1779" s="501"/>
      <c r="V1779" s="498"/>
      <c r="W1779" s="501"/>
      <c r="X1779" s="501"/>
      <c r="Y1779" s="498"/>
      <c r="Z1779" s="501">
        <v>0</v>
      </c>
      <c r="AA1779" s="501">
        <v>40</v>
      </c>
      <c r="AB1779" s="502">
        <f>100/(SUM(I1779:Z1779))</f>
        <v>1.6949152542372881</v>
      </c>
      <c r="AC1779" s="502">
        <f>SUM(I1779:AA1779)</f>
        <v>99</v>
      </c>
      <c r="AD1779" s="501"/>
      <c r="AE1779" s="501"/>
      <c r="AF1779" s="501"/>
      <c r="AG1779" s="503" t="s">
        <v>136</v>
      </c>
      <c r="AH1779" s="496" t="s">
        <v>2127</v>
      </c>
      <c r="AI1779" s="496" t="s">
        <v>2128</v>
      </c>
      <c r="AJ1779" s="496" t="s">
        <v>2129</v>
      </c>
      <c r="AK1779" s="496"/>
      <c r="AL1779" s="504">
        <f>(B1779-DATE(1970,1,1))*86400</f>
        <v>1507248000</v>
      </c>
      <c r="AM1779" s="504">
        <f>(C1779-DATE(1970,1,1))*86400</f>
        <v>1508457600</v>
      </c>
      <c r="AN1779" s="504">
        <f>AVERAGE(AL1779:AM1779)</f>
        <v>1507852800</v>
      </c>
    </row>
    <row r="1780" spans="1:65" s="275" customFormat="1" ht="15" customHeight="1" x14ac:dyDescent="0.2">
      <c r="A1780" s="492" t="s">
        <v>133</v>
      </c>
      <c r="B1780" s="493">
        <v>43014</v>
      </c>
      <c r="C1780" s="493">
        <v>43028</v>
      </c>
      <c r="D1780" s="494" t="s">
        <v>168</v>
      </c>
      <c r="E1780" s="495">
        <v>0</v>
      </c>
      <c r="F1780" s="496"/>
      <c r="G1780" s="496" t="s">
        <v>149</v>
      </c>
      <c r="H1780" s="497">
        <v>1000</v>
      </c>
      <c r="I1780" s="498">
        <v>54</v>
      </c>
      <c r="J1780" s="498">
        <v>12</v>
      </c>
      <c r="K1780" s="498">
        <v>15</v>
      </c>
      <c r="L1780" s="498">
        <v>6</v>
      </c>
      <c r="M1780" s="498">
        <v>5</v>
      </c>
      <c r="N1780" s="498">
        <v>2</v>
      </c>
      <c r="O1780" s="498">
        <v>1</v>
      </c>
      <c r="P1780" s="498">
        <v>3</v>
      </c>
      <c r="Q1780" s="498"/>
      <c r="R1780" s="498"/>
      <c r="S1780" s="498"/>
      <c r="T1780" s="498"/>
      <c r="U1780" s="501"/>
      <c r="V1780" s="498"/>
      <c r="W1780" s="501"/>
      <c r="X1780" s="501"/>
      <c r="Y1780" s="498"/>
      <c r="Z1780" s="501">
        <v>1</v>
      </c>
      <c r="AA1780" s="501">
        <v>0</v>
      </c>
      <c r="AB1780" s="502">
        <f>100/(SUM(I1780:Z1780))</f>
        <v>1.0101010101010102</v>
      </c>
      <c r="AC1780" s="502">
        <f>SUM(I1780:AA1780)</f>
        <v>99</v>
      </c>
      <c r="AD1780" s="501"/>
      <c r="AE1780" s="501"/>
      <c r="AF1780" s="501"/>
      <c r="AG1780" s="503" t="s">
        <v>136</v>
      </c>
      <c r="AH1780" s="496" t="s">
        <v>2127</v>
      </c>
      <c r="AI1780" s="496" t="s">
        <v>2128</v>
      </c>
      <c r="AJ1780" s="496" t="s">
        <v>2129</v>
      </c>
      <c r="AK1780" s="496"/>
      <c r="AL1780" s="504">
        <f>(B1780-DATE(1970,1,1))*86400</f>
        <v>1507248000</v>
      </c>
      <c r="AM1780" s="504">
        <f>(C1780-DATE(1970,1,1))*86400</f>
        <v>1508457600</v>
      </c>
      <c r="AN1780" s="504">
        <f>AVERAGE(AL1780:AM1780)</f>
        <v>1507852800</v>
      </c>
    </row>
    <row r="1781" spans="1:65" s="275" customFormat="1" ht="15" customHeight="1" x14ac:dyDescent="0.2">
      <c r="A1781" s="506" t="s">
        <v>133</v>
      </c>
      <c r="B1781" s="507">
        <v>43016</v>
      </c>
      <c r="C1781" s="507">
        <v>43023</v>
      </c>
      <c r="D1781" s="517" t="s">
        <v>200</v>
      </c>
      <c r="E1781" s="509">
        <v>1</v>
      </c>
      <c r="F1781" s="508"/>
      <c r="G1781" s="508" t="s">
        <v>126</v>
      </c>
      <c r="H1781" s="518">
        <v>1000</v>
      </c>
      <c r="I1781" s="511">
        <v>34</v>
      </c>
      <c r="J1781" s="511">
        <v>9</v>
      </c>
      <c r="K1781" s="511">
        <v>9</v>
      </c>
      <c r="L1781" s="511">
        <v>6</v>
      </c>
      <c r="M1781" s="511">
        <v>5</v>
      </c>
      <c r="N1781" s="511">
        <v>1</v>
      </c>
      <c r="O1781" s="511"/>
      <c r="P1781" s="511"/>
      <c r="Q1781" s="511"/>
      <c r="R1781" s="511"/>
      <c r="S1781" s="511"/>
      <c r="T1781" s="511"/>
      <c r="U1781" s="512"/>
      <c r="V1781" s="511"/>
      <c r="W1781" s="512"/>
      <c r="X1781" s="512"/>
      <c r="Y1781" s="511"/>
      <c r="Z1781" s="512">
        <v>6</v>
      </c>
      <c r="AA1781" s="512">
        <v>30</v>
      </c>
      <c r="AB1781" s="513">
        <f>100/(SUM(I1781:Z1781))</f>
        <v>1.4285714285714286</v>
      </c>
      <c r="AC1781" s="513">
        <f>SUM(I1781:AA1781)</f>
        <v>100</v>
      </c>
      <c r="AD1781" s="512"/>
      <c r="AE1781" s="512"/>
      <c r="AF1781" s="512"/>
      <c r="AG1781" s="514" t="s">
        <v>136</v>
      </c>
      <c r="AH1781" s="521" t="s">
        <v>2160</v>
      </c>
      <c r="AI1781" s="521" t="s">
        <v>2157</v>
      </c>
      <c r="AJ1781" s="521" t="s">
        <v>2156</v>
      </c>
      <c r="AK1781" s="508"/>
      <c r="AL1781" s="515">
        <f>(B1781-DATE(1970,1,1))*86400</f>
        <v>1507420800</v>
      </c>
      <c r="AM1781" s="515">
        <f>(C1781-DATE(1970,1,1))*86400</f>
        <v>1508025600</v>
      </c>
      <c r="AN1781" s="515">
        <f>AVERAGE(AL1781:AM1781)</f>
        <v>1507723200</v>
      </c>
    </row>
    <row r="1782" spans="1:65" s="275" customFormat="1" ht="15" customHeight="1" x14ac:dyDescent="0.2">
      <c r="A1782" s="506" t="s">
        <v>123</v>
      </c>
      <c r="B1782" s="507">
        <v>43016</v>
      </c>
      <c r="C1782" s="507">
        <v>43023</v>
      </c>
      <c r="D1782" s="517" t="s">
        <v>200</v>
      </c>
      <c r="E1782" s="509">
        <v>1</v>
      </c>
      <c r="F1782" s="508"/>
      <c r="G1782" s="508" t="s">
        <v>126</v>
      </c>
      <c r="H1782" s="518">
        <v>1000</v>
      </c>
      <c r="I1782" s="511">
        <v>50</v>
      </c>
      <c r="J1782" s="511">
        <v>16</v>
      </c>
      <c r="K1782" s="511">
        <v>16</v>
      </c>
      <c r="L1782" s="511">
        <v>7</v>
      </c>
      <c r="M1782" s="511">
        <v>5</v>
      </c>
      <c r="N1782" s="511">
        <v>1</v>
      </c>
      <c r="O1782" s="511"/>
      <c r="P1782" s="511"/>
      <c r="Q1782" s="511"/>
      <c r="R1782" s="511"/>
      <c r="S1782" s="511"/>
      <c r="T1782" s="511"/>
      <c r="U1782" s="512"/>
      <c r="V1782" s="511"/>
      <c r="W1782" s="512"/>
      <c r="X1782" s="512"/>
      <c r="Y1782" s="511"/>
      <c r="Z1782" s="512">
        <v>5</v>
      </c>
      <c r="AA1782" s="512">
        <v>0</v>
      </c>
      <c r="AB1782" s="513">
        <f>100/(SUM(I1782:Z1782))</f>
        <v>1</v>
      </c>
      <c r="AC1782" s="513">
        <f>SUM(I1782:AA1782)</f>
        <v>100</v>
      </c>
      <c r="AD1782" s="512"/>
      <c r="AE1782" s="512"/>
      <c r="AF1782" s="512"/>
      <c r="AG1782" s="514" t="s">
        <v>136</v>
      </c>
      <c r="AH1782" s="521" t="s">
        <v>2160</v>
      </c>
      <c r="AI1782" s="521" t="s">
        <v>2157</v>
      </c>
      <c r="AJ1782" s="521" t="s">
        <v>2156</v>
      </c>
      <c r="AK1782" s="508"/>
      <c r="AL1782" s="515">
        <f>(B1782-DATE(1970,1,1))*86400</f>
        <v>1507420800</v>
      </c>
      <c r="AM1782" s="515">
        <f>(C1782-DATE(1970,1,1))*86400</f>
        <v>1508025600</v>
      </c>
      <c r="AN1782" s="515">
        <f>AVERAGE(AL1782:AM1782)</f>
        <v>1507723200</v>
      </c>
      <c r="AO1782" s="633"/>
      <c r="AP1782" s="633"/>
      <c r="AQ1782" s="633"/>
      <c r="AR1782" s="633"/>
      <c r="AS1782" s="633"/>
      <c r="AT1782" s="633"/>
      <c r="AU1782" s="633"/>
      <c r="AV1782" s="633"/>
      <c r="AW1782" s="633"/>
      <c r="AX1782" s="633"/>
      <c r="AY1782" s="633"/>
      <c r="AZ1782" s="633"/>
      <c r="BA1782" s="633"/>
      <c r="BB1782" s="633"/>
      <c r="BC1782" s="633"/>
      <c r="BD1782" s="633"/>
      <c r="BE1782" s="633"/>
      <c r="BF1782" s="633"/>
      <c r="BG1782" s="633"/>
      <c r="BH1782" s="633"/>
      <c r="BI1782" s="633"/>
      <c r="BJ1782" s="633"/>
      <c r="BK1782" s="633"/>
      <c r="BL1782" s="633"/>
      <c r="BM1782" s="274"/>
    </row>
    <row r="1783" spans="1:65" s="275" customFormat="1" ht="15" customHeight="1" x14ac:dyDescent="0.2">
      <c r="A1783" s="532" t="s">
        <v>133</v>
      </c>
      <c r="B1783" s="533">
        <v>43014</v>
      </c>
      <c r="C1783" s="533">
        <v>43023</v>
      </c>
      <c r="D1783" s="391" t="s">
        <v>148</v>
      </c>
      <c r="E1783" s="534">
        <v>1</v>
      </c>
      <c r="F1783" s="391"/>
      <c r="G1783" s="391" t="s">
        <v>149</v>
      </c>
      <c r="H1783" s="535">
        <v>1000</v>
      </c>
      <c r="I1783" s="536">
        <v>30.3</v>
      </c>
      <c r="J1783" s="536">
        <v>8.6999999999999993</v>
      </c>
      <c r="K1783" s="536">
        <v>12.2</v>
      </c>
      <c r="L1783" s="536">
        <v>4.8</v>
      </c>
      <c r="M1783" s="536">
        <v>5.2</v>
      </c>
      <c r="N1783" s="536">
        <v>0.8</v>
      </c>
      <c r="O1783" s="536">
        <v>0.8</v>
      </c>
      <c r="P1783" s="536">
        <v>1.3</v>
      </c>
      <c r="Q1783" s="536"/>
      <c r="R1783" s="536"/>
      <c r="S1783" s="536"/>
      <c r="T1783" s="536"/>
      <c r="U1783" s="536"/>
      <c r="V1783" s="536">
        <v>1</v>
      </c>
      <c r="W1783" s="536"/>
      <c r="X1783" s="536"/>
      <c r="Y1783" s="536"/>
      <c r="Z1783" s="536">
        <v>1.2</v>
      </c>
      <c r="AA1783" s="536">
        <v>33.700000000000003</v>
      </c>
      <c r="AB1783" s="538">
        <f>100/(SUM(I1783:Z1783))</f>
        <v>1.5082956259426847</v>
      </c>
      <c r="AC1783" s="538">
        <f>SUM(I1783:AA1783)</f>
        <v>100</v>
      </c>
      <c r="AD1783" s="539"/>
      <c r="AE1783" s="539"/>
      <c r="AF1783" s="539"/>
      <c r="AG1783" s="540" t="s">
        <v>136</v>
      </c>
      <c r="AH1783" s="391" t="s">
        <v>2137</v>
      </c>
      <c r="AI1783" s="546" t="s">
        <v>2136</v>
      </c>
      <c r="AJ1783" s="546" t="s">
        <v>2135</v>
      </c>
      <c r="AK1783" s="391"/>
      <c r="AL1783" s="542">
        <f>(B1783-DATE(1970,1,1))*86400</f>
        <v>1507248000</v>
      </c>
      <c r="AM1783" s="542">
        <f>(C1783-DATE(1970,1,1))*86400</f>
        <v>1508025600</v>
      </c>
      <c r="AN1783" s="542">
        <f>AVERAGE(AL1783:AM1783)</f>
        <v>1507636800</v>
      </c>
      <c r="AO1783" s="633"/>
      <c r="AP1783" s="633"/>
      <c r="AQ1783" s="633"/>
      <c r="AR1783" s="633"/>
      <c r="AS1783" s="633"/>
      <c r="AT1783" s="633"/>
      <c r="AU1783" s="633"/>
      <c r="AV1783" s="633"/>
      <c r="AW1783" s="633"/>
      <c r="AX1783" s="633"/>
      <c r="AY1783" s="633"/>
      <c r="AZ1783" s="633"/>
      <c r="BA1783" s="633"/>
      <c r="BB1783" s="633"/>
      <c r="BC1783" s="633"/>
      <c r="BD1783" s="633"/>
      <c r="BE1783" s="633"/>
      <c r="BF1783" s="633"/>
      <c r="BG1783" s="633"/>
      <c r="BH1783" s="633"/>
      <c r="BI1783" s="633"/>
      <c r="BJ1783" s="633"/>
      <c r="BK1783" s="633"/>
      <c r="BL1783" s="633"/>
      <c r="BM1783" s="274"/>
    </row>
    <row r="1784" spans="1:65" s="275" customFormat="1" ht="15" customHeight="1" x14ac:dyDescent="0.2">
      <c r="A1784" s="532" t="s">
        <v>123</v>
      </c>
      <c r="B1784" s="533">
        <v>43014</v>
      </c>
      <c r="C1784" s="533">
        <v>43023</v>
      </c>
      <c r="D1784" s="391" t="s">
        <v>148</v>
      </c>
      <c r="E1784" s="534">
        <v>1</v>
      </c>
      <c r="F1784" s="391"/>
      <c r="G1784" s="391" t="s">
        <v>149</v>
      </c>
      <c r="H1784" s="535">
        <v>1000</v>
      </c>
      <c r="I1784" s="536">
        <v>45.1</v>
      </c>
      <c r="J1784" s="536">
        <v>13.2</v>
      </c>
      <c r="K1784" s="536">
        <v>18.899999999999999</v>
      </c>
      <c r="L1784" s="536">
        <v>6.3</v>
      </c>
      <c r="M1784" s="536">
        <v>9.1</v>
      </c>
      <c r="N1784" s="536">
        <v>0.7</v>
      </c>
      <c r="O1784" s="536">
        <v>0.7</v>
      </c>
      <c r="P1784" s="536">
        <v>3.1</v>
      </c>
      <c r="Q1784" s="536"/>
      <c r="R1784" s="536"/>
      <c r="S1784" s="536"/>
      <c r="T1784" s="536"/>
      <c r="U1784" s="536"/>
      <c r="V1784" s="536">
        <v>1.2</v>
      </c>
      <c r="W1784" s="536"/>
      <c r="X1784" s="536"/>
      <c r="Y1784" s="536"/>
      <c r="Z1784" s="536">
        <v>1.7000000000000002</v>
      </c>
      <c r="AA1784" s="539">
        <v>0</v>
      </c>
      <c r="AB1784" s="538">
        <f>100/(SUM(I1784:Z1784))</f>
        <v>1.0000000000000002</v>
      </c>
      <c r="AC1784" s="538">
        <f>SUM(I1784:AA1784)</f>
        <v>99.999999999999986</v>
      </c>
      <c r="AD1784" s="539"/>
      <c r="AE1784" s="539"/>
      <c r="AF1784" s="539"/>
      <c r="AG1784" s="540" t="s">
        <v>136</v>
      </c>
      <c r="AH1784" s="391" t="s">
        <v>2137</v>
      </c>
      <c r="AI1784" s="546" t="s">
        <v>2136</v>
      </c>
      <c r="AJ1784" s="546" t="s">
        <v>2135</v>
      </c>
      <c r="AK1784" s="391"/>
      <c r="AL1784" s="542">
        <f>(B1784-DATE(1970,1,1))*86400</f>
        <v>1507248000</v>
      </c>
      <c r="AM1784" s="542">
        <f>(C1784-DATE(1970,1,1))*86400</f>
        <v>1508025600</v>
      </c>
      <c r="AN1784" s="542">
        <f>AVERAGE(AL1784:AM1784)</f>
        <v>1507636800</v>
      </c>
      <c r="AO1784" s="633"/>
      <c r="AP1784" s="633"/>
      <c r="AQ1784" s="633"/>
      <c r="AR1784" s="633"/>
      <c r="AS1784" s="633"/>
      <c r="AT1784" s="633"/>
      <c r="AU1784" s="633"/>
      <c r="AV1784" s="633"/>
      <c r="AW1784" s="633"/>
      <c r="AX1784" s="633"/>
      <c r="AY1784" s="633"/>
      <c r="AZ1784" s="633"/>
      <c r="BA1784" s="633"/>
      <c r="BB1784" s="633"/>
      <c r="BC1784" s="633"/>
      <c r="BD1784" s="633"/>
      <c r="BE1784" s="633"/>
      <c r="BF1784" s="633"/>
      <c r="BG1784" s="633"/>
      <c r="BH1784" s="633"/>
      <c r="BI1784" s="633"/>
      <c r="BJ1784" s="633"/>
      <c r="BK1784" s="633"/>
      <c r="BL1784" s="633"/>
      <c r="BM1784" s="274"/>
    </row>
    <row r="1785" spans="1:65" s="275" customFormat="1" ht="15" customHeight="1" x14ac:dyDescent="0.2">
      <c r="A1785" s="464" t="s">
        <v>133</v>
      </c>
      <c r="B1785" s="465">
        <v>43010</v>
      </c>
      <c r="C1785" s="465">
        <v>43023</v>
      </c>
      <c r="D1785" s="466" t="s">
        <v>124</v>
      </c>
      <c r="E1785" s="467">
        <v>1</v>
      </c>
      <c r="F1785" s="468"/>
      <c r="G1785" s="468" t="s">
        <v>149</v>
      </c>
      <c r="H1785" s="469">
        <v>2000</v>
      </c>
      <c r="I1785" s="470">
        <v>31</v>
      </c>
      <c r="J1785" s="470">
        <v>5</v>
      </c>
      <c r="K1785" s="470">
        <v>10</v>
      </c>
      <c r="L1785" s="470">
        <v>3</v>
      </c>
      <c r="M1785" s="470">
        <v>4</v>
      </c>
      <c r="N1785" s="470">
        <v>1</v>
      </c>
      <c r="O1785" s="470">
        <v>0</v>
      </c>
      <c r="P1785" s="470">
        <v>2</v>
      </c>
      <c r="Q1785" s="470"/>
      <c r="R1785" s="470"/>
      <c r="S1785" s="470"/>
      <c r="T1785" s="470"/>
      <c r="U1785" s="471"/>
      <c r="V1785" s="470">
        <v>2</v>
      </c>
      <c r="W1785" s="471"/>
      <c r="X1785" s="471"/>
      <c r="Y1785" s="470"/>
      <c r="Z1785" s="471">
        <v>2</v>
      </c>
      <c r="AA1785" s="471">
        <v>40</v>
      </c>
      <c r="AB1785" s="472">
        <f>100/(SUM(I1785:Z1785))</f>
        <v>1.6666666666666667</v>
      </c>
      <c r="AC1785" s="472">
        <f>SUM(I1785:AA1785)</f>
        <v>100</v>
      </c>
      <c r="AD1785" s="471"/>
      <c r="AE1785" s="471"/>
      <c r="AF1785" s="471"/>
      <c r="AG1785" s="473" t="s">
        <v>136</v>
      </c>
      <c r="AH1785" s="474" t="s">
        <v>2153</v>
      </c>
      <c r="AI1785" s="474" t="s">
        <v>2152</v>
      </c>
      <c r="AJ1785" s="474" t="s">
        <v>2154</v>
      </c>
      <c r="AK1785" s="468" t="s">
        <v>2155</v>
      </c>
      <c r="AL1785" s="475">
        <f>(B1785-DATE(1970,1,1))*86400</f>
        <v>1506902400</v>
      </c>
      <c r="AM1785" s="475">
        <f>(C1785-DATE(1970,1,1))*86400</f>
        <v>1508025600</v>
      </c>
      <c r="AN1785" s="475">
        <f>AVERAGE(AL1785:AM1785)</f>
        <v>1507464000</v>
      </c>
      <c r="AO1785" s="633"/>
      <c r="AP1785" s="633"/>
      <c r="AQ1785" s="633"/>
      <c r="AR1785" s="633"/>
      <c r="AS1785" s="633"/>
      <c r="AT1785" s="633"/>
      <c r="AU1785" s="633"/>
      <c r="AV1785" s="633"/>
      <c r="AW1785" s="633"/>
      <c r="AX1785" s="633"/>
      <c r="AY1785" s="633"/>
      <c r="AZ1785" s="633"/>
      <c r="BA1785" s="633"/>
      <c r="BB1785" s="633"/>
      <c r="BC1785" s="633"/>
      <c r="BD1785" s="633"/>
      <c r="BE1785" s="633"/>
      <c r="BF1785" s="633"/>
      <c r="BG1785" s="633"/>
      <c r="BH1785" s="633"/>
      <c r="BI1785" s="633"/>
      <c r="BJ1785" s="633"/>
      <c r="BK1785" s="633"/>
      <c r="BL1785" s="633"/>
      <c r="BM1785" s="274"/>
    </row>
    <row r="1786" spans="1:65" s="275" customFormat="1" ht="15" customHeight="1" x14ac:dyDescent="0.2">
      <c r="A1786" s="464" t="s">
        <v>123</v>
      </c>
      <c r="B1786" s="465">
        <v>43010</v>
      </c>
      <c r="C1786" s="465">
        <v>43023</v>
      </c>
      <c r="D1786" s="466" t="s">
        <v>124</v>
      </c>
      <c r="E1786" s="467">
        <v>1</v>
      </c>
      <c r="F1786" s="468"/>
      <c r="G1786" s="468" t="s">
        <v>149</v>
      </c>
      <c r="H1786" s="469">
        <v>2000</v>
      </c>
      <c r="I1786" s="470">
        <v>44</v>
      </c>
      <c r="J1786" s="470">
        <v>10</v>
      </c>
      <c r="K1786" s="470">
        <v>19</v>
      </c>
      <c r="L1786" s="470">
        <v>7</v>
      </c>
      <c r="M1786" s="470">
        <v>8</v>
      </c>
      <c r="N1786" s="470">
        <v>2</v>
      </c>
      <c r="O1786" s="470">
        <v>1</v>
      </c>
      <c r="P1786" s="470">
        <v>4</v>
      </c>
      <c r="Q1786" s="470"/>
      <c r="R1786" s="470"/>
      <c r="S1786" s="470"/>
      <c r="T1786" s="470"/>
      <c r="U1786" s="471"/>
      <c r="V1786" s="470">
        <v>3</v>
      </c>
      <c r="W1786" s="471"/>
      <c r="X1786" s="471"/>
      <c r="Y1786" s="470"/>
      <c r="Z1786" s="471">
        <v>2</v>
      </c>
      <c r="AA1786" s="471">
        <v>0</v>
      </c>
      <c r="AB1786" s="472">
        <f>100/(SUM(I1786:Z1786))</f>
        <v>1</v>
      </c>
      <c r="AC1786" s="472">
        <f>SUM(I1786:AA1786)</f>
        <v>100</v>
      </c>
      <c r="AD1786" s="471"/>
      <c r="AE1786" s="471"/>
      <c r="AF1786" s="471"/>
      <c r="AG1786" s="473" t="s">
        <v>136</v>
      </c>
      <c r="AH1786" s="474" t="s">
        <v>2153</v>
      </c>
      <c r="AI1786" s="474" t="s">
        <v>2152</v>
      </c>
      <c r="AJ1786" s="474" t="s">
        <v>2154</v>
      </c>
      <c r="AK1786" s="468" t="s">
        <v>2155</v>
      </c>
      <c r="AL1786" s="475">
        <f>(B1786-DATE(1970,1,1))*86400</f>
        <v>1506902400</v>
      </c>
      <c r="AM1786" s="475">
        <f>(C1786-DATE(1970,1,1))*86400</f>
        <v>1508025600</v>
      </c>
      <c r="AN1786" s="475">
        <f>AVERAGE(AL1786:AM1786)</f>
        <v>1507464000</v>
      </c>
      <c r="AO1786" s="633"/>
      <c r="AP1786" s="633"/>
      <c r="AQ1786" s="633"/>
      <c r="AR1786" s="633"/>
      <c r="AS1786" s="633"/>
      <c r="AT1786" s="633"/>
      <c r="AU1786" s="633"/>
      <c r="AV1786" s="633"/>
      <c r="AW1786" s="633"/>
      <c r="AX1786" s="633"/>
      <c r="AY1786" s="633"/>
      <c r="AZ1786" s="633"/>
      <c r="BA1786" s="633"/>
      <c r="BB1786" s="633"/>
      <c r="BC1786" s="633"/>
      <c r="BD1786" s="633"/>
      <c r="BE1786" s="633"/>
      <c r="BF1786" s="633"/>
      <c r="BG1786" s="633"/>
      <c r="BH1786" s="633"/>
      <c r="BI1786" s="633"/>
      <c r="BJ1786" s="633"/>
      <c r="BK1786" s="633"/>
      <c r="BL1786" s="633"/>
      <c r="BM1786" s="274"/>
    </row>
    <row r="1787" spans="1:65" ht="15" customHeight="1" x14ac:dyDescent="0.2">
      <c r="A1787" s="464" t="s">
        <v>133</v>
      </c>
      <c r="B1787" s="465">
        <v>41765</v>
      </c>
      <c r="C1787" s="465">
        <v>41767</v>
      </c>
      <c r="D1787" s="466" t="s">
        <v>124</v>
      </c>
      <c r="E1787" s="467">
        <v>1</v>
      </c>
      <c r="F1787" s="468" t="s">
        <v>195</v>
      </c>
      <c r="G1787" s="468" t="s">
        <v>149</v>
      </c>
      <c r="H1787" s="469">
        <v>1000</v>
      </c>
      <c r="I1787" s="470">
        <v>38</v>
      </c>
      <c r="J1787" s="470">
        <v>10</v>
      </c>
      <c r="K1787" s="470">
        <v>13</v>
      </c>
      <c r="L1787" s="470">
        <v>6</v>
      </c>
      <c r="M1787" s="470">
        <v>3</v>
      </c>
      <c r="N1787" s="470">
        <v>6</v>
      </c>
      <c r="O1787" s="470"/>
      <c r="P1787" s="470"/>
      <c r="Q1787" s="470"/>
      <c r="R1787" s="470"/>
      <c r="S1787" s="470"/>
      <c r="T1787" s="470"/>
      <c r="U1787" s="471"/>
      <c r="V1787" s="470"/>
      <c r="W1787" s="471"/>
      <c r="X1787" s="471"/>
      <c r="Y1787" s="470"/>
      <c r="Z1787" s="471"/>
      <c r="AA1787" s="471">
        <v>24</v>
      </c>
      <c r="AB1787" s="472">
        <f>100/(SUM(I1787:Z1787))</f>
        <v>1.3157894736842106</v>
      </c>
      <c r="AC1787" s="472">
        <f>SUM(I1787:AA1787)</f>
        <v>100</v>
      </c>
      <c r="AD1787" s="471">
        <v>44</v>
      </c>
      <c r="AE1787" s="471"/>
      <c r="AF1787" s="471"/>
      <c r="AG1787" s="473" t="s">
        <v>136</v>
      </c>
      <c r="AH1787" s="644" t="s">
        <v>2566</v>
      </c>
      <c r="AI1787" s="644"/>
      <c r="AJ1787" s="474"/>
      <c r="AK1787" s="468" t="s">
        <v>2568</v>
      </c>
      <c r="AL1787" s="475">
        <f>(B1787-DATE(1970,1,1))*86400</f>
        <v>1399334400</v>
      </c>
      <c r="AM1787" s="475">
        <f>(C1787-DATE(1970,1,1))*86400</f>
        <v>1399507200</v>
      </c>
      <c r="AN1787" s="475">
        <f>AVERAGE(AL1787:AM1787)</f>
        <v>1399420800</v>
      </c>
      <c r="AO1787" s="633"/>
      <c r="AP1787" s="633"/>
      <c r="AQ1787" s="633"/>
      <c r="AR1787" s="633"/>
      <c r="AS1787" s="633"/>
      <c r="AT1787" s="633"/>
      <c r="AU1787" s="633"/>
      <c r="AV1787" s="633"/>
      <c r="AW1787" s="633"/>
      <c r="AX1787" s="633"/>
      <c r="AY1787" s="633"/>
      <c r="AZ1787" s="633"/>
      <c r="BA1787" s="633"/>
      <c r="BB1787" s="633"/>
      <c r="BC1787" s="633"/>
      <c r="BD1787" s="633"/>
      <c r="BE1787" s="633"/>
      <c r="BF1787" s="633"/>
      <c r="BG1787" s="633"/>
      <c r="BH1787" s="633"/>
      <c r="BI1787" s="633"/>
      <c r="BJ1787" s="633"/>
      <c r="BK1787" s="633"/>
      <c r="BL1787" s="633"/>
    </row>
    <row r="1788" spans="1:65" ht="15" customHeight="1" x14ac:dyDescent="0.2">
      <c r="A1788" s="464" t="s">
        <v>123</v>
      </c>
      <c r="B1788" s="465">
        <v>41765</v>
      </c>
      <c r="C1788" s="465">
        <v>41767</v>
      </c>
      <c r="D1788" s="466" t="s">
        <v>124</v>
      </c>
      <c r="E1788" s="467">
        <v>1</v>
      </c>
      <c r="F1788" s="468" t="s">
        <v>195</v>
      </c>
      <c r="G1788" s="468" t="s">
        <v>149</v>
      </c>
      <c r="H1788" s="469">
        <v>1000</v>
      </c>
      <c r="I1788" s="470">
        <v>46</v>
      </c>
      <c r="J1788" s="470">
        <v>15</v>
      </c>
      <c r="K1788" s="470">
        <v>15</v>
      </c>
      <c r="L1788" s="470">
        <v>10</v>
      </c>
      <c r="M1788" s="470">
        <v>4</v>
      </c>
      <c r="N1788" s="470">
        <v>10</v>
      </c>
      <c r="O1788" s="470"/>
      <c r="P1788" s="470"/>
      <c r="Q1788" s="470"/>
      <c r="R1788" s="470"/>
      <c r="S1788" s="470"/>
      <c r="T1788" s="470"/>
      <c r="U1788" s="471"/>
      <c r="V1788" s="470"/>
      <c r="W1788" s="471"/>
      <c r="X1788" s="471"/>
      <c r="Y1788" s="470"/>
      <c r="Z1788" s="471"/>
      <c r="AA1788" s="471">
        <v>0</v>
      </c>
      <c r="AB1788" s="472">
        <f>100/(SUM(I1788:Z1788))</f>
        <v>1</v>
      </c>
      <c r="AC1788" s="472">
        <f>SUM(I1788:AA1788)</f>
        <v>100</v>
      </c>
      <c r="AD1788" s="471"/>
      <c r="AE1788" s="471"/>
      <c r="AF1788" s="471"/>
      <c r="AG1788" s="473" t="s">
        <v>136</v>
      </c>
      <c r="AH1788" s="644" t="s">
        <v>2566</v>
      </c>
      <c r="AI1788" s="644"/>
      <c r="AJ1788" s="474"/>
      <c r="AK1788" s="468"/>
      <c r="AL1788" s="475">
        <f>(B1788-DATE(1970,1,1))*86400</f>
        <v>1399334400</v>
      </c>
      <c r="AM1788" s="475">
        <f>(C1788-DATE(1970,1,1))*86400</f>
        <v>1399507200</v>
      </c>
      <c r="AN1788" s="475">
        <f>AVERAGE(AL1788:AM1788)</f>
        <v>1399420800</v>
      </c>
      <c r="AO1788" s="633"/>
      <c r="AP1788" s="633"/>
      <c r="AQ1788" s="633"/>
      <c r="AR1788" s="633"/>
      <c r="AS1788" s="633"/>
      <c r="AT1788" s="633"/>
      <c r="AU1788" s="633"/>
      <c r="AV1788" s="633"/>
      <c r="AW1788" s="633"/>
      <c r="AX1788" s="633"/>
      <c r="AY1788" s="633"/>
      <c r="AZ1788" s="633"/>
      <c r="BA1788" s="633"/>
      <c r="BB1788" s="633"/>
      <c r="BC1788" s="633"/>
      <c r="BD1788" s="633"/>
      <c r="BE1788" s="633"/>
      <c r="BF1788" s="633"/>
      <c r="BG1788" s="633"/>
      <c r="BH1788" s="633"/>
      <c r="BI1788" s="633"/>
      <c r="BJ1788" s="633"/>
      <c r="BK1788" s="633"/>
      <c r="BL1788" s="633"/>
    </row>
    <row r="1789" spans="1:65" ht="15" customHeight="1" x14ac:dyDescent="0.2">
      <c r="A1789" s="464" t="s">
        <v>123</v>
      </c>
      <c r="B1789" s="465">
        <v>41735</v>
      </c>
      <c r="C1789" s="465">
        <v>41735</v>
      </c>
      <c r="D1789" s="466" t="s">
        <v>124</v>
      </c>
      <c r="E1789" s="467">
        <v>1</v>
      </c>
      <c r="F1789" s="468"/>
      <c r="G1789" s="468" t="s">
        <v>126</v>
      </c>
      <c r="H1789" s="469">
        <v>1200</v>
      </c>
      <c r="I1789" s="470">
        <v>48</v>
      </c>
      <c r="J1789" s="470"/>
      <c r="K1789" s="470">
        <v>18</v>
      </c>
      <c r="L1789" s="470">
        <v>6</v>
      </c>
      <c r="M1789" s="470"/>
      <c r="N1789" s="470"/>
      <c r="O1789" s="470"/>
      <c r="P1789" s="470"/>
      <c r="Q1789" s="470">
        <v>27</v>
      </c>
      <c r="R1789" s="470"/>
      <c r="S1789" s="470"/>
      <c r="T1789" s="470"/>
      <c r="U1789" s="471"/>
      <c r="V1789" s="470"/>
      <c r="W1789" s="471"/>
      <c r="X1789" s="471"/>
      <c r="Y1789" s="470"/>
      <c r="Z1789" s="583">
        <v>1</v>
      </c>
      <c r="AA1789" s="471">
        <v>0</v>
      </c>
      <c r="AB1789" s="472">
        <f>100/(SUM(I1789:Z1789))</f>
        <v>1</v>
      </c>
      <c r="AC1789" s="472">
        <f>SUM(I1789:AA1789)</f>
        <v>100</v>
      </c>
      <c r="AD1789" s="471" t="s">
        <v>355</v>
      </c>
      <c r="AE1789" s="471"/>
      <c r="AF1789" s="471"/>
      <c r="AG1789" s="473" t="s">
        <v>136</v>
      </c>
      <c r="AH1789" s="644" t="s">
        <v>2573</v>
      </c>
      <c r="AI1789" s="644" t="s">
        <v>2574</v>
      </c>
      <c r="AJ1789" s="474" t="s">
        <v>2575</v>
      </c>
      <c r="AK1789" s="468"/>
      <c r="AL1789" s="475">
        <f>(B1789-DATE(1970,1,1))*86400</f>
        <v>1396742400</v>
      </c>
      <c r="AM1789" s="475">
        <f>(C1789-DATE(1970,1,1))*86400</f>
        <v>1396742400</v>
      </c>
      <c r="AN1789" s="475">
        <f>AVERAGE(AL1789:AM1789)</f>
        <v>1396742400</v>
      </c>
      <c r="AO1789" s="633"/>
      <c r="AP1789" s="633"/>
      <c r="AQ1789" s="633"/>
      <c r="AR1789" s="633"/>
      <c r="AS1789" s="633"/>
      <c r="AT1789" s="633"/>
      <c r="AU1789" s="633"/>
      <c r="AV1789" s="633"/>
      <c r="AW1789" s="633"/>
      <c r="AX1789" s="633"/>
      <c r="AY1789" s="633"/>
      <c r="AZ1789" s="633"/>
      <c r="BA1789" s="633"/>
      <c r="BB1789" s="633"/>
      <c r="BC1789" s="633"/>
      <c r="BD1789" s="633"/>
      <c r="BE1789" s="633"/>
      <c r="BF1789" s="633"/>
      <c r="BG1789" s="633"/>
      <c r="BH1789" s="633"/>
      <c r="BI1789" s="633"/>
      <c r="BJ1789" s="633"/>
      <c r="BK1789" s="633"/>
      <c r="BL1789" s="633"/>
    </row>
    <row r="1790" spans="1:65" ht="15" customHeight="1" x14ac:dyDescent="0.2">
      <c r="A1790" s="506" t="s">
        <v>123</v>
      </c>
      <c r="B1790" s="507">
        <v>41735</v>
      </c>
      <c r="C1790" s="507">
        <v>41735</v>
      </c>
      <c r="D1790" s="517" t="s">
        <v>200</v>
      </c>
      <c r="E1790" s="509">
        <v>1</v>
      </c>
      <c r="F1790" s="508"/>
      <c r="G1790" s="508" t="s">
        <v>126</v>
      </c>
      <c r="H1790" s="518">
        <v>1000</v>
      </c>
      <c r="I1790" s="511">
        <v>49</v>
      </c>
      <c r="J1790" s="511"/>
      <c r="K1790" s="511">
        <v>20</v>
      </c>
      <c r="L1790" s="511">
        <v>5</v>
      </c>
      <c r="M1790" s="511"/>
      <c r="N1790" s="511"/>
      <c r="O1790" s="511"/>
      <c r="P1790" s="511"/>
      <c r="Q1790" s="511">
        <v>21</v>
      </c>
      <c r="R1790" s="511"/>
      <c r="S1790" s="511"/>
      <c r="T1790" s="511"/>
      <c r="U1790" s="512"/>
      <c r="V1790" s="511"/>
      <c r="W1790" s="512"/>
      <c r="X1790" s="512"/>
      <c r="Y1790" s="511"/>
      <c r="Z1790" s="582">
        <v>5</v>
      </c>
      <c r="AA1790" s="512">
        <v>0</v>
      </c>
      <c r="AB1790" s="513">
        <f>100/(SUM(I1790:Z1790))</f>
        <v>1</v>
      </c>
      <c r="AC1790" s="513">
        <f>SUM(I1790:AA1790)</f>
        <v>100</v>
      </c>
      <c r="AD1790" s="512"/>
      <c r="AE1790" s="512"/>
      <c r="AF1790" s="512"/>
      <c r="AG1790" s="514" t="s">
        <v>136</v>
      </c>
      <c r="AH1790" s="651" t="s">
        <v>2573</v>
      </c>
      <c r="AI1790" s="651"/>
      <c r="AJ1790" s="521"/>
      <c r="AK1790" s="508"/>
      <c r="AL1790" s="515">
        <f>(B1790-DATE(1970,1,1))*86400</f>
        <v>1396742400</v>
      </c>
      <c r="AM1790" s="515">
        <f>(C1790-DATE(1970,1,1))*86400</f>
        <v>1396742400</v>
      </c>
      <c r="AN1790" s="515">
        <f>AVERAGE(AL1790:AM1790)</f>
        <v>1396742400</v>
      </c>
      <c r="AO1790" s="633"/>
      <c r="AP1790" s="633"/>
      <c r="AQ1790" s="633"/>
      <c r="AR1790" s="633"/>
      <c r="AS1790" s="633"/>
      <c r="AT1790" s="633"/>
      <c r="AU1790" s="633"/>
      <c r="AV1790" s="633"/>
      <c r="AW1790" s="633"/>
      <c r="AX1790" s="633"/>
      <c r="AY1790" s="633"/>
      <c r="AZ1790" s="633"/>
      <c r="BA1790" s="633"/>
      <c r="BB1790" s="633"/>
      <c r="BC1790" s="633"/>
      <c r="BD1790" s="633"/>
      <c r="BE1790" s="633"/>
      <c r="BF1790" s="633"/>
      <c r="BG1790" s="633"/>
      <c r="BH1790" s="633"/>
      <c r="BI1790" s="633"/>
      <c r="BJ1790" s="633"/>
      <c r="BK1790" s="633"/>
      <c r="BL1790" s="633"/>
    </row>
    <row r="1791" spans="1:65" ht="15" customHeight="1" x14ac:dyDescent="0.2">
      <c r="A1791" s="587" t="s">
        <v>123</v>
      </c>
      <c r="B1791" s="617">
        <v>41734</v>
      </c>
      <c r="C1791" s="617">
        <v>41734</v>
      </c>
      <c r="D1791" s="588" t="s">
        <v>312</v>
      </c>
      <c r="E1791" s="589">
        <v>1</v>
      </c>
      <c r="F1791" s="588" t="s">
        <v>1326</v>
      </c>
      <c r="G1791" s="588"/>
      <c r="H1791" s="590">
        <v>0</v>
      </c>
      <c r="I1791" s="591">
        <v>42.5</v>
      </c>
      <c r="J1791" s="591"/>
      <c r="K1791" s="591">
        <v>21</v>
      </c>
      <c r="L1791" s="591">
        <v>5</v>
      </c>
      <c r="M1791" s="591"/>
      <c r="N1791" s="591"/>
      <c r="O1791" s="591"/>
      <c r="P1791" s="591"/>
      <c r="Q1791" s="591">
        <v>28.5</v>
      </c>
      <c r="R1791" s="591"/>
      <c r="S1791" s="591"/>
      <c r="T1791" s="591"/>
      <c r="U1791" s="592"/>
      <c r="V1791" s="591"/>
      <c r="W1791" s="592"/>
      <c r="X1791" s="592"/>
      <c r="Y1791" s="591"/>
      <c r="Z1791" s="592">
        <v>3</v>
      </c>
      <c r="AA1791" s="592">
        <v>0</v>
      </c>
      <c r="AB1791" s="593">
        <f>100/(SUM(I1791:Z1791))</f>
        <v>1</v>
      </c>
      <c r="AC1791" s="593">
        <f>SUM(I1791:AA1791)</f>
        <v>100</v>
      </c>
      <c r="AD1791" s="592"/>
      <c r="AE1791" s="592"/>
      <c r="AF1791" s="592"/>
      <c r="AG1791" s="594"/>
      <c r="AH1791" s="652" t="s">
        <v>2583</v>
      </c>
      <c r="AI1791" s="652" t="s">
        <v>2582</v>
      </c>
      <c r="AJ1791" s="546" t="s">
        <v>2581</v>
      </c>
      <c r="AK1791" s="588"/>
      <c r="AL1791" s="594">
        <f>(B1791-DATE(1970,1,1))*86400</f>
        <v>1396656000</v>
      </c>
      <c r="AM1791" s="594">
        <f>(C1791-DATE(1970,1,1))*86400</f>
        <v>1396656000</v>
      </c>
      <c r="AN1791" s="594">
        <f>AVERAGE(AL1791:AM1791)</f>
        <v>1396656000</v>
      </c>
      <c r="AO1791" s="633"/>
      <c r="AP1791" s="633"/>
      <c r="AQ1791" s="633"/>
      <c r="AR1791" s="633"/>
      <c r="AS1791" s="633"/>
      <c r="AT1791" s="633"/>
      <c r="AU1791" s="633"/>
      <c r="AV1791" s="633"/>
      <c r="AW1791" s="633"/>
      <c r="AX1791" s="633"/>
      <c r="AY1791" s="633"/>
      <c r="AZ1791" s="633"/>
      <c r="BA1791" s="633"/>
      <c r="BB1791" s="633"/>
      <c r="BC1791" s="633"/>
      <c r="BD1791" s="633"/>
      <c r="BE1791" s="633"/>
      <c r="BF1791" s="633"/>
      <c r="BG1791" s="633"/>
      <c r="BH1791" s="633"/>
      <c r="BI1791" s="633"/>
      <c r="BJ1791" s="633"/>
      <c r="BK1791" s="633"/>
      <c r="BL1791" s="633"/>
    </row>
    <row r="1792" spans="1:65" s="631" customFormat="1" ht="409.6" x14ac:dyDescent="0.2">
      <c r="A1792" s="618" t="s">
        <v>123</v>
      </c>
      <c r="B1792" s="619">
        <v>41732</v>
      </c>
      <c r="C1792" s="619">
        <v>41732</v>
      </c>
      <c r="D1792" s="620" t="s">
        <v>2584</v>
      </c>
      <c r="E1792" s="621">
        <v>1</v>
      </c>
      <c r="F1792" s="620" t="s">
        <v>1326</v>
      </c>
      <c r="G1792" s="620"/>
      <c r="H1792" s="622">
        <v>0</v>
      </c>
      <c r="I1792" s="623">
        <v>46.6</v>
      </c>
      <c r="J1792" s="623"/>
      <c r="K1792" s="623">
        <v>23</v>
      </c>
      <c r="L1792" s="623">
        <v>5.2</v>
      </c>
      <c r="M1792" s="623"/>
      <c r="N1792" s="623"/>
      <c r="O1792" s="623"/>
      <c r="P1792" s="623"/>
      <c r="Q1792" s="623">
        <v>23.5</v>
      </c>
      <c r="R1792" s="623"/>
      <c r="S1792" s="623"/>
      <c r="T1792" s="623"/>
      <c r="U1792" s="624"/>
      <c r="V1792" s="623"/>
      <c r="W1792" s="624"/>
      <c r="X1792" s="624"/>
      <c r="Y1792" s="623"/>
      <c r="Z1792" s="624">
        <v>1.7</v>
      </c>
      <c r="AA1792" s="624">
        <v>0</v>
      </c>
      <c r="AB1792" s="413">
        <f>100/(SUM(I1792:Z1792))</f>
        <v>1</v>
      </c>
      <c r="AC1792" s="413">
        <f>SUM(I1792:AA1792)</f>
        <v>100</v>
      </c>
      <c r="AD1792" s="624">
        <v>62</v>
      </c>
      <c r="AE1792" s="624"/>
      <c r="AF1792" s="624"/>
      <c r="AG1792" s="625"/>
      <c r="AH1792" s="627" t="s">
        <v>2586</v>
      </c>
      <c r="AI1792" s="626"/>
      <c r="AJ1792" s="627"/>
      <c r="AK1792" s="629" t="s">
        <v>2585</v>
      </c>
      <c r="AL1792" s="628">
        <f>(B1792-DATE(1970,1,1))*86400</f>
        <v>1396483200</v>
      </c>
      <c r="AM1792" s="628">
        <f>(C1792-DATE(1970,1,1))*86400</f>
        <v>1396483200</v>
      </c>
      <c r="AN1792" s="628">
        <f>AVERAGE(AL1792:AM1792)</f>
        <v>1396483200</v>
      </c>
      <c r="AO1792" s="632"/>
      <c r="AP1792" s="632"/>
      <c r="AQ1792" s="632"/>
      <c r="AR1792" s="632"/>
      <c r="AS1792" s="632"/>
      <c r="AT1792" s="632"/>
      <c r="AU1792" s="632"/>
      <c r="AV1792" s="632"/>
      <c r="AW1792" s="632"/>
      <c r="AX1792" s="632"/>
      <c r="AY1792" s="632"/>
      <c r="AZ1792" s="632"/>
      <c r="BA1792" s="632"/>
      <c r="BB1792" s="632"/>
      <c r="BC1792" s="632"/>
      <c r="BD1792" s="632"/>
      <c r="BE1792" s="632"/>
      <c r="BF1792" s="632"/>
      <c r="BG1792" s="632"/>
      <c r="BH1792" s="632"/>
      <c r="BI1792" s="632"/>
      <c r="BJ1792" s="632"/>
      <c r="BK1792" s="632"/>
      <c r="BL1792" s="632"/>
      <c r="BM1792"/>
    </row>
    <row r="1793" spans="1:65" s="631" customFormat="1" x14ac:dyDescent="0.2">
      <c r="A1793" s="422" t="s">
        <v>123</v>
      </c>
      <c r="B1793" s="423">
        <v>41732</v>
      </c>
      <c r="C1793" s="423">
        <v>41732</v>
      </c>
      <c r="D1793" s="426" t="s">
        <v>143</v>
      </c>
      <c r="E1793" s="425">
        <v>1</v>
      </c>
      <c r="F1793" s="426" t="s">
        <v>1326</v>
      </c>
      <c r="G1793" s="426"/>
      <c r="H1793" s="427">
        <v>0</v>
      </c>
      <c r="I1793" s="428">
        <v>41</v>
      </c>
      <c r="J1793" s="428"/>
      <c r="K1793" s="428">
        <v>23</v>
      </c>
      <c r="L1793" s="428">
        <v>4</v>
      </c>
      <c r="M1793" s="428"/>
      <c r="N1793" s="428"/>
      <c r="O1793" s="428"/>
      <c r="P1793" s="428"/>
      <c r="Q1793" s="428">
        <v>29</v>
      </c>
      <c r="R1793" s="428"/>
      <c r="S1793" s="428"/>
      <c r="T1793" s="428"/>
      <c r="U1793" s="431"/>
      <c r="V1793" s="428"/>
      <c r="W1793" s="431"/>
      <c r="X1793" s="431"/>
      <c r="Y1793" s="428"/>
      <c r="Z1793" s="431">
        <v>3</v>
      </c>
      <c r="AA1793" s="431">
        <v>0</v>
      </c>
      <c r="AB1793" s="432">
        <f>100/(SUM(I1793:Z1793))</f>
        <v>1</v>
      </c>
      <c r="AC1793" s="432">
        <f>SUM(I1793:AA1793)</f>
        <v>100</v>
      </c>
      <c r="AD1793" s="431"/>
      <c r="AE1793" s="431"/>
      <c r="AF1793" s="431"/>
      <c r="AG1793" s="433"/>
      <c r="AH1793" s="434" t="s">
        <v>2581</v>
      </c>
      <c r="AI1793" s="434" t="s">
        <v>2580</v>
      </c>
      <c r="AJ1793" s="434"/>
      <c r="AK1793" s="426"/>
      <c r="AL1793" s="435">
        <f>(B1793-DATE(1970,1,1))*86400</f>
        <v>1396483200</v>
      </c>
      <c r="AM1793" s="435">
        <f>(C1793-DATE(1970,1,1))*86400</f>
        <v>1396483200</v>
      </c>
      <c r="AN1793" s="435">
        <f>AVERAGE(AL1793:AM1793)</f>
        <v>1396483200</v>
      </c>
      <c r="AO1793" s="632"/>
      <c r="AP1793" s="632"/>
      <c r="AQ1793" s="632"/>
      <c r="AR1793" s="632"/>
      <c r="AS1793" s="632"/>
      <c r="AT1793" s="632"/>
      <c r="AU1793" s="632"/>
      <c r="AV1793" s="632"/>
      <c r="AW1793" s="632"/>
      <c r="AX1793" s="632"/>
      <c r="AY1793" s="632"/>
      <c r="AZ1793" s="632"/>
      <c r="BA1793" s="632"/>
      <c r="BB1793" s="632"/>
      <c r="BC1793" s="632"/>
      <c r="BD1793" s="632"/>
      <c r="BE1793" s="632"/>
      <c r="BF1793" s="632"/>
      <c r="BG1793" s="632"/>
      <c r="BH1793" s="632"/>
      <c r="BI1793" s="632"/>
      <c r="BJ1793" s="632"/>
      <c r="BK1793" s="632"/>
      <c r="BL1793" s="632"/>
      <c r="BM1793"/>
    </row>
    <row r="1794" spans="1:65" s="631" customFormat="1" x14ac:dyDescent="0.2">
      <c r="A1794" s="464" t="s">
        <v>133</v>
      </c>
      <c r="B1794" s="465">
        <v>41729</v>
      </c>
      <c r="C1794" s="465">
        <v>41731</v>
      </c>
      <c r="D1794" s="466" t="s">
        <v>124</v>
      </c>
      <c r="E1794" s="467">
        <v>1</v>
      </c>
      <c r="F1794" s="468"/>
      <c r="G1794" s="468" t="s">
        <v>149</v>
      </c>
      <c r="H1794" s="469">
        <v>1500</v>
      </c>
      <c r="I1794" s="470">
        <v>37</v>
      </c>
      <c r="J1794" s="470"/>
      <c r="K1794" s="470">
        <v>15</v>
      </c>
      <c r="L1794" s="470">
        <v>2</v>
      </c>
      <c r="M1794" s="470"/>
      <c r="N1794" s="470"/>
      <c r="O1794" s="470"/>
      <c r="P1794" s="470"/>
      <c r="Q1794" s="470">
        <v>19</v>
      </c>
      <c r="R1794" s="470"/>
      <c r="S1794" s="470"/>
      <c r="T1794" s="470"/>
      <c r="U1794" s="471"/>
      <c r="V1794" s="470"/>
      <c r="W1794" s="471"/>
      <c r="X1794" s="471"/>
      <c r="Y1794" s="470"/>
      <c r="Z1794" s="471">
        <v>1</v>
      </c>
      <c r="AA1794" s="471">
        <v>27</v>
      </c>
      <c r="AB1794" s="472">
        <f>100/(SUM(I1794:Z1794))</f>
        <v>1.3513513513513513</v>
      </c>
      <c r="AC1794" s="472">
        <f>SUM(I1794:AA1794)</f>
        <v>101</v>
      </c>
      <c r="AD1794" s="471">
        <v>62</v>
      </c>
      <c r="AE1794" s="471"/>
      <c r="AF1794" s="471"/>
      <c r="AG1794" s="473" t="s">
        <v>136</v>
      </c>
      <c r="AH1794" s="474" t="s">
        <v>2565</v>
      </c>
      <c r="AI1794" s="474" t="s">
        <v>2572</v>
      </c>
      <c r="AJ1794" s="474"/>
      <c r="AK1794" s="468" t="s">
        <v>2567</v>
      </c>
      <c r="AL1794" s="475">
        <f>(B1794-DATE(1970,1,1))*86400</f>
        <v>1396224000</v>
      </c>
      <c r="AM1794" s="475">
        <f>(C1794-DATE(1970,1,1))*86400</f>
        <v>1396396800</v>
      </c>
      <c r="AN1794" s="475">
        <f>AVERAGE(AL1794:AM1794)</f>
        <v>1396310400</v>
      </c>
      <c r="AO1794" s="632"/>
      <c r="AP1794" s="632"/>
      <c r="AQ1794" s="632"/>
      <c r="AR1794" s="632"/>
      <c r="AS1794" s="632"/>
      <c r="AT1794" s="632"/>
      <c r="AU1794" s="632"/>
      <c r="AV1794" s="632"/>
      <c r="AW1794" s="632"/>
      <c r="AX1794" s="632"/>
      <c r="AY1794" s="632"/>
      <c r="AZ1794" s="632"/>
      <c r="BA1794" s="632"/>
      <c r="BB1794" s="632"/>
      <c r="BC1794" s="632"/>
      <c r="BD1794" s="632"/>
      <c r="BE1794" s="632"/>
      <c r="BF1794" s="632"/>
      <c r="BG1794" s="632"/>
      <c r="BH1794" s="632"/>
      <c r="BI1794" s="632"/>
      <c r="BJ1794" s="632"/>
      <c r="BK1794" s="632"/>
      <c r="BL1794" s="632"/>
      <c r="BM1794"/>
    </row>
    <row r="1795" spans="1:65" s="631" customFormat="1" x14ac:dyDescent="0.2">
      <c r="A1795" s="464" t="s">
        <v>123</v>
      </c>
      <c r="B1795" s="465">
        <v>41729</v>
      </c>
      <c r="C1795" s="465">
        <v>41731</v>
      </c>
      <c r="D1795" s="466" t="s">
        <v>124</v>
      </c>
      <c r="E1795" s="467">
        <v>1</v>
      </c>
      <c r="F1795" s="468"/>
      <c r="G1795" s="468" t="s">
        <v>149</v>
      </c>
      <c r="H1795" s="469">
        <v>1500</v>
      </c>
      <c r="I1795" s="470">
        <v>47</v>
      </c>
      <c r="J1795" s="470"/>
      <c r="K1795" s="470">
        <v>19</v>
      </c>
      <c r="L1795" s="470">
        <v>5</v>
      </c>
      <c r="M1795" s="470"/>
      <c r="N1795" s="470"/>
      <c r="O1795" s="470"/>
      <c r="P1795" s="470"/>
      <c r="Q1795" s="470">
        <v>28</v>
      </c>
      <c r="R1795" s="470"/>
      <c r="S1795" s="470"/>
      <c r="T1795" s="470"/>
      <c r="U1795" s="471"/>
      <c r="V1795" s="470"/>
      <c r="W1795" s="471"/>
      <c r="X1795" s="471"/>
      <c r="Y1795" s="470"/>
      <c r="Z1795" s="471"/>
      <c r="AA1795" s="471">
        <v>0</v>
      </c>
      <c r="AB1795" s="472">
        <f>100/(SUM(I1795:Z1795))</f>
        <v>1.0101010101010102</v>
      </c>
      <c r="AC1795" s="472">
        <f>SUM(I1795:AA1795)</f>
        <v>99</v>
      </c>
      <c r="AD1795" s="471"/>
      <c r="AE1795" s="471"/>
      <c r="AF1795" s="471"/>
      <c r="AG1795" s="473" t="s">
        <v>136</v>
      </c>
      <c r="AH1795" s="474" t="s">
        <v>2565</v>
      </c>
      <c r="AI1795" s="474" t="s">
        <v>2572</v>
      </c>
      <c r="AJ1795" s="474"/>
      <c r="AK1795" s="468" t="s">
        <v>2564</v>
      </c>
      <c r="AL1795" s="475">
        <f>(B1795-DATE(1970,1,1))*86400</f>
        <v>1396224000</v>
      </c>
      <c r="AM1795" s="475">
        <f>(C1795-DATE(1970,1,1))*86400</f>
        <v>1396396800</v>
      </c>
      <c r="AN1795" s="475">
        <f>AVERAGE(AL1795:AM1795)</f>
        <v>1396310400</v>
      </c>
      <c r="AO1795" s="632"/>
      <c r="AP1795" s="632"/>
      <c r="AQ1795" s="632"/>
      <c r="AR1795" s="632"/>
      <c r="AS1795" s="632"/>
      <c r="AT1795" s="632"/>
      <c r="AU1795" s="632"/>
      <c r="AV1795" s="632"/>
      <c r="AW1795" s="632"/>
      <c r="AX1795" s="632"/>
      <c r="AY1795" s="632"/>
      <c r="AZ1795" s="632"/>
      <c r="BA1795" s="632"/>
      <c r="BB1795" s="632"/>
      <c r="BC1795" s="632"/>
      <c r="BD1795" s="632"/>
      <c r="BE1795" s="632"/>
      <c r="BF1795" s="632"/>
      <c r="BG1795" s="632"/>
      <c r="BH1795" s="632"/>
      <c r="BI1795" s="632"/>
      <c r="BJ1795" s="632"/>
      <c r="BK1795" s="632"/>
      <c r="BL1795" s="632"/>
      <c r="BM1795"/>
    </row>
    <row r="1796" spans="1:65" s="631" customFormat="1" x14ac:dyDescent="0.2">
      <c r="A1796" s="506" t="s">
        <v>133</v>
      </c>
      <c r="B1796" s="584">
        <v>41725</v>
      </c>
      <c r="C1796" s="584">
        <v>41728</v>
      </c>
      <c r="D1796" s="517" t="s">
        <v>200</v>
      </c>
      <c r="E1796" s="509">
        <v>1</v>
      </c>
      <c r="F1796" s="508"/>
      <c r="G1796" s="585" t="s">
        <v>126</v>
      </c>
      <c r="H1796" s="518">
        <v>1000</v>
      </c>
      <c r="I1796" s="511">
        <v>33</v>
      </c>
      <c r="J1796" s="511"/>
      <c r="K1796" s="511">
        <v>14</v>
      </c>
      <c r="L1796" s="511">
        <v>5</v>
      </c>
      <c r="M1796" s="511"/>
      <c r="N1796" s="511"/>
      <c r="O1796" s="511"/>
      <c r="P1796" s="511"/>
      <c r="Q1796" s="511">
        <v>19</v>
      </c>
      <c r="R1796" s="511"/>
      <c r="S1796" s="511"/>
      <c r="T1796" s="511"/>
      <c r="U1796" s="512"/>
      <c r="V1796" s="511"/>
      <c r="W1796" s="512"/>
      <c r="X1796" s="512"/>
      <c r="Y1796" s="511"/>
      <c r="Z1796" s="586">
        <v>2</v>
      </c>
      <c r="AA1796" s="512">
        <v>27</v>
      </c>
      <c r="AB1796" s="513">
        <f>100/(SUM(I1796:Z1796))</f>
        <v>1.3698630136986301</v>
      </c>
      <c r="AC1796" s="513">
        <f>SUM(I1796:AA1796)</f>
        <v>100</v>
      </c>
      <c r="AD1796" s="512"/>
      <c r="AE1796" s="512"/>
      <c r="AF1796" s="512"/>
      <c r="AG1796" s="514" t="s">
        <v>136</v>
      </c>
      <c r="AH1796" s="521"/>
      <c r="AI1796" s="521" t="s">
        <v>2576</v>
      </c>
      <c r="AJ1796" s="521"/>
      <c r="AK1796" s="508"/>
      <c r="AL1796" s="515">
        <f>(B1796-DATE(1970,1,1))*86400</f>
        <v>1395878400</v>
      </c>
      <c r="AM1796" s="515">
        <f>(C1796-DATE(1970,1,1))*86400</f>
        <v>1396137600</v>
      </c>
      <c r="AN1796" s="515">
        <f>AVERAGE(AL1796:AM1796)</f>
        <v>1396008000</v>
      </c>
      <c r="AO1796" s="632"/>
      <c r="AP1796" s="632"/>
      <c r="AQ1796" s="632"/>
      <c r="AR1796" s="632"/>
      <c r="AS1796" s="632"/>
      <c r="AT1796" s="632"/>
      <c r="AU1796" s="632"/>
      <c r="AV1796" s="632"/>
      <c r="AW1796" s="632"/>
      <c r="AX1796" s="632"/>
      <c r="AY1796" s="632"/>
      <c r="AZ1796" s="632"/>
      <c r="BA1796" s="632"/>
      <c r="BB1796" s="632"/>
      <c r="BC1796" s="632"/>
      <c r="BD1796" s="632"/>
      <c r="BE1796" s="632"/>
      <c r="BF1796" s="632"/>
      <c r="BG1796" s="632"/>
      <c r="BH1796" s="632"/>
      <c r="BI1796" s="632"/>
      <c r="BJ1796" s="632"/>
      <c r="BK1796" s="632"/>
      <c r="BL1796" s="632"/>
      <c r="BM1796"/>
    </row>
    <row r="1797" spans="1:65" s="631" customFormat="1" x14ac:dyDescent="0.2">
      <c r="A1797" s="506" t="s">
        <v>123</v>
      </c>
      <c r="B1797" s="584">
        <v>41725</v>
      </c>
      <c r="C1797" s="584">
        <v>41728</v>
      </c>
      <c r="D1797" s="517" t="s">
        <v>200</v>
      </c>
      <c r="E1797" s="509">
        <v>1</v>
      </c>
      <c r="F1797" s="508"/>
      <c r="G1797" s="585" t="s">
        <v>126</v>
      </c>
      <c r="H1797" s="518">
        <v>1000</v>
      </c>
      <c r="I1797" s="511">
        <v>51</v>
      </c>
      <c r="J1797" s="511"/>
      <c r="K1797" s="511">
        <v>18</v>
      </c>
      <c r="L1797" s="511">
        <v>5</v>
      </c>
      <c r="M1797" s="511"/>
      <c r="N1797" s="511"/>
      <c r="O1797" s="511"/>
      <c r="P1797" s="511"/>
      <c r="Q1797" s="511">
        <v>25</v>
      </c>
      <c r="R1797" s="511"/>
      <c r="S1797" s="511"/>
      <c r="T1797" s="511"/>
      <c r="U1797" s="512"/>
      <c r="V1797" s="511"/>
      <c r="W1797" s="512"/>
      <c r="X1797" s="512"/>
      <c r="Y1797" s="511"/>
      <c r="Z1797" s="586">
        <v>1</v>
      </c>
      <c r="AA1797" s="512">
        <v>0</v>
      </c>
      <c r="AB1797" s="513">
        <f>100/(SUM(I1797:Z1797))</f>
        <v>1</v>
      </c>
      <c r="AC1797" s="513">
        <f>SUM(I1797:AA1797)</f>
        <v>100</v>
      </c>
      <c r="AD1797" s="512"/>
      <c r="AE1797" s="512"/>
      <c r="AF1797" s="512"/>
      <c r="AG1797" s="514" t="s">
        <v>136</v>
      </c>
      <c r="AH1797" s="521"/>
      <c r="AI1797" s="521" t="s">
        <v>2576</v>
      </c>
      <c r="AJ1797" s="521" t="s">
        <v>2581</v>
      </c>
      <c r="AK1797" s="508"/>
      <c r="AL1797" s="515">
        <f>(B1797-DATE(1970,1,1))*86400</f>
        <v>1395878400</v>
      </c>
      <c r="AM1797" s="515">
        <f>(C1797-DATE(1970,1,1))*86400</f>
        <v>1396137600</v>
      </c>
      <c r="AN1797" s="515">
        <f>AVERAGE(AL1797:AM1797)</f>
        <v>1396008000</v>
      </c>
      <c r="AO1797" s="632"/>
      <c r="AP1797" s="632"/>
      <c r="AQ1797" s="632"/>
      <c r="AR1797" s="632"/>
      <c r="AS1797" s="632"/>
      <c r="AT1797" s="632"/>
      <c r="AU1797" s="632"/>
      <c r="AV1797" s="632"/>
      <c r="AW1797" s="632"/>
      <c r="AX1797" s="632"/>
      <c r="AY1797" s="632"/>
      <c r="AZ1797" s="632"/>
      <c r="BA1797" s="632"/>
      <c r="BB1797" s="632"/>
      <c r="BC1797" s="632"/>
      <c r="BD1797" s="632"/>
      <c r="BE1797" s="632"/>
      <c r="BF1797" s="632"/>
      <c r="BG1797" s="632"/>
      <c r="BH1797" s="632"/>
      <c r="BI1797" s="632"/>
      <c r="BJ1797" s="632"/>
      <c r="BK1797" s="632"/>
      <c r="BL1797" s="632"/>
      <c r="BM1797"/>
    </row>
    <row r="1798" spans="1:65" s="631" customFormat="1" x14ac:dyDescent="0.2">
      <c r="A1798" s="605" t="s">
        <v>133</v>
      </c>
      <c r="B1798" s="606">
        <v>41719</v>
      </c>
      <c r="C1798" s="606">
        <v>41723</v>
      </c>
      <c r="D1798" s="607" t="s">
        <v>143</v>
      </c>
      <c r="E1798" s="608">
        <v>1</v>
      </c>
      <c r="F1798" s="607"/>
      <c r="G1798" s="607" t="s">
        <v>149</v>
      </c>
      <c r="H1798" s="609">
        <v>1200</v>
      </c>
      <c r="I1798" s="610">
        <v>36</v>
      </c>
      <c r="J1798" s="610"/>
      <c r="K1798" s="610">
        <v>15</v>
      </c>
      <c r="L1798" s="610">
        <v>2</v>
      </c>
      <c r="M1798" s="610"/>
      <c r="N1798" s="610"/>
      <c r="O1798" s="610"/>
      <c r="P1798" s="610"/>
      <c r="Q1798" s="610">
        <v>18</v>
      </c>
      <c r="R1798" s="610"/>
      <c r="S1798" s="610"/>
      <c r="T1798" s="610"/>
      <c r="U1798" s="611"/>
      <c r="V1798" s="610"/>
      <c r="W1798" s="611"/>
      <c r="X1798" s="610"/>
      <c r="Y1798" s="611"/>
      <c r="Z1798" s="611">
        <v>7</v>
      </c>
      <c r="AA1798" s="616">
        <v>22</v>
      </c>
      <c r="AB1798" s="612">
        <v>1</v>
      </c>
      <c r="AC1798" s="432">
        <f>SUM(I1798:AA1798)</f>
        <v>100</v>
      </c>
      <c r="AD1798" s="611">
        <v>62</v>
      </c>
      <c r="AE1798" s="611"/>
      <c r="AF1798" s="613"/>
      <c r="AG1798" s="613" t="s">
        <v>136</v>
      </c>
      <c r="AH1798" s="614" t="s">
        <v>2580</v>
      </c>
      <c r="AI1798" s="607"/>
      <c r="AJ1798" s="614" t="s">
        <v>2579</v>
      </c>
      <c r="AK1798" s="613"/>
      <c r="AL1798" s="435">
        <f>(B1798-DATE(1970,1,1))*86400</f>
        <v>1395360000</v>
      </c>
      <c r="AM1798" s="435">
        <f>(C1798-DATE(1970,1,1))*86400</f>
        <v>1395705600</v>
      </c>
      <c r="AN1798" s="435">
        <f>AVERAGE(AL1798:AM1798)</f>
        <v>1395532800</v>
      </c>
      <c r="AO1798" s="632"/>
      <c r="AP1798" s="632"/>
      <c r="AQ1798" s="632"/>
      <c r="AR1798" s="632"/>
      <c r="AS1798" s="632"/>
      <c r="AT1798" s="632"/>
      <c r="AU1798" s="632"/>
      <c r="AV1798" s="632"/>
      <c r="AW1798" s="632"/>
      <c r="AX1798" s="632"/>
      <c r="AY1798" s="632"/>
      <c r="AZ1798" s="632"/>
      <c r="BA1798" s="632"/>
      <c r="BB1798" s="632"/>
      <c r="BC1798" s="632"/>
      <c r="BD1798" s="632"/>
      <c r="BE1798" s="632"/>
      <c r="BF1798" s="632"/>
      <c r="BG1798" s="632"/>
      <c r="BH1798" s="632"/>
      <c r="BI1798" s="632"/>
      <c r="BJ1798" s="632"/>
      <c r="BK1798" s="632"/>
      <c r="BL1798" s="632"/>
      <c r="BM1798"/>
    </row>
    <row r="1799" spans="1:65" s="631" customFormat="1" x14ac:dyDescent="0.2">
      <c r="A1799" s="605" t="s">
        <v>133</v>
      </c>
      <c r="B1799" s="606">
        <v>41719</v>
      </c>
      <c r="C1799" s="606">
        <v>41723</v>
      </c>
      <c r="D1799" s="607" t="s">
        <v>143</v>
      </c>
      <c r="E1799" s="608">
        <v>1</v>
      </c>
      <c r="F1799" s="607"/>
      <c r="G1799" s="607" t="s">
        <v>149</v>
      </c>
      <c r="H1799" s="609">
        <v>1200</v>
      </c>
      <c r="I1799" s="610">
        <v>45</v>
      </c>
      <c r="J1799" s="610"/>
      <c r="K1799" s="610">
        <v>20</v>
      </c>
      <c r="L1799" s="610">
        <v>3</v>
      </c>
      <c r="M1799" s="610"/>
      <c r="N1799" s="610"/>
      <c r="O1799" s="610"/>
      <c r="P1799" s="610"/>
      <c r="Q1799" s="610">
        <v>23</v>
      </c>
      <c r="R1799" s="610"/>
      <c r="S1799" s="610"/>
      <c r="T1799" s="610"/>
      <c r="U1799" s="611"/>
      <c r="V1799" s="610"/>
      <c r="W1799" s="611"/>
      <c r="X1799" s="610"/>
      <c r="Y1799" s="611"/>
      <c r="Z1799" s="611">
        <v>9</v>
      </c>
      <c r="AA1799" s="612">
        <v>0</v>
      </c>
      <c r="AB1799" s="612">
        <v>1</v>
      </c>
      <c r="AC1799" s="432">
        <f>SUM(I1799:AA1799)</f>
        <v>100</v>
      </c>
      <c r="AD1799" s="611"/>
      <c r="AE1799" s="611"/>
      <c r="AF1799" s="613"/>
      <c r="AG1799" s="613" t="s">
        <v>136</v>
      </c>
      <c r="AH1799" s="614" t="s">
        <v>2580</v>
      </c>
      <c r="AI1799" s="607"/>
      <c r="AJ1799" s="614" t="s">
        <v>2579</v>
      </c>
      <c r="AK1799" s="613"/>
      <c r="AL1799" s="435">
        <f>(B1799-DATE(1970,1,1))*86400</f>
        <v>1395360000</v>
      </c>
      <c r="AM1799" s="435">
        <f>(C1799-DATE(1970,1,1))*86400</f>
        <v>1395705600</v>
      </c>
      <c r="AN1799" s="435">
        <f>AVERAGE(AL1799:AM1799)</f>
        <v>1395532800</v>
      </c>
      <c r="AO1799" s="632"/>
      <c r="AP1799" s="632"/>
      <c r="AQ1799" s="632"/>
      <c r="AR1799" s="632"/>
      <c r="AS1799" s="632"/>
      <c r="AT1799" s="632"/>
      <c r="AU1799" s="632"/>
      <c r="AV1799" s="632"/>
      <c r="AW1799" s="632"/>
      <c r="AX1799" s="632"/>
      <c r="AY1799" s="632"/>
      <c r="AZ1799" s="632"/>
      <c r="BA1799" s="632"/>
      <c r="BB1799" s="632"/>
      <c r="BC1799" s="632"/>
      <c r="BD1799" s="632"/>
      <c r="BE1799" s="632"/>
      <c r="BF1799" s="632"/>
      <c r="BG1799" s="632"/>
      <c r="BH1799" s="632"/>
      <c r="BI1799" s="632"/>
      <c r="BJ1799" s="632"/>
      <c r="BK1799" s="632"/>
      <c r="BL1799" s="632"/>
      <c r="BM1799"/>
    </row>
    <row r="1800" spans="1:65" s="631" customFormat="1" x14ac:dyDescent="0.2">
      <c r="A1800" s="605" t="s">
        <v>123</v>
      </c>
      <c r="B1800" s="606">
        <v>41719</v>
      </c>
      <c r="C1800" s="606">
        <v>41723</v>
      </c>
      <c r="D1800" s="607" t="s">
        <v>143</v>
      </c>
      <c r="E1800" s="608">
        <v>1</v>
      </c>
      <c r="F1800" s="607"/>
      <c r="G1800" s="607" t="s">
        <v>149</v>
      </c>
      <c r="H1800" s="609">
        <v>1200</v>
      </c>
      <c r="I1800" s="610">
        <v>47</v>
      </c>
      <c r="J1800" s="610"/>
      <c r="K1800" s="610">
        <v>21</v>
      </c>
      <c r="L1800" s="610">
        <v>3</v>
      </c>
      <c r="M1800" s="610"/>
      <c r="N1800" s="610"/>
      <c r="O1800" s="610"/>
      <c r="P1800" s="610"/>
      <c r="Q1800" s="610">
        <v>23</v>
      </c>
      <c r="R1800" s="610"/>
      <c r="S1800" s="610"/>
      <c r="T1800" s="610"/>
      <c r="U1800" s="611"/>
      <c r="V1800" s="610"/>
      <c r="W1800" s="611"/>
      <c r="X1800" s="610"/>
      <c r="Y1800" s="611"/>
      <c r="Z1800" s="615">
        <v>6</v>
      </c>
      <c r="AA1800" s="612">
        <v>0</v>
      </c>
      <c r="AB1800" s="612">
        <v>0.99</v>
      </c>
      <c r="AC1800" s="432">
        <f>SUM(I1800:AA1800)</f>
        <v>100</v>
      </c>
      <c r="AD1800" s="611"/>
      <c r="AE1800" s="611"/>
      <c r="AF1800" s="613"/>
      <c r="AG1800" s="613" t="s">
        <v>136</v>
      </c>
      <c r="AH1800" s="614" t="s">
        <v>2580</v>
      </c>
      <c r="AI1800" s="649"/>
      <c r="AJ1800" s="614" t="s">
        <v>2579</v>
      </c>
      <c r="AK1800" s="613"/>
      <c r="AL1800" s="435">
        <f>(B1800-DATE(1970,1,1))*86400</f>
        <v>1395360000</v>
      </c>
      <c r="AM1800" s="435">
        <f>(C1800-DATE(1970,1,1))*86400</f>
        <v>1395705600</v>
      </c>
      <c r="AN1800" s="435">
        <f>AVERAGE(AL1800:AM1800)</f>
        <v>1395532800</v>
      </c>
      <c r="AO1800" s="632"/>
      <c r="AP1800" s="632"/>
      <c r="AQ1800" s="632"/>
      <c r="AR1800" s="632"/>
      <c r="AS1800" s="632"/>
      <c r="AT1800" s="632"/>
      <c r="AU1800" s="632"/>
      <c r="AV1800" s="632"/>
      <c r="AW1800" s="632"/>
      <c r="AX1800" s="632"/>
      <c r="AY1800" s="632"/>
      <c r="AZ1800" s="632"/>
      <c r="BA1800" s="632"/>
      <c r="BB1800" s="632"/>
      <c r="BC1800" s="632"/>
      <c r="BD1800" s="632"/>
      <c r="BE1800" s="632"/>
      <c r="BF1800" s="632"/>
      <c r="BG1800" s="632"/>
      <c r="BH1800" s="632"/>
      <c r="BI1800" s="632"/>
      <c r="BJ1800" s="632"/>
      <c r="BK1800" s="632"/>
      <c r="BL1800" s="632"/>
      <c r="BM1800"/>
    </row>
    <row r="1801" spans="1:65" s="631" customFormat="1" x14ac:dyDescent="0.2">
      <c r="A1801" s="595" t="s">
        <v>133</v>
      </c>
      <c r="B1801" s="596">
        <v>41710</v>
      </c>
      <c r="C1801" s="596">
        <v>41717</v>
      </c>
      <c r="D1801" s="597" t="s">
        <v>1586</v>
      </c>
      <c r="E1801" s="598">
        <v>1</v>
      </c>
      <c r="F1801" s="597"/>
      <c r="G1801" s="597" t="s">
        <v>149</v>
      </c>
      <c r="H1801" s="599">
        <v>1000</v>
      </c>
      <c r="I1801" s="600">
        <v>36</v>
      </c>
      <c r="J1801" s="600"/>
      <c r="K1801" s="600">
        <v>15</v>
      </c>
      <c r="L1801" s="600">
        <v>2</v>
      </c>
      <c r="M1801" s="600"/>
      <c r="N1801" s="600"/>
      <c r="O1801" s="600"/>
      <c r="P1801" s="600"/>
      <c r="Q1801" s="600">
        <v>18</v>
      </c>
      <c r="R1801" s="600"/>
      <c r="S1801" s="600"/>
      <c r="T1801" s="600"/>
      <c r="U1801" s="601"/>
      <c r="V1801" s="600"/>
      <c r="W1801" s="601"/>
      <c r="X1801" s="600"/>
      <c r="Y1801" s="601"/>
      <c r="Z1801" s="601">
        <v>2</v>
      </c>
      <c r="AA1801" s="602">
        <v>25</v>
      </c>
      <c r="AB1801" s="602">
        <v>1</v>
      </c>
      <c r="AC1801" s="205">
        <f>SUM(I1801:AA1801)</f>
        <v>98</v>
      </c>
      <c r="AD1801" s="601">
        <v>54</v>
      </c>
      <c r="AE1801" s="601"/>
      <c r="AF1801" s="603"/>
      <c r="AG1801" s="603" t="s">
        <v>136</v>
      </c>
      <c r="AH1801" s="597"/>
      <c r="AI1801" s="597"/>
      <c r="AJ1801" s="604" t="s">
        <v>2577</v>
      </c>
      <c r="AK1801" s="603" t="s">
        <v>2578</v>
      </c>
      <c r="AL1801" s="206">
        <f>(B1801-DATE(1970,1,1))*86400</f>
        <v>1394582400</v>
      </c>
      <c r="AM1801" s="206">
        <f>(C1801-DATE(1970,1,1))*86400</f>
        <v>1395187200</v>
      </c>
      <c r="AN1801" s="206">
        <f>AVERAGE(AL1801:AM1801)</f>
        <v>1394884800</v>
      </c>
      <c r="AO1801" s="632"/>
      <c r="AP1801" s="632"/>
      <c r="AQ1801" s="632"/>
      <c r="AR1801" s="632"/>
      <c r="AS1801" s="632"/>
      <c r="AT1801" s="632"/>
      <c r="AU1801" s="632"/>
      <c r="AV1801" s="632"/>
      <c r="AW1801" s="632"/>
      <c r="AX1801" s="632"/>
      <c r="AY1801" s="632"/>
      <c r="AZ1801" s="632"/>
      <c r="BA1801" s="632"/>
      <c r="BB1801" s="632"/>
      <c r="BC1801" s="632"/>
      <c r="BD1801" s="632"/>
      <c r="BE1801" s="632"/>
      <c r="BF1801" s="632"/>
      <c r="BG1801" s="632"/>
      <c r="BH1801" s="632"/>
      <c r="BI1801" s="632"/>
      <c r="BJ1801" s="632"/>
      <c r="BK1801" s="632"/>
      <c r="BL1801" s="632"/>
      <c r="BM1801"/>
    </row>
    <row r="1802" spans="1:65" s="631" customFormat="1" x14ac:dyDescent="0.2">
      <c r="A1802" s="595" t="s">
        <v>123</v>
      </c>
      <c r="B1802" s="596">
        <v>41710</v>
      </c>
      <c r="C1802" s="596">
        <v>41717</v>
      </c>
      <c r="D1802" s="597" t="s">
        <v>1586</v>
      </c>
      <c r="E1802" s="598">
        <v>1</v>
      </c>
      <c r="F1802" s="597"/>
      <c r="G1802" s="597" t="s">
        <v>149</v>
      </c>
      <c r="H1802" s="599">
        <v>1000</v>
      </c>
      <c r="I1802" s="600">
        <v>51</v>
      </c>
      <c r="J1802" s="600"/>
      <c r="K1802" s="600">
        <v>20</v>
      </c>
      <c r="L1802" s="600">
        <v>6</v>
      </c>
      <c r="M1802" s="600"/>
      <c r="N1802" s="600"/>
      <c r="O1802" s="600"/>
      <c r="P1802" s="600"/>
      <c r="Q1802" s="600">
        <v>21</v>
      </c>
      <c r="R1802" s="600"/>
      <c r="S1802" s="600"/>
      <c r="T1802" s="600"/>
      <c r="U1802" s="601"/>
      <c r="V1802" s="600"/>
      <c r="W1802" s="601"/>
      <c r="X1802" s="600"/>
      <c r="Y1802" s="601"/>
      <c r="Z1802" s="601">
        <v>2</v>
      </c>
      <c r="AA1802" s="602">
        <v>0</v>
      </c>
      <c r="AB1802" s="602">
        <v>0.99</v>
      </c>
      <c r="AC1802" s="205">
        <f>SUM(I1802:AA1802)</f>
        <v>100</v>
      </c>
      <c r="AD1802" s="601"/>
      <c r="AE1802" s="601"/>
      <c r="AF1802" s="603"/>
      <c r="AG1802" s="603" t="s">
        <v>136</v>
      </c>
      <c r="AH1802" s="646"/>
      <c r="AI1802" s="646"/>
      <c r="AJ1802" s="604" t="s">
        <v>2577</v>
      </c>
      <c r="AK1802" s="603"/>
      <c r="AL1802" s="206">
        <f>(B1802-DATE(1970,1,1))*86400</f>
        <v>1394582400</v>
      </c>
      <c r="AM1802" s="206">
        <f>(C1802-DATE(1970,1,1))*86400</f>
        <v>1395187200</v>
      </c>
      <c r="AN1802" s="206">
        <f>AVERAGE(AL1802:AM1802)</f>
        <v>1394884800</v>
      </c>
      <c r="AO1802" s="632"/>
      <c r="AP1802" s="632"/>
      <c r="AQ1802" s="632"/>
      <c r="AR1802" s="632"/>
      <c r="AS1802" s="632"/>
      <c r="AT1802" s="632"/>
      <c r="AU1802" s="632"/>
      <c r="AV1802" s="632"/>
      <c r="AW1802" s="632"/>
      <c r="AX1802" s="632"/>
      <c r="AY1802" s="632"/>
      <c r="AZ1802" s="632"/>
      <c r="BA1802" s="632"/>
      <c r="BB1802" s="632"/>
      <c r="BC1802" s="632"/>
      <c r="BD1802" s="632"/>
      <c r="BE1802" s="632"/>
      <c r="BF1802" s="632"/>
      <c r="BG1802" s="632"/>
      <c r="BH1802" s="632"/>
      <c r="BI1802" s="632"/>
      <c r="BJ1802" s="632"/>
      <c r="BK1802" s="632"/>
      <c r="BL1802" s="632"/>
      <c r="BM1802"/>
    </row>
    <row r="1803" spans="1:65" s="631" customFormat="1" x14ac:dyDescent="0.2">
      <c r="A1803" s="668"/>
      <c r="B1803" s="669"/>
      <c r="C1803" s="669"/>
      <c r="D1803" s="670"/>
      <c r="E1803" s="671"/>
      <c r="F1803" s="670"/>
      <c r="G1803" s="670"/>
      <c r="H1803" s="671"/>
      <c r="I1803" s="670"/>
      <c r="J1803" s="670"/>
      <c r="K1803" s="670"/>
      <c r="L1803" s="670"/>
      <c r="M1803" s="670"/>
      <c r="N1803" s="670"/>
      <c r="O1803" s="670"/>
      <c r="P1803" s="670"/>
      <c r="Q1803" s="670"/>
      <c r="R1803" s="670"/>
      <c r="S1803" s="670"/>
      <c r="T1803" s="670"/>
      <c r="U1803" s="670"/>
      <c r="V1803" s="670"/>
      <c r="W1803" s="672"/>
      <c r="X1803" s="670"/>
      <c r="Y1803" s="670"/>
      <c r="Z1803" s="670"/>
      <c r="AA1803" s="670"/>
      <c r="AB1803" s="673"/>
      <c r="AC1803" s="673"/>
      <c r="AD1803" s="674"/>
      <c r="AE1803" s="674"/>
      <c r="AF1803" s="674"/>
      <c r="AG1803" s="674"/>
      <c r="AH1803" s="670"/>
      <c r="AI1803" s="670"/>
      <c r="AJ1803" s="670"/>
      <c r="AK1803" s="670"/>
      <c r="AL1803" s="670"/>
      <c r="AM1803" s="670"/>
      <c r="AN1803" s="670"/>
      <c r="AO1803"/>
      <c r="AP1803"/>
      <c r="AQ1803"/>
      <c r="AR1803"/>
      <c r="AS1803"/>
      <c r="AT1803"/>
      <c r="AU1803"/>
      <c r="AV1803"/>
      <c r="AW1803"/>
      <c r="AX1803"/>
      <c r="AY1803"/>
      <c r="AZ1803"/>
      <c r="BA1803"/>
      <c r="BB1803"/>
      <c r="BC1803"/>
      <c r="BD1803"/>
      <c r="BE1803"/>
      <c r="BF1803"/>
      <c r="BG1803"/>
      <c r="BH1803"/>
      <c r="BI1803"/>
      <c r="BJ1803"/>
      <c r="BK1803"/>
      <c r="BL1803"/>
      <c r="BM1803"/>
    </row>
    <row r="1804" spans="1:65" s="631" customFormat="1" x14ac:dyDescent="0.2">
      <c r="A1804" s="668"/>
      <c r="B1804" s="669"/>
      <c r="C1804" s="669"/>
      <c r="D1804" s="670"/>
      <c r="E1804" s="671"/>
      <c r="F1804" s="670"/>
      <c r="G1804" s="670"/>
      <c r="H1804" s="671"/>
      <c r="I1804" s="670"/>
      <c r="J1804" s="670"/>
      <c r="K1804" s="670"/>
      <c r="L1804" s="670"/>
      <c r="M1804" s="670"/>
      <c r="N1804" s="670"/>
      <c r="O1804" s="670"/>
      <c r="P1804" s="670"/>
      <c r="Q1804" s="670"/>
      <c r="R1804" s="670"/>
      <c r="S1804" s="670"/>
      <c r="T1804" s="670"/>
      <c r="U1804" s="670"/>
      <c r="V1804" s="670"/>
      <c r="W1804" s="672"/>
      <c r="X1804" s="670"/>
      <c r="Y1804" s="670"/>
      <c r="Z1804" s="670"/>
      <c r="AA1804" s="670"/>
      <c r="AB1804" s="673"/>
      <c r="AC1804" s="673"/>
      <c r="AD1804" s="674"/>
      <c r="AE1804" s="674"/>
      <c r="AF1804" s="674"/>
      <c r="AG1804" s="674"/>
      <c r="AH1804" s="670"/>
      <c r="AI1804" s="670"/>
      <c r="AJ1804" s="670"/>
      <c r="AK1804" s="670"/>
      <c r="AL1804" s="670"/>
      <c r="AM1804" s="670"/>
      <c r="AN1804" s="670"/>
      <c r="AO1804"/>
      <c r="AP1804"/>
      <c r="AQ1804"/>
      <c r="AR1804"/>
      <c r="AS1804"/>
      <c r="AT1804"/>
      <c r="AU1804"/>
      <c r="AV1804"/>
      <c r="AW1804"/>
      <c r="AX1804"/>
      <c r="AY1804"/>
      <c r="AZ1804"/>
      <c r="BA1804"/>
      <c r="BB1804"/>
      <c r="BC1804"/>
      <c r="BD1804"/>
      <c r="BE1804"/>
      <c r="BF1804"/>
      <c r="BG1804"/>
      <c r="BH1804"/>
      <c r="BI1804"/>
      <c r="BJ1804"/>
      <c r="BK1804"/>
      <c r="BL1804"/>
      <c r="BM1804"/>
    </row>
    <row r="1805" spans="1:65" s="631" customFormat="1" x14ac:dyDescent="0.2">
      <c r="A1805" s="668"/>
      <c r="B1805" s="669"/>
      <c r="C1805" s="669"/>
      <c r="D1805" s="670"/>
      <c r="E1805" s="671"/>
      <c r="F1805" s="670"/>
      <c r="G1805" s="670"/>
      <c r="H1805" s="671"/>
      <c r="I1805" s="670"/>
      <c r="J1805" s="670"/>
      <c r="K1805" s="670"/>
      <c r="L1805" s="670"/>
      <c r="M1805" s="670"/>
      <c r="N1805" s="670"/>
      <c r="O1805" s="670"/>
      <c r="P1805" s="670"/>
      <c r="Q1805" s="670"/>
      <c r="R1805" s="670"/>
      <c r="S1805" s="670"/>
      <c r="T1805" s="670"/>
      <c r="U1805" s="670"/>
      <c r="V1805" s="670"/>
      <c r="W1805" s="672"/>
      <c r="X1805" s="670"/>
      <c r="Y1805" s="670"/>
      <c r="Z1805" s="670"/>
      <c r="AA1805" s="670"/>
      <c r="AB1805" s="673"/>
      <c r="AC1805" s="673"/>
      <c r="AD1805" s="674"/>
      <c r="AE1805" s="674"/>
      <c r="AF1805" s="674"/>
      <c r="AG1805" s="674"/>
      <c r="AH1805" s="670"/>
      <c r="AI1805" s="670"/>
      <c r="AJ1805" s="670"/>
      <c r="AK1805" s="670"/>
      <c r="AL1805" s="670"/>
      <c r="AM1805" s="670"/>
      <c r="AN1805" s="670"/>
      <c r="AO1805"/>
      <c r="AP1805"/>
      <c r="AQ1805"/>
      <c r="AR1805"/>
      <c r="AS1805"/>
      <c r="AT1805"/>
      <c r="AU1805"/>
      <c r="AV1805"/>
      <c r="AW1805"/>
      <c r="AX1805"/>
      <c r="AY1805"/>
      <c r="AZ1805"/>
      <c r="BA1805"/>
      <c r="BB1805"/>
      <c r="BC1805"/>
      <c r="BD1805"/>
      <c r="BE1805"/>
      <c r="BF1805"/>
      <c r="BG1805"/>
      <c r="BH1805"/>
      <c r="BI1805"/>
      <c r="BJ1805"/>
      <c r="BK1805"/>
      <c r="BL1805"/>
      <c r="BM1805"/>
    </row>
    <row r="1806" spans="1:65" s="631" customFormat="1" x14ac:dyDescent="0.2">
      <c r="A1806" s="285"/>
      <c r="B1806" s="581"/>
      <c r="C1806" s="581"/>
      <c r="D1806" s="33"/>
      <c r="E1806" s="319"/>
      <c r="F1806" s="33"/>
      <c r="G1806" s="33"/>
      <c r="H1806" s="353"/>
      <c r="I1806" s="35"/>
      <c r="J1806" s="35"/>
      <c r="K1806" s="35"/>
      <c r="L1806" s="35"/>
      <c r="M1806" s="35"/>
      <c r="N1806" s="35"/>
      <c r="O1806" s="35"/>
      <c r="P1806" s="35"/>
      <c r="Q1806" s="35"/>
      <c r="R1806" s="36"/>
      <c r="S1806" s="35"/>
      <c r="T1806" s="35"/>
      <c r="U1806" s="35"/>
      <c r="V1806" s="35"/>
      <c r="W1806" s="35"/>
      <c r="X1806" s="35"/>
      <c r="Y1806" s="35"/>
      <c r="Z1806" s="36"/>
      <c r="AA1806" s="35"/>
      <c r="AB1806" s="37"/>
      <c r="AC1806" s="259"/>
      <c r="AD1806" s="35"/>
      <c r="AE1806" s="35"/>
      <c r="AF1806" s="35"/>
      <c r="AG1806" s="33"/>
      <c r="AH1806" s="33"/>
      <c r="AI1806" s="190"/>
      <c r="AJ1806" s="190"/>
      <c r="AK1806" s="33"/>
      <c r="AL1806" s="39"/>
      <c r="AM1806" s="39"/>
      <c r="AN1806" s="39"/>
      <c r="AO1806" s="632"/>
      <c r="AP1806" s="632"/>
      <c r="AQ1806" s="632"/>
      <c r="AR1806" s="632"/>
      <c r="AS1806" s="632"/>
      <c r="AT1806" s="632"/>
      <c r="AU1806" s="632"/>
      <c r="AV1806" s="632"/>
      <c r="AW1806" s="632"/>
      <c r="AX1806" s="632"/>
      <c r="AY1806" s="632"/>
      <c r="AZ1806" s="632"/>
      <c r="BA1806" s="632"/>
      <c r="BB1806" s="632"/>
      <c r="BC1806" s="632"/>
      <c r="BD1806" s="632"/>
      <c r="BE1806" s="632"/>
      <c r="BF1806" s="632"/>
      <c r="BG1806" s="632"/>
      <c r="BH1806" s="632"/>
      <c r="BI1806" s="632"/>
      <c r="BJ1806" s="632"/>
      <c r="BK1806" s="632"/>
      <c r="BL1806" s="632"/>
      <c r="BM1806"/>
    </row>
    <row r="1807" spans="1:65" s="631" customFormat="1" x14ac:dyDescent="0.2">
      <c r="A1807" s="285"/>
      <c r="B1807" s="581"/>
      <c r="C1807" s="581"/>
      <c r="D1807" s="33"/>
      <c r="E1807" s="319"/>
      <c r="F1807" s="33"/>
      <c r="G1807" s="33"/>
      <c r="H1807" s="353"/>
      <c r="I1807" s="35"/>
      <c r="J1807" s="35"/>
      <c r="K1807" s="35"/>
      <c r="L1807" s="35"/>
      <c r="M1807" s="35"/>
      <c r="N1807" s="35"/>
      <c r="O1807" s="35"/>
      <c r="P1807" s="35"/>
      <c r="Q1807" s="35"/>
      <c r="R1807" s="36"/>
      <c r="S1807" s="35"/>
      <c r="T1807" s="35"/>
      <c r="U1807" s="35"/>
      <c r="V1807" s="35"/>
      <c r="W1807" s="35"/>
      <c r="X1807" s="35"/>
      <c r="Y1807" s="35"/>
      <c r="Z1807" s="36"/>
      <c r="AA1807" s="35"/>
      <c r="AB1807" s="37"/>
      <c r="AC1807" s="259"/>
      <c r="AD1807" s="35"/>
      <c r="AE1807" s="35"/>
      <c r="AF1807" s="35"/>
      <c r="AG1807" s="33"/>
      <c r="AH1807" s="33"/>
      <c r="AI1807" s="190"/>
      <c r="AJ1807" s="190"/>
      <c r="AK1807" s="33"/>
      <c r="AL1807" s="39"/>
      <c r="AM1807" s="39"/>
      <c r="AN1807" s="39"/>
      <c r="AO1807" s="632"/>
      <c r="AP1807" s="632"/>
      <c r="AQ1807" s="632"/>
      <c r="AR1807" s="632"/>
      <c r="AS1807" s="632"/>
      <c r="AT1807" s="632"/>
      <c r="AU1807" s="632"/>
      <c r="AV1807" s="632"/>
      <c r="AW1807" s="632"/>
      <c r="AX1807" s="632"/>
      <c r="AY1807" s="632"/>
      <c r="AZ1807" s="632"/>
      <c r="BA1807" s="632"/>
      <c r="BB1807" s="632"/>
      <c r="BC1807" s="632"/>
      <c r="BD1807" s="632"/>
      <c r="BE1807" s="632"/>
      <c r="BF1807" s="632"/>
      <c r="BG1807" s="632"/>
      <c r="BH1807" s="632"/>
      <c r="BI1807" s="632"/>
      <c r="BJ1807" s="632"/>
      <c r="BK1807" s="632"/>
      <c r="BL1807" s="632"/>
      <c r="BM1807"/>
    </row>
    <row r="1808" spans="1:65" s="631" customFormat="1" x14ac:dyDescent="0.2">
      <c r="A1808" s="635"/>
      <c r="B1808" s="636"/>
      <c r="C1808" s="636"/>
      <c r="D1808" s="256"/>
      <c r="E1808" s="637"/>
      <c r="F1808" s="256"/>
      <c r="G1808" s="638"/>
      <c r="H1808" s="639"/>
      <c r="I1808" s="257"/>
      <c r="J1808" s="257"/>
      <c r="K1808" s="257"/>
      <c r="L1808" s="257"/>
      <c r="M1808" s="257"/>
      <c r="N1808" s="257"/>
      <c r="O1808" s="257"/>
      <c r="P1808" s="257"/>
      <c r="Q1808" s="257"/>
      <c r="R1808" s="258"/>
      <c r="S1808" s="257"/>
      <c r="T1808" s="257"/>
      <c r="U1808" s="257"/>
      <c r="V1808" s="257"/>
      <c r="W1808" s="257"/>
      <c r="X1808" s="257"/>
      <c r="Y1808" s="257"/>
      <c r="Z1808" s="640"/>
      <c r="AA1808" s="257"/>
      <c r="AB1808" s="259"/>
      <c r="AC1808" s="259"/>
      <c r="AD1808" s="257"/>
      <c r="AE1808" s="257"/>
      <c r="AF1808" s="257"/>
      <c r="AG1808" s="260"/>
      <c r="AH1808" s="641"/>
      <c r="AI1808" s="641"/>
      <c r="AJ1808" s="641"/>
      <c r="AK1808" s="256"/>
      <c r="AL1808" s="260"/>
      <c r="AM1808" s="260"/>
      <c r="AN1808" s="260"/>
      <c r="AO1808" s="632"/>
      <c r="AP1808" s="632"/>
      <c r="AQ1808" s="632"/>
      <c r="AR1808" s="632"/>
      <c r="AS1808" s="632"/>
      <c r="AT1808" s="632"/>
      <c r="AU1808" s="632"/>
      <c r="AV1808" s="632"/>
      <c r="AW1808" s="632"/>
      <c r="AX1808" s="632"/>
      <c r="AY1808" s="632"/>
      <c r="AZ1808" s="632"/>
      <c r="BA1808" s="632"/>
      <c r="BB1808" s="632"/>
      <c r="BC1808" s="632"/>
      <c r="BD1808" s="632"/>
      <c r="BE1808" s="632"/>
      <c r="BF1808" s="632"/>
      <c r="BG1808" s="632"/>
      <c r="BH1808" s="632"/>
      <c r="BI1808" s="632"/>
      <c r="BJ1808" s="632"/>
      <c r="BK1808" s="632"/>
      <c r="BL1808" s="632"/>
      <c r="BM1808"/>
    </row>
  </sheetData>
  <sortState xmlns:xlrd2="http://schemas.microsoft.com/office/spreadsheetml/2017/richdata2" ref="A2:BM1809">
    <sortCondition descending="1" ref="AN2:AN1809"/>
    <sortCondition ref="D2:D1809"/>
    <sortCondition descending="1" ref="A2:A1809"/>
    <sortCondition descending="1" ref="AA2:AA1809"/>
  </sortState>
  <hyperlinks>
    <hyperlink ref="AI663" r:id="rId1" xr:uid="{EE7FEB01-A989-AE4C-B0A6-ECBAB78E9257}"/>
    <hyperlink ref="AH663" r:id="rId2" xr:uid="{1D942104-5392-BD46-942F-5FF917AAB7BA}"/>
    <hyperlink ref="AI662" r:id="rId3" xr:uid="{2C0F84AB-E10E-B048-A855-8FBD7E3A976D}"/>
    <hyperlink ref="AH662" r:id="rId4" xr:uid="{0FE7C1E5-4426-A949-8A73-ADA45A85B7C4}"/>
    <hyperlink ref="AH1390" r:id="rId5" xr:uid="{0F65267A-649E-9642-934F-9D43C15C91E6}"/>
    <hyperlink ref="AH1374" r:id="rId6" xr:uid="{3EB72B01-BA9F-AD43-9364-8203E896C871}"/>
    <hyperlink ref="AH1359" r:id="rId7" xr:uid="{BD3FAF53-9E1D-BC4F-BA38-8A8498D7747D}"/>
    <hyperlink ref="AH1353" r:id="rId8" xr:uid="{D04A7FE8-5C97-D149-A1C0-6ACAA23886E7}"/>
    <hyperlink ref="AH1339" r:id="rId9" xr:uid="{D26C9B25-E599-BA43-8A12-2E7DAEB90AF7}"/>
    <hyperlink ref="AH1338" r:id="rId10" xr:uid="{DBBF6F64-2196-7940-94E8-0DA9183C9C91}"/>
    <hyperlink ref="AH927" r:id="rId11" xr:uid="{852C5AB5-1397-4245-9761-17D24F8084BF}"/>
    <hyperlink ref="AH926" r:id="rId12" xr:uid="{B0584DDB-68CF-4D4E-87C5-29EE3501A93E}"/>
    <hyperlink ref="AH889" r:id="rId13" xr:uid="{9C5F4C4C-1282-4E40-9AD1-413A4540BAD2}"/>
    <hyperlink ref="AH890" r:id="rId14" xr:uid="{BDB0EC9F-3C04-F646-852A-E487243D12FF}"/>
    <hyperlink ref="AH891" r:id="rId15" xr:uid="{96FB3E49-E39C-1845-9D02-F0720CABCFA8}"/>
    <hyperlink ref="AI416" r:id="rId16" xr:uid="{3601DD5F-51B5-2B40-A5C1-8C19291CD738}"/>
    <hyperlink ref="AH316" r:id="rId17" xr:uid="{87EA9EC2-9F4E-F448-A1F2-C9EBE80EE2D5}"/>
    <hyperlink ref="AH318" r:id="rId18" xr:uid="{6DCE563F-CF76-E645-A164-08842E79FDED}"/>
    <hyperlink ref="AH319" r:id="rId19" xr:uid="{7A6B3400-A665-734D-A81E-11018C4CB97E}"/>
    <hyperlink ref="AH344" r:id="rId20" xr:uid="{BE8D7FDA-96F1-0245-82C6-DFCE47A28126}"/>
    <hyperlink ref="AI325" r:id="rId21" xr:uid="{4704D14F-82BE-DB46-BBB4-35037F7BB444}"/>
    <hyperlink ref="AH837" r:id="rId22" xr:uid="{FB2BCBF2-DF09-D74D-9D66-8C30B42B6C8C}"/>
    <hyperlink ref="AJ1347" r:id="rId23" xr:uid="{FEE583EC-FC46-164E-8652-F04A9D88F5C8}"/>
    <hyperlink ref="AI873" r:id="rId24" xr:uid="{C7310048-5B93-CA40-9641-61D230DC45FF}"/>
    <hyperlink ref="AI332" r:id="rId25" xr:uid="{B64B7190-7E5B-BA45-8FFE-25C90C985580}"/>
    <hyperlink ref="AJ343" r:id="rId26" xr:uid="{BC04B84D-519B-B040-91B5-5903F8F6982F}"/>
    <hyperlink ref="AJ336" r:id="rId27" xr:uid="{7B37F064-E673-AB40-B3AC-25C3DAAA97C7}"/>
    <hyperlink ref="AH335" r:id="rId28" xr:uid="{C1BA9033-DF6A-C945-952A-297DD3C9DEC4}"/>
    <hyperlink ref="AH334" r:id="rId29" xr:uid="{FABE920A-8D69-5642-9B32-4BAA8EC490E4}"/>
    <hyperlink ref="AH333" r:id="rId30" xr:uid="{1670FD31-ABF0-C849-9FB9-BA58BF93458B}"/>
    <hyperlink ref="AH406" r:id="rId31" xr:uid="{D9DE3F61-B127-3E4B-AC97-A669EFC2210A}"/>
    <hyperlink ref="AH405" r:id="rId32" xr:uid="{82F27294-01B6-DB46-91AD-44B55BDE74F9}"/>
    <hyperlink ref="AH404" r:id="rId33" xr:uid="{F80D90E4-A51D-4D4C-9D91-354D9E27637A}"/>
    <hyperlink ref="AH476" r:id="rId34" xr:uid="{EC3B0441-1604-F749-9B7E-A30B9E33A9A4}"/>
    <hyperlink ref="AJ1536" r:id="rId35" xr:uid="{42F6D969-0EB5-BE46-98C9-D566EBAE2571}"/>
    <hyperlink ref="AI1536" r:id="rId36" xr:uid="{680247D2-CD41-384A-994E-33DCB4FBC682}"/>
    <hyperlink ref="AH1536" r:id="rId37" xr:uid="{3BFD4437-9C9B-BA44-A556-E9A13A41E5A9}"/>
    <hyperlink ref="AJ1532" r:id="rId38" xr:uid="{ECC01E14-9036-2A43-9600-FD5EDAEF103A}"/>
    <hyperlink ref="AI1532" r:id="rId39" xr:uid="{C110EA00-B094-9342-8258-63A08687FBB1}"/>
    <hyperlink ref="AH1532" r:id="rId40" xr:uid="{240D380F-6DF3-AC4C-AF10-4EE5239FC1F9}"/>
    <hyperlink ref="AI1023" r:id="rId41" display="https://szazadveg.hu/hu/2021/10/26/a-demokratikus-koalicio-eloretort-karacsony-gergely-tamogatottsaga-osszeomlott-budapesten~n2093" xr:uid="{00000000-0004-0000-0200-0000B8000000}"/>
    <hyperlink ref="AH388" r:id="rId42" xr:uid="{A01351D2-48CF-FE49-AD83-F8A18031D5E5}"/>
    <hyperlink ref="AJ1274" r:id="rId43" xr:uid="{7EBD520F-74D9-1542-93B2-3C0F33727663}"/>
    <hyperlink ref="AJ1273" r:id="rId44" xr:uid="{43755741-3B17-BE40-AB38-D3769C59E7EC}"/>
    <hyperlink ref="AH719" r:id="rId45" xr:uid="{AA7B396B-9AC8-A749-96F1-4DFD1686A764}"/>
    <hyperlink ref="AH360" r:id="rId46" xr:uid="{15365CC3-ACA7-5747-A319-33F9B10064A2}"/>
    <hyperlink ref="AH1699" r:id="rId47" xr:uid="{00000000-0004-0000-0200-000000030000}"/>
    <hyperlink ref="AH1433" r:id="rId48" xr:uid="{A64E76FF-3F7D-BD49-946C-6268EDB6424C}"/>
    <hyperlink ref="AH1432" r:id="rId49" xr:uid="{5C75BC57-72F5-BE4B-9C9C-EAC612BCF32F}"/>
    <hyperlink ref="AH1429" r:id="rId50" xr:uid="{F5255577-6E8D-5E43-9506-AD661FE6C6DB}"/>
    <hyperlink ref="AH1434" r:id="rId51" xr:uid="{F2D3224B-4E76-DC4B-B2C6-160BDA13FC88}"/>
    <hyperlink ref="AH1430" r:id="rId52" xr:uid="{20EEA13E-9ED8-034C-A598-794058859AD2}"/>
    <hyperlink ref="AI1444" r:id="rId53" xr:uid="{46DEF7E1-6D6C-9E49-80D6-1B32202BCCD3}"/>
    <hyperlink ref="AH1444" r:id="rId54" xr:uid="{F87BBA88-7327-954B-83FF-0C5953C4C6D2}"/>
    <hyperlink ref="AH1443" r:id="rId55" xr:uid="{2CC1492A-1FAE-B84E-86FD-78B5F6D18E9B}"/>
    <hyperlink ref="AH1445" r:id="rId56" xr:uid="{FC74615F-9D76-5B4B-ABA7-F87D6CFF8869}"/>
    <hyperlink ref="AH575" r:id="rId57" xr:uid="{8A9AF313-E256-414D-B950-147B851EB627}"/>
    <hyperlink ref="AH573" r:id="rId58" xr:uid="{E89D43BE-7A54-C84E-A54F-31A6677C666F}"/>
    <hyperlink ref="AH386" r:id="rId59" xr:uid="{97D2B3DB-4A95-5740-ABED-1773BAB8923C}"/>
    <hyperlink ref="AJ379" r:id="rId60" xr:uid="{D9CC2834-0D8F-1247-A3FF-E47061B62EB2}"/>
    <hyperlink ref="AI379" r:id="rId61" xr:uid="{EA71A827-84E2-7B45-A606-67A5AABBD45B}"/>
    <hyperlink ref="AI1027" r:id="rId62" xr:uid="{01D494AC-4392-8649-B395-BEC103A78203}"/>
    <hyperlink ref="AI377" r:id="rId63" xr:uid="{4D9B232B-DE75-FE43-B796-AB375CE05437}"/>
    <hyperlink ref="AI390" r:id="rId64" xr:uid="{BCD9946C-8E25-E54C-BE87-BB03A7C20274}"/>
    <hyperlink ref="AI389" r:id="rId65" xr:uid="{22D522C9-A876-F04C-91E4-28737523435F}"/>
    <hyperlink ref="AI417" r:id="rId66" xr:uid="{64BDC695-75D4-7643-8520-660618D0E037}"/>
    <hyperlink ref="AJ398" r:id="rId67" xr:uid="{B6A5B50C-6E7C-8E44-B696-72E451718C2F}"/>
    <hyperlink ref="AH483" r:id="rId68" xr:uid="{14FF02BF-95A7-C94F-A9E8-A1717E294A27}"/>
    <hyperlink ref="AJ413" r:id="rId69" xr:uid="{5673F00D-B642-974F-AA41-0A90AA08FE47}"/>
    <hyperlink ref="AH506" r:id="rId70" xr:uid="{04B83426-F69B-0847-8E22-CD7D6F0C4A6F}"/>
    <hyperlink ref="AH421" r:id="rId71" xr:uid="{7380C3ED-7ABA-844E-8D1D-A5BC79FEADD9}"/>
    <hyperlink ref="AJ425" r:id="rId72" xr:uid="{A3079A46-E47F-3544-8107-C533559C0F99}"/>
    <hyperlink ref="AH429" r:id="rId73" xr:uid="{ED964012-BF56-E848-BF2D-F68C0CDB30B8}"/>
    <hyperlink ref="AH557" r:id="rId74" xr:uid="{7E63097E-D6E1-F344-92BE-F3C0F0EAE73D}"/>
    <hyperlink ref="AH432" r:id="rId75" xr:uid="{EAC48318-9BDD-6A4D-82BE-8E17749598A9}"/>
    <hyperlink ref="AH431" r:id="rId76" xr:uid="{8C899646-AA8D-7747-B179-C91467B81168}"/>
    <hyperlink ref="AH455" r:id="rId77" xr:uid="{7B83C046-CD8D-D74E-B7F1-AE91818A8AF4}"/>
    <hyperlink ref="AH439" r:id="rId78" xr:uid="{B8E42035-BCE6-1B48-8333-3A8B8BA08AF7}"/>
    <hyperlink ref="AH441:AH442" r:id="rId79" display="https://hvg.hu/360/20241128_Median-kozvelemenykutatas-november-Tisza-Magyar-Peter-Fidesz" xr:uid="{19F1837D-3E2C-9443-AE1F-5425A10A0922}"/>
    <hyperlink ref="AH442" r:id="rId80" xr:uid="{FE90687B-3FDF-5A40-8CB2-CA27D4C16795}"/>
    <hyperlink ref="AJ441:AJ442" r:id="rId81" display="https://www.facebook.com/hvghu/posts/pfbid0kzHhAiE14yTkCLhHAUjJkv56VwK1GrGZ1oCNoaJR2wgKifXBr14pQAtaZHKjPTpul" xr:uid="{86125301-AE1D-4E45-99B2-015F45E89397}"/>
    <hyperlink ref="AI452" r:id="rId82" xr:uid="{D0690F8C-EF1E-854B-BCFE-BFE405FCC64F}"/>
    <hyperlink ref="AI451" r:id="rId83" xr:uid="{9D2531D8-95A1-1C40-9D66-B368D9A62633}"/>
    <hyperlink ref="AJ442" r:id="rId84" xr:uid="{9638105C-4E1C-4C4B-90E9-3538E05EE71A}"/>
    <hyperlink ref="AJ449" r:id="rId85" xr:uid="{45715C69-5FA4-834A-AECB-35EC275F26E9}"/>
    <hyperlink ref="AH556" r:id="rId86" xr:uid="{8266807D-1001-0C4F-B204-46B200E37CDF}"/>
    <hyperlink ref="AH570" r:id="rId87" xr:uid="{F67D66E6-D651-9549-A6EA-6B51EA7A1FF0}"/>
    <hyperlink ref="AH471" r:id="rId88" xr:uid="{6019DBEC-DCDE-5642-83FD-D1BC4689756D}"/>
    <hyperlink ref="AJ1740" r:id="rId89" xr:uid="{00000000-0004-0000-0200-000043030000}"/>
    <hyperlink ref="AJ1739" r:id="rId90" xr:uid="{00000000-0004-0000-0200-000042030000}"/>
    <hyperlink ref="AJ1738" r:id="rId91" xr:uid="{00000000-0004-0000-0200-000041030000}"/>
    <hyperlink ref="AI1738" r:id="rId92" xr:uid="{00000000-0004-0000-0200-000040030000}"/>
    <hyperlink ref="AI1737" r:id="rId93" xr:uid="{00000000-0004-0000-0200-00003F030000}"/>
    <hyperlink ref="AI1736" r:id="rId94" xr:uid="{00000000-0004-0000-0200-00003E030000}"/>
    <hyperlink ref="AH1736" r:id="rId95" xr:uid="{00000000-0004-0000-0200-00003D030000}"/>
    <hyperlink ref="AI1733" r:id="rId96" xr:uid="{00000000-0004-0000-0200-00003A030000}"/>
    <hyperlink ref="AH1733" r:id="rId97" xr:uid="{00000000-0004-0000-0200-000039030000}"/>
    <hyperlink ref="AI1734" r:id="rId98" xr:uid="{00000000-0004-0000-0200-000038030000}"/>
    <hyperlink ref="AH1734" r:id="rId99" xr:uid="{00000000-0004-0000-0200-000037030000}"/>
    <hyperlink ref="AJ1732" r:id="rId100" xr:uid="{00000000-0004-0000-0200-000036030000}"/>
    <hyperlink ref="AI1732" r:id="rId101" xr:uid="{00000000-0004-0000-0200-000035030000}"/>
    <hyperlink ref="AH1732" r:id="rId102" xr:uid="{00000000-0004-0000-0200-000034030000}"/>
    <hyperlink ref="AI1728" r:id="rId103" xr:uid="{00000000-0004-0000-0200-000033030000}"/>
    <hyperlink ref="AI1730" r:id="rId104" xr:uid="{00000000-0004-0000-0200-000031030000}"/>
    <hyperlink ref="AI1727" r:id="rId105" xr:uid="{00000000-0004-0000-0200-00002F030000}"/>
    <hyperlink ref="AH1727" r:id="rId106" xr:uid="{00000000-0004-0000-0200-00002E030000}"/>
    <hyperlink ref="AI1726" r:id="rId107" xr:uid="{00000000-0004-0000-0200-00002D030000}"/>
    <hyperlink ref="AH1726" r:id="rId108" xr:uid="{00000000-0004-0000-0200-00002C030000}"/>
    <hyperlink ref="AJ1720" r:id="rId109" xr:uid="{00000000-0004-0000-0200-00002B030000}"/>
    <hyperlink ref="AI1720" r:id="rId110" xr:uid="{00000000-0004-0000-0200-00002A030000}"/>
    <hyperlink ref="AH1720" r:id="rId111" xr:uid="{00000000-0004-0000-0200-000029030000}"/>
    <hyperlink ref="AJ1721" r:id="rId112" xr:uid="{00000000-0004-0000-0200-000028030000}"/>
    <hyperlink ref="AI1721" r:id="rId113" xr:uid="{00000000-0004-0000-0200-000027030000}"/>
    <hyperlink ref="AH1721" r:id="rId114" xr:uid="{00000000-0004-0000-0200-000026030000}"/>
    <hyperlink ref="AJ1716" r:id="rId115" xr:uid="{00000000-0004-0000-0200-000023030000}"/>
    <hyperlink ref="AI1716" r:id="rId116" xr:uid="{00000000-0004-0000-0200-000022030000}"/>
    <hyperlink ref="AH1716" r:id="rId117" xr:uid="{00000000-0004-0000-0200-000021030000}"/>
    <hyperlink ref="AJ1715" r:id="rId118" xr:uid="{00000000-0004-0000-0200-000020030000}"/>
    <hyperlink ref="AI1715" r:id="rId119" xr:uid="{00000000-0004-0000-0200-00001F030000}"/>
    <hyperlink ref="AH1715" r:id="rId120" xr:uid="{00000000-0004-0000-0200-00001E030000}"/>
    <hyperlink ref="AI1714" r:id="rId121" xr:uid="{00000000-0004-0000-0200-00001D030000}"/>
    <hyperlink ref="AI1713" r:id="rId122" xr:uid="{00000000-0004-0000-0200-00001C030000}"/>
    <hyperlink ref="AI1711" r:id="rId123" xr:uid="{00000000-0004-0000-0200-00001B030000}"/>
    <hyperlink ref="AH1711" r:id="rId124" xr:uid="{00000000-0004-0000-0200-00001A030000}"/>
    <hyperlink ref="AI1712" r:id="rId125" xr:uid="{00000000-0004-0000-0200-000019030000}"/>
    <hyperlink ref="AH1712" r:id="rId126" xr:uid="{00000000-0004-0000-0200-000018030000}"/>
    <hyperlink ref="AI1710" r:id="rId127" xr:uid="{00000000-0004-0000-0200-000017030000}"/>
    <hyperlink ref="AH1710" r:id="rId128" xr:uid="{00000000-0004-0000-0200-000016030000}"/>
    <hyperlink ref="AI1709" r:id="rId129" xr:uid="{00000000-0004-0000-0200-000015030000}"/>
    <hyperlink ref="AH1709" r:id="rId130" xr:uid="{00000000-0004-0000-0200-000014030000}"/>
    <hyperlink ref="AI1705" r:id="rId131" xr:uid="{00000000-0004-0000-0200-000011030000}"/>
    <hyperlink ref="AH1705" r:id="rId132" xr:uid="{00000000-0004-0000-0200-000010030000}"/>
    <hyperlink ref="AI1706" r:id="rId133" xr:uid="{00000000-0004-0000-0200-00000F030000}"/>
    <hyperlink ref="AH1706" r:id="rId134" xr:uid="{00000000-0004-0000-0200-00000E030000}"/>
    <hyperlink ref="AJ1703" r:id="rId135" xr:uid="{00000000-0004-0000-0200-00000D030000}"/>
    <hyperlink ref="AI1703" r:id="rId136" xr:uid="{00000000-0004-0000-0200-00000C030000}"/>
    <hyperlink ref="AH1703" r:id="rId137" xr:uid="{00000000-0004-0000-0200-00000B030000}"/>
    <hyperlink ref="AJ1704" r:id="rId138" xr:uid="{00000000-0004-0000-0200-00000A030000}"/>
    <hyperlink ref="AI1704" r:id="rId139" xr:uid="{00000000-0004-0000-0200-000009030000}"/>
    <hyperlink ref="AH1704" r:id="rId140" xr:uid="{00000000-0004-0000-0200-000008030000}"/>
    <hyperlink ref="AI1702" r:id="rId141" xr:uid="{00000000-0004-0000-0200-000007030000}"/>
    <hyperlink ref="AH1702" r:id="rId142" xr:uid="{00000000-0004-0000-0200-000006030000}"/>
    <hyperlink ref="AI1701" r:id="rId143" xr:uid="{00000000-0004-0000-0200-000005030000}"/>
    <hyperlink ref="AH1701" r:id="rId144" xr:uid="{00000000-0004-0000-0200-000004030000}"/>
    <hyperlink ref="AI1700" r:id="rId145" xr:uid="{00000000-0004-0000-0200-000003030000}"/>
    <hyperlink ref="AH1700" r:id="rId146" xr:uid="{00000000-0004-0000-0200-000002030000}"/>
    <hyperlink ref="AI1699" r:id="rId147" xr:uid="{00000000-0004-0000-0200-000001030000}"/>
    <hyperlink ref="AJ1698" r:id="rId148" xr:uid="{00000000-0004-0000-0200-0000FF020000}"/>
    <hyperlink ref="AH1698" r:id="rId149" xr:uid="{00000000-0004-0000-0200-0000FE020000}"/>
    <hyperlink ref="AJ1697" r:id="rId150" xr:uid="{00000000-0004-0000-0200-0000FD020000}"/>
    <hyperlink ref="AH1697" r:id="rId151" xr:uid="{00000000-0004-0000-0200-0000FC020000}"/>
    <hyperlink ref="AI1694" r:id="rId152" xr:uid="{00000000-0004-0000-0200-0000FB020000}"/>
    <hyperlink ref="AH1694" r:id="rId153" xr:uid="{00000000-0004-0000-0200-0000FA020000}"/>
    <hyperlink ref="AH1691" r:id="rId154" xr:uid="{00000000-0004-0000-0200-0000F9020000}"/>
    <hyperlink ref="AH1692" r:id="rId155" xr:uid="{00000000-0004-0000-0200-0000F8020000}"/>
    <hyperlink ref="AI1689" r:id="rId156" xr:uid="{00000000-0004-0000-0200-0000F7020000}"/>
    <hyperlink ref="AJ1688" r:id="rId157" xr:uid="{00000000-0004-0000-0200-0000F6020000}"/>
    <hyperlink ref="AI1688" r:id="rId158" xr:uid="{00000000-0004-0000-0200-0000F5020000}"/>
    <hyperlink ref="AJ1687" r:id="rId159" xr:uid="{00000000-0004-0000-0200-0000F4020000}"/>
    <hyperlink ref="AH1687" r:id="rId160" xr:uid="{00000000-0004-0000-0200-0000F3020000}"/>
    <hyperlink ref="AH1686" r:id="rId161" display="https://nezopont.hu/valtozatlanul-vezet-a-fidesz-a-kampany-veghajrajaban/ EREDETILEG https://nezopontintezet.hu/2018/03/28/valtozatlanul-vezet-a-fidesz-a-kampany-veghajrajaban/" xr:uid="{00000000-0004-0000-0200-0000F1020000}"/>
    <hyperlink ref="AI1684" r:id="rId162" xr:uid="{00000000-0004-0000-0200-0000F0020000}"/>
    <hyperlink ref="AH1684" r:id="rId163" xr:uid="{00000000-0004-0000-0200-0000EF020000}"/>
    <hyperlink ref="AI1685" r:id="rId164" xr:uid="{00000000-0004-0000-0200-0000EE020000}"/>
    <hyperlink ref="AH1685" r:id="rId165" xr:uid="{00000000-0004-0000-0200-0000ED020000}"/>
    <hyperlink ref="AI1683" r:id="rId166" xr:uid="{00000000-0004-0000-0200-0000EC020000}"/>
    <hyperlink ref="AH1683" r:id="rId167" xr:uid="{00000000-0004-0000-0200-0000EB020000}"/>
    <hyperlink ref="AJ1681" r:id="rId168" xr:uid="{00000000-0004-0000-0200-0000EA020000}"/>
    <hyperlink ref="AI1681" r:id="rId169" xr:uid="{00000000-0004-0000-0200-0000E9020000}"/>
    <hyperlink ref="AH1681" r:id="rId170" xr:uid="{00000000-0004-0000-0200-0000E8020000}"/>
    <hyperlink ref="AJ1682" r:id="rId171" xr:uid="{00000000-0004-0000-0200-0000E7020000}"/>
    <hyperlink ref="AI1682" r:id="rId172" xr:uid="{00000000-0004-0000-0200-0000E6020000}"/>
    <hyperlink ref="AH1682" r:id="rId173" xr:uid="{00000000-0004-0000-0200-0000E5020000}"/>
    <hyperlink ref="AH1680" r:id="rId174" xr:uid="{00000000-0004-0000-0200-0000E4020000}"/>
    <hyperlink ref="AI1679" r:id="rId175" xr:uid="{00000000-0004-0000-0200-0000E3020000}"/>
    <hyperlink ref="AH1679" r:id="rId176" xr:uid="{00000000-0004-0000-0200-0000E2020000}"/>
    <hyperlink ref="AJ1678" r:id="rId177" xr:uid="{00000000-0004-0000-0200-0000E1020000}"/>
    <hyperlink ref="AI1678" r:id="rId178" xr:uid="{00000000-0004-0000-0200-0000E0020000}"/>
    <hyperlink ref="AH1678" r:id="rId179" xr:uid="{00000000-0004-0000-0200-0000DF020000}"/>
    <hyperlink ref="AJ1677" r:id="rId180" xr:uid="{00000000-0004-0000-0200-0000DE020000}"/>
    <hyperlink ref="AI1677" r:id="rId181" xr:uid="{00000000-0004-0000-0200-0000DD020000}"/>
    <hyperlink ref="AH1677" r:id="rId182" xr:uid="{00000000-0004-0000-0200-0000DC020000}"/>
    <hyperlink ref="AJ1676" r:id="rId183" xr:uid="{00000000-0004-0000-0200-0000DB020000}"/>
    <hyperlink ref="AI1676" r:id="rId184" xr:uid="{00000000-0004-0000-0200-0000DA020000}"/>
    <hyperlink ref="AH1676" r:id="rId185" xr:uid="{00000000-0004-0000-0200-0000D9020000}"/>
    <hyperlink ref="AI1673" r:id="rId186" xr:uid="{00000000-0004-0000-0200-0000D8020000}"/>
    <hyperlink ref="AH1673" r:id="rId187" xr:uid="{00000000-0004-0000-0200-0000D7020000}"/>
    <hyperlink ref="AI1672" r:id="rId188" xr:uid="{00000000-0004-0000-0200-0000D6020000}"/>
    <hyperlink ref="AH1672" r:id="rId189" xr:uid="{00000000-0004-0000-0200-0000D5020000}"/>
    <hyperlink ref="AH1671" r:id="rId190" xr:uid="{00000000-0004-0000-0200-0000D4020000}"/>
    <hyperlink ref="AH1670" r:id="rId191" xr:uid="{00000000-0004-0000-0200-0000D3020000}"/>
    <hyperlink ref="AI1667" r:id="rId192" xr:uid="{00000000-0004-0000-0200-0000D2020000}"/>
    <hyperlink ref="AH1667" r:id="rId193" xr:uid="{00000000-0004-0000-0200-0000D1020000}"/>
    <hyperlink ref="AJ1668" r:id="rId194" xr:uid="{00000000-0004-0000-0200-0000D0020000}"/>
    <hyperlink ref="AI1668" r:id="rId195" xr:uid="{00000000-0004-0000-0200-0000CF020000}"/>
    <hyperlink ref="AH1668" r:id="rId196" xr:uid="{00000000-0004-0000-0200-0000CE020000}"/>
    <hyperlink ref="AI1666" r:id="rId197" xr:uid="{00000000-0004-0000-0200-0000CD020000}"/>
    <hyperlink ref="AH1666" r:id="rId198" xr:uid="{00000000-0004-0000-0200-0000CC020000}"/>
    <hyperlink ref="AJ1665" r:id="rId199" xr:uid="{00000000-0004-0000-0200-0000CB020000}"/>
    <hyperlink ref="AH1664" r:id="rId200" xr:uid="{00000000-0004-0000-0200-0000C9020000}"/>
    <hyperlink ref="AH1663" r:id="rId201" xr:uid="{00000000-0004-0000-0200-0000C8020000}"/>
    <hyperlink ref="AH1661" r:id="rId202" xr:uid="{00000000-0004-0000-0200-0000C7020000}"/>
    <hyperlink ref="AJ1659" r:id="rId203" xr:uid="{00000000-0004-0000-0200-0000C6020000}"/>
    <hyperlink ref="AI1659" r:id="rId204" xr:uid="{00000000-0004-0000-0200-0000C5020000}"/>
    <hyperlink ref="AH1659" r:id="rId205" xr:uid="{00000000-0004-0000-0200-0000C4020000}"/>
    <hyperlink ref="AH1657" r:id="rId206" xr:uid="{00000000-0004-0000-0200-0000C3020000}"/>
    <hyperlink ref="AH1654" r:id="rId207" xr:uid="{00000000-0004-0000-0200-0000C2020000}"/>
    <hyperlink ref="AI1653" r:id="rId208" xr:uid="{00000000-0004-0000-0200-0000C1020000}"/>
    <hyperlink ref="AH1653" r:id="rId209" xr:uid="{00000000-0004-0000-0200-0000C0020000}"/>
    <hyperlink ref="AJ1652" r:id="rId210" location="gid=0" xr:uid="{00000000-0004-0000-0200-0000BF020000}"/>
    <hyperlink ref="AI1652" r:id="rId211" xr:uid="{00000000-0004-0000-0200-0000BE020000}"/>
    <hyperlink ref="AH1652" r:id="rId212" xr:uid="{00000000-0004-0000-0200-0000BD020000}"/>
    <hyperlink ref="AJ1651" r:id="rId213" location="gid=0" xr:uid="{00000000-0004-0000-0200-0000BC020000}"/>
    <hyperlink ref="AI1651" r:id="rId214" xr:uid="{00000000-0004-0000-0200-0000BB020000}"/>
    <hyperlink ref="AH1651" r:id="rId215" xr:uid="{00000000-0004-0000-0200-0000BA020000}"/>
    <hyperlink ref="AH1647" r:id="rId216" xr:uid="{00000000-0004-0000-0200-0000B9020000}"/>
    <hyperlink ref="AI1648" r:id="rId217" xr:uid="{00000000-0004-0000-0200-0000B8020000}"/>
    <hyperlink ref="AH1648" r:id="rId218" xr:uid="{00000000-0004-0000-0200-0000B7020000}"/>
    <hyperlink ref="AJ1646" r:id="rId219" xr:uid="{00000000-0004-0000-0200-0000B6020000}"/>
    <hyperlink ref="AI1645" r:id="rId220" xr:uid="{00000000-0004-0000-0200-0000B5020000}"/>
    <hyperlink ref="AI1644" r:id="rId221" xr:uid="{00000000-0004-0000-0200-0000B4020000}"/>
    <hyperlink ref="AJ1643" r:id="rId222" location="gid=0" xr:uid="{00000000-0004-0000-0200-0000B3020000}"/>
    <hyperlink ref="AI1643" r:id="rId223" xr:uid="{00000000-0004-0000-0200-0000B2020000}"/>
    <hyperlink ref="AH1643" r:id="rId224" xr:uid="{00000000-0004-0000-0200-0000B1020000}"/>
    <hyperlink ref="AJ1642" r:id="rId225" location="gid=0" xr:uid="{00000000-0004-0000-0200-0000B0020000}"/>
    <hyperlink ref="AI1642" r:id="rId226" xr:uid="{00000000-0004-0000-0200-0000AF020000}"/>
    <hyperlink ref="AH1642" r:id="rId227" xr:uid="{00000000-0004-0000-0200-0000AE020000}"/>
    <hyperlink ref="AI1639" r:id="rId228" xr:uid="{00000000-0004-0000-0200-0000AD020000}"/>
    <hyperlink ref="AI1637" r:id="rId229" xr:uid="{00000000-0004-0000-0200-0000AC020000}"/>
    <hyperlink ref="AI1636" r:id="rId230" xr:uid="{00000000-0004-0000-0200-0000AB020000}"/>
    <hyperlink ref="AI1635" r:id="rId231" xr:uid="{00000000-0004-0000-0200-0000AA020000}"/>
    <hyperlink ref="AH1635" r:id="rId232" xr:uid="{00000000-0004-0000-0200-0000A9020000}"/>
    <hyperlink ref="AI1634" r:id="rId233" xr:uid="{00000000-0004-0000-0200-0000A8020000}"/>
    <hyperlink ref="AH1634" r:id="rId234" xr:uid="{00000000-0004-0000-0200-0000A7020000}"/>
    <hyperlink ref="AJ1633" r:id="rId235" location="gid=0" xr:uid="{00000000-0004-0000-0200-0000A6020000}"/>
    <hyperlink ref="AI1633" r:id="rId236" xr:uid="{00000000-0004-0000-0200-0000A5020000}"/>
    <hyperlink ref="AH1633" r:id="rId237" xr:uid="{00000000-0004-0000-0200-0000A4020000}"/>
    <hyperlink ref="AJ1632" r:id="rId238" location="gid=0" xr:uid="{00000000-0004-0000-0200-0000A3020000}"/>
    <hyperlink ref="AI1632" r:id="rId239" xr:uid="{00000000-0004-0000-0200-0000A2020000}"/>
    <hyperlink ref="AH1632" r:id="rId240" xr:uid="{00000000-0004-0000-0200-0000A1020000}"/>
    <hyperlink ref="AH1630" r:id="rId241" xr:uid="{00000000-0004-0000-0200-0000A0020000}"/>
    <hyperlink ref="AH1629" r:id="rId242" xr:uid="{00000000-0004-0000-0200-00009F020000}"/>
    <hyperlink ref="AJ1628" r:id="rId243" location="gid=0" xr:uid="{00000000-0004-0000-0200-00009E020000}"/>
    <hyperlink ref="AH1628" r:id="rId244" xr:uid="{00000000-0004-0000-0200-00009D020000}"/>
    <hyperlink ref="AJ1627" r:id="rId245" location="gid=0" xr:uid="{00000000-0004-0000-0200-00009C020000}"/>
    <hyperlink ref="AH1627" r:id="rId246" xr:uid="{00000000-0004-0000-0200-00009B020000}"/>
    <hyperlink ref="AJ1626" r:id="rId247" xr:uid="{00000000-0004-0000-0200-00009A020000}"/>
    <hyperlink ref="AH1626" r:id="rId248" xr:uid="{00000000-0004-0000-0200-000099020000}"/>
    <hyperlink ref="AJ1625" r:id="rId249" xr:uid="{00000000-0004-0000-0200-000098020000}"/>
    <hyperlink ref="AH1625" r:id="rId250" xr:uid="{00000000-0004-0000-0200-000097020000}"/>
    <hyperlink ref="AJ1624" r:id="rId251" xr:uid="{00000000-0004-0000-0200-000096020000}"/>
    <hyperlink ref="AJ1623" r:id="rId252" xr:uid="{00000000-0004-0000-0200-000095020000}"/>
    <hyperlink ref="AJ1621" r:id="rId253" location="gid=0" xr:uid="{00000000-0004-0000-0200-000094020000}"/>
    <hyperlink ref="AH1621" r:id="rId254" xr:uid="{00000000-0004-0000-0200-000093020000}"/>
    <hyperlink ref="AJ1620" r:id="rId255" location="gid=0" xr:uid="{00000000-0004-0000-0200-000092020000}"/>
    <hyperlink ref="AH1620" r:id="rId256" xr:uid="{00000000-0004-0000-0200-000091020000}"/>
    <hyperlink ref="AI1619" r:id="rId257" xr:uid="{00000000-0004-0000-0200-000090020000}"/>
    <hyperlink ref="AH1619" r:id="rId258" xr:uid="{00000000-0004-0000-0200-00008F020000}"/>
    <hyperlink ref="AI1618" r:id="rId259" xr:uid="{00000000-0004-0000-0200-00008E020000}"/>
    <hyperlink ref="AH1618" r:id="rId260" xr:uid="{00000000-0004-0000-0200-00008D020000}"/>
    <hyperlink ref="AJ1617" r:id="rId261" xr:uid="{00000000-0004-0000-0200-00008C020000}"/>
    <hyperlink ref="AJ1616" r:id="rId262" xr:uid="{00000000-0004-0000-0200-00008B020000}"/>
    <hyperlink ref="AH1613" r:id="rId263" xr:uid="{00000000-0004-0000-0200-00008A020000}"/>
    <hyperlink ref="AH1612" r:id="rId264" xr:uid="{00000000-0004-0000-0200-000089020000}"/>
    <hyperlink ref="AJ1611" r:id="rId265" location="gid=0" xr:uid="{00000000-0004-0000-0200-000088020000}"/>
    <hyperlink ref="AI1611" r:id="rId266" xr:uid="{00000000-0004-0000-0200-000087020000}"/>
    <hyperlink ref="AH1611" r:id="rId267" xr:uid="{00000000-0004-0000-0200-000086020000}"/>
    <hyperlink ref="AJ1610" r:id="rId268" location="gid=0" xr:uid="{00000000-0004-0000-0200-000085020000}"/>
    <hyperlink ref="AI1610" r:id="rId269" xr:uid="{00000000-0004-0000-0200-000084020000}"/>
    <hyperlink ref="AH1610" r:id="rId270" xr:uid="{00000000-0004-0000-0200-000083020000}"/>
    <hyperlink ref="AI1609" r:id="rId271" xr:uid="{00000000-0004-0000-0200-000082020000}"/>
    <hyperlink ref="AJ1607" r:id="rId272" xr:uid="{00000000-0004-0000-0200-000081020000}"/>
    <hyperlink ref="AI1607" r:id="rId273" xr:uid="{00000000-0004-0000-0200-000080020000}"/>
    <hyperlink ref="AJ1608" r:id="rId274" xr:uid="{00000000-0004-0000-0200-00007F020000}"/>
    <hyperlink ref="AI1608" r:id="rId275" xr:uid="{00000000-0004-0000-0200-00007E020000}"/>
    <hyperlink ref="AJ1606" r:id="rId276" xr:uid="{00000000-0004-0000-0200-00007D020000}"/>
    <hyperlink ref="AJ1605" r:id="rId277" xr:uid="{00000000-0004-0000-0200-00007C020000}"/>
    <hyperlink ref="AH1604" r:id="rId278" xr:uid="{00000000-0004-0000-0200-00007B020000}"/>
    <hyperlink ref="AH1603" r:id="rId279" xr:uid="{00000000-0004-0000-0200-00007A020000}"/>
    <hyperlink ref="AI1601" r:id="rId280" xr:uid="{00000000-0004-0000-0200-000079020000}"/>
    <hyperlink ref="AH1601" r:id="rId281" xr:uid="{00000000-0004-0000-0200-000078020000}"/>
    <hyperlink ref="G1601" r:id="rId282" xr:uid="{00000000-0004-0000-0200-000077020000}"/>
    <hyperlink ref="AI1600" r:id="rId283" xr:uid="{00000000-0004-0000-0200-000076020000}"/>
    <hyperlink ref="AH1600" r:id="rId284" xr:uid="{00000000-0004-0000-0200-000075020000}"/>
    <hyperlink ref="G1600" r:id="rId285" xr:uid="{00000000-0004-0000-0200-000074020000}"/>
    <hyperlink ref="AI1599" r:id="rId286" xr:uid="{00000000-0004-0000-0200-000073020000}"/>
    <hyperlink ref="AI1597" r:id="rId287" xr:uid="{00000000-0004-0000-0200-000072020000}"/>
    <hyperlink ref="AI1598" r:id="rId288" xr:uid="{00000000-0004-0000-0200-000071020000}"/>
    <hyperlink ref="AJ1596" r:id="rId289" xr:uid="{00000000-0004-0000-0200-000070020000}"/>
    <hyperlink ref="AJ1595" r:id="rId290" xr:uid="{00000000-0004-0000-0200-00006F020000}"/>
    <hyperlink ref="AH1594" r:id="rId291" xr:uid="{00000000-0004-0000-0200-00006E020000}"/>
    <hyperlink ref="AJ1593" r:id="rId292" location="gid=0" xr:uid="{00000000-0004-0000-0200-00006D020000}"/>
    <hyperlink ref="AI1593" r:id="rId293" xr:uid="{00000000-0004-0000-0200-00006C020000}"/>
    <hyperlink ref="AH1593" r:id="rId294" xr:uid="{00000000-0004-0000-0200-00006B020000}"/>
    <hyperlink ref="AI1592" r:id="rId295" xr:uid="{00000000-0004-0000-0200-00006A020000}"/>
    <hyperlink ref="AI1591" r:id="rId296" xr:uid="{00000000-0004-0000-0200-000069020000}"/>
    <hyperlink ref="AJ1589" r:id="rId297" xr:uid="{00000000-0004-0000-0200-000068020000}"/>
    <hyperlink ref="AJ1588" r:id="rId298" xr:uid="{00000000-0004-0000-0200-000067020000}"/>
    <hyperlink ref="AI1587" r:id="rId299" xr:uid="{00000000-0004-0000-0200-000066020000}"/>
    <hyperlink ref="AH1587" r:id="rId300" xr:uid="{00000000-0004-0000-0200-000065020000}"/>
    <hyperlink ref="G1587" r:id="rId301" xr:uid="{00000000-0004-0000-0200-000064020000}"/>
    <hyperlink ref="AI1586" r:id="rId302" xr:uid="{00000000-0004-0000-0200-000063020000}"/>
    <hyperlink ref="AH1586" r:id="rId303" xr:uid="{00000000-0004-0000-0200-000062020000}"/>
    <hyperlink ref="G1586" r:id="rId304" xr:uid="{00000000-0004-0000-0200-000061020000}"/>
    <hyperlink ref="AH1585" r:id="rId305" xr:uid="{00000000-0004-0000-0200-000060020000}"/>
    <hyperlink ref="AJ1584" r:id="rId306" location="gid=0" xr:uid="{00000000-0004-0000-0200-00005F020000}"/>
    <hyperlink ref="AI1584" r:id="rId307" xr:uid="{00000000-0004-0000-0200-00005E020000}"/>
    <hyperlink ref="AH1584" r:id="rId308" xr:uid="{00000000-0004-0000-0200-00005D020000}"/>
    <hyperlink ref="AH1583" r:id="rId309" xr:uid="{00000000-0004-0000-0200-00005C020000}"/>
    <hyperlink ref="AH1582" r:id="rId310" xr:uid="{00000000-0004-0000-0200-00005B020000}"/>
    <hyperlink ref="AJ1581" r:id="rId311" xr:uid="{00000000-0004-0000-0200-00005A020000}"/>
    <hyperlink ref="AI1581" r:id="rId312" xr:uid="{00000000-0004-0000-0200-000059020000}"/>
    <hyperlink ref="AJ1579" r:id="rId313" xr:uid="{00000000-0004-0000-0200-000058020000}"/>
    <hyperlink ref="AI1579" r:id="rId314" xr:uid="{00000000-0004-0000-0200-000057020000}"/>
    <hyperlink ref="AJ1580" r:id="rId315" xr:uid="{00000000-0004-0000-0200-000056020000}"/>
    <hyperlink ref="AI1580" r:id="rId316" xr:uid="{00000000-0004-0000-0200-000055020000}"/>
    <hyperlink ref="AH1577" r:id="rId317" xr:uid="{00000000-0004-0000-0200-000054020000}"/>
    <hyperlink ref="AJ1576" r:id="rId318" location="gid=0" xr:uid="{00000000-0004-0000-0200-000053020000}"/>
    <hyperlink ref="AI1576" r:id="rId319" xr:uid="{00000000-0004-0000-0200-000052020000}"/>
    <hyperlink ref="AH1576" r:id="rId320" xr:uid="{00000000-0004-0000-0200-000051020000}"/>
    <hyperlink ref="AJ1575" r:id="rId321" xr:uid="{00000000-0004-0000-0200-000050020000}"/>
    <hyperlink ref="AJ1574" r:id="rId322" xr:uid="{00000000-0004-0000-0200-00004F020000}"/>
    <hyperlink ref="AI1572" r:id="rId323" xr:uid="{00000000-0004-0000-0200-00004E020000}"/>
    <hyperlink ref="AH1572" r:id="rId324" xr:uid="{00000000-0004-0000-0200-00004D020000}"/>
    <hyperlink ref="AI1573" r:id="rId325" xr:uid="{00000000-0004-0000-0200-00004C020000}"/>
    <hyperlink ref="AH1573" r:id="rId326" xr:uid="{00000000-0004-0000-0200-00004B020000}"/>
    <hyperlink ref="AI1571" r:id="rId327" xr:uid="{00000000-0004-0000-0200-00004A020000}"/>
    <hyperlink ref="AH1571" r:id="rId328" xr:uid="{00000000-0004-0000-0200-000049020000}"/>
    <hyperlink ref="AI1570" r:id="rId329" xr:uid="{00000000-0004-0000-0200-000047020000}"/>
    <hyperlink ref="AH1570" r:id="rId330" xr:uid="{00000000-0004-0000-0200-000046020000}"/>
    <hyperlink ref="AI1569" r:id="rId331" xr:uid="{00000000-0004-0000-0200-000044020000}"/>
    <hyperlink ref="AJ1568" r:id="rId332" xr:uid="{00000000-0004-0000-0200-000043020000}"/>
    <hyperlink ref="AJ1567" r:id="rId333" xr:uid="{00000000-0004-0000-0200-000042020000}"/>
    <hyperlink ref="AH1565" r:id="rId334" xr:uid="{00000000-0004-0000-0200-000041020000}"/>
    <hyperlink ref="AH1564" r:id="rId335" xr:uid="{00000000-0004-0000-0200-000040020000}"/>
    <hyperlink ref="AJ1562" r:id="rId336" xr:uid="{00000000-0004-0000-0200-00003F020000}"/>
    <hyperlink ref="AI1562" r:id="rId337" xr:uid="{00000000-0004-0000-0200-00003E020000}"/>
    <hyperlink ref="AH1562" r:id="rId338" xr:uid="{00000000-0004-0000-0200-00003D020000}"/>
    <hyperlink ref="AJ1563" r:id="rId339" xr:uid="{00000000-0004-0000-0200-00003C020000}"/>
    <hyperlink ref="AI1563" r:id="rId340" xr:uid="{00000000-0004-0000-0200-00003B020000}"/>
    <hyperlink ref="AH1563" r:id="rId341" xr:uid="{00000000-0004-0000-0200-00003A020000}"/>
    <hyperlink ref="AJ1561" r:id="rId342" xr:uid="{00000000-0004-0000-0200-000039020000}"/>
    <hyperlink ref="AI1561" r:id="rId343" xr:uid="{00000000-0004-0000-0200-000038020000}"/>
    <hyperlink ref="AH1561" r:id="rId344" xr:uid="{00000000-0004-0000-0200-000037020000}"/>
    <hyperlink ref="AH1560" r:id="rId345" xr:uid="{00000000-0004-0000-0200-000036020000}"/>
    <hyperlink ref="AJ1559" r:id="rId346" location="gid=0" xr:uid="{00000000-0004-0000-0200-000035020000}"/>
    <hyperlink ref="AI1559" r:id="rId347" xr:uid="{00000000-0004-0000-0200-000034020000}"/>
    <hyperlink ref="AH1559" r:id="rId348" xr:uid="{00000000-0004-0000-0200-000033020000}"/>
    <hyperlink ref="AI1558" r:id="rId349" xr:uid="{00000000-0004-0000-0200-000032020000}"/>
    <hyperlink ref="AJ1556" r:id="rId350" xr:uid="{00000000-0004-0000-0200-000031020000}"/>
    <hyperlink ref="AI1556" r:id="rId351" xr:uid="{00000000-0004-0000-0200-000030020000}"/>
    <hyperlink ref="AI1555" r:id="rId352" xr:uid="{00000000-0004-0000-0200-00002F020000}"/>
    <hyperlink ref="AH1555" r:id="rId353" xr:uid="{00000000-0004-0000-0200-00002E020000}"/>
    <hyperlink ref="AH1554" r:id="rId354" xr:uid="{00000000-0004-0000-0200-00002D020000}"/>
    <hyperlink ref="AH1549" r:id="rId355" xr:uid="{00000000-0004-0000-0200-00002C020000}"/>
    <hyperlink ref="AH1548" r:id="rId356" xr:uid="{00000000-0004-0000-0200-00002B020000}"/>
    <hyperlink ref="AJ1546" r:id="rId357" xr:uid="{00000000-0004-0000-0200-00002A020000}"/>
    <hyperlink ref="AI1546" r:id="rId358" xr:uid="{00000000-0004-0000-0200-000029020000}"/>
    <hyperlink ref="AH1546" r:id="rId359" xr:uid="{00000000-0004-0000-0200-000028020000}"/>
    <hyperlink ref="AJ1547" r:id="rId360" xr:uid="{00000000-0004-0000-0200-000027020000}"/>
    <hyperlink ref="AI1547" r:id="rId361" xr:uid="{00000000-0004-0000-0200-000026020000}"/>
    <hyperlink ref="AH1547" r:id="rId362" xr:uid="{00000000-0004-0000-0200-000025020000}"/>
    <hyperlink ref="AJ1545" r:id="rId363" xr:uid="{00000000-0004-0000-0200-000024020000}"/>
    <hyperlink ref="AI1545" r:id="rId364" xr:uid="{00000000-0004-0000-0200-000023020000}"/>
    <hyperlink ref="AH1545" r:id="rId365" xr:uid="{00000000-0004-0000-0200-000022020000}"/>
    <hyperlink ref="AI1544" r:id="rId366" xr:uid="{00000000-0004-0000-0200-000021020000}"/>
    <hyperlink ref="AH1544" r:id="rId367" xr:uid="{00000000-0004-0000-0200-000020020000}"/>
    <hyperlink ref="AI1543" r:id="rId368" xr:uid="{00000000-0004-0000-0200-00001F020000}"/>
    <hyperlink ref="AH1543" r:id="rId369" xr:uid="{00000000-0004-0000-0200-00001E020000}"/>
    <hyperlink ref="AI1540" r:id="rId370" xr:uid="{00000000-0004-0000-0200-00001D020000}"/>
    <hyperlink ref="AI1539" r:id="rId371" xr:uid="{00000000-0004-0000-0200-00001C020000}"/>
    <hyperlink ref="AH1538" r:id="rId372" xr:uid="{00000000-0004-0000-0200-00001B020000}"/>
    <hyperlink ref="AI1537" r:id="rId373" xr:uid="{00000000-0004-0000-0200-00001A020000}"/>
    <hyperlink ref="AJ1533" r:id="rId374" xr:uid="{00000000-0004-0000-0200-000016020000}"/>
    <hyperlink ref="AI1533" r:id="rId375" xr:uid="{00000000-0004-0000-0200-000015020000}"/>
    <hyperlink ref="AH1533" r:id="rId376" xr:uid="{00000000-0004-0000-0200-000014020000}"/>
    <hyperlink ref="AJ1531" r:id="rId377" xr:uid="{00000000-0004-0000-0200-000013020000}"/>
    <hyperlink ref="AI1531" r:id="rId378" xr:uid="{00000000-0004-0000-0200-000012020000}"/>
    <hyperlink ref="AH1531" r:id="rId379" xr:uid="{00000000-0004-0000-0200-000011020000}"/>
    <hyperlink ref="AI1534" r:id="rId380" xr:uid="{00000000-0004-0000-0200-000010020000}"/>
    <hyperlink ref="AH1534" r:id="rId381" xr:uid="{00000000-0004-0000-0200-00000F020000}"/>
    <hyperlink ref="AJ1535" r:id="rId382" xr:uid="{00000000-0004-0000-0200-00000E020000}"/>
    <hyperlink ref="AI1535" r:id="rId383" xr:uid="{00000000-0004-0000-0200-00000D020000}"/>
    <hyperlink ref="AH1535" r:id="rId384" xr:uid="{00000000-0004-0000-0200-00000C020000}"/>
    <hyperlink ref="AH1530" r:id="rId385" xr:uid="{00000000-0004-0000-0200-000008020000}"/>
    <hyperlink ref="AI1529" r:id="rId386" xr:uid="{00000000-0004-0000-0200-000007020000}"/>
    <hyperlink ref="AI1528" r:id="rId387" xr:uid="{00000000-0004-0000-0200-000006020000}"/>
    <hyperlink ref="AI1527" r:id="rId388" xr:uid="{00000000-0004-0000-0200-000005020000}"/>
    <hyperlink ref="AI1525" r:id="rId389" xr:uid="{00000000-0004-0000-0200-000004020000}"/>
    <hyperlink ref="AI1526" r:id="rId390" xr:uid="{00000000-0004-0000-0200-000003020000}"/>
    <hyperlink ref="AI1522" r:id="rId391" xr:uid="{00000000-0004-0000-0200-000002020000}"/>
    <hyperlink ref="AH1522" r:id="rId392" xr:uid="{00000000-0004-0000-0200-000001020000}"/>
    <hyperlink ref="AI1521" r:id="rId393" xr:uid="{00000000-0004-0000-0200-000000020000}"/>
    <hyperlink ref="AH1521" r:id="rId394" xr:uid="{00000000-0004-0000-0200-0000FF010000}"/>
    <hyperlink ref="AI1520" r:id="rId395" xr:uid="{00000000-0004-0000-0200-0000FE010000}"/>
    <hyperlink ref="AH1520" r:id="rId396" xr:uid="{00000000-0004-0000-0200-0000FD010000}"/>
    <hyperlink ref="AH1519" r:id="rId397" xr:uid="{00000000-0004-0000-0200-0000FB010000}"/>
    <hyperlink ref="AJ1518" r:id="rId398" xr:uid="{00000000-0004-0000-0200-0000FA010000}"/>
    <hyperlink ref="AI1518" r:id="rId399" xr:uid="{00000000-0004-0000-0200-0000F9010000}"/>
    <hyperlink ref="AH1518" r:id="rId400" xr:uid="{00000000-0004-0000-0200-0000F8010000}"/>
    <hyperlink ref="AH1517" r:id="rId401" xr:uid="{00000000-0004-0000-0200-0000F7010000}"/>
    <hyperlink ref="AI1516" r:id="rId402" xr:uid="{00000000-0004-0000-0200-0000F6010000}"/>
    <hyperlink ref="AH1516" r:id="rId403" xr:uid="{00000000-0004-0000-0200-0000F5010000}"/>
    <hyperlink ref="AI1515" r:id="rId404" xr:uid="{00000000-0004-0000-0200-0000F4010000}"/>
    <hyperlink ref="AI1513" r:id="rId405" xr:uid="{00000000-0004-0000-0200-0000F3010000}"/>
    <hyperlink ref="AI1514" r:id="rId406" xr:uid="{00000000-0004-0000-0200-0000F2010000}"/>
    <hyperlink ref="AI1512" r:id="rId407" xr:uid="{00000000-0004-0000-0200-0000F1010000}"/>
    <hyperlink ref="AH1512" r:id="rId408" xr:uid="{00000000-0004-0000-0200-0000F0010000}"/>
    <hyperlink ref="AH1510" r:id="rId409" xr:uid="{00000000-0004-0000-0200-0000EF010000}"/>
    <hyperlink ref="AJ1511" r:id="rId410" xr:uid="{00000000-0004-0000-0200-0000EE010000}"/>
    <hyperlink ref="AI1504" r:id="rId411" xr:uid="{00000000-0004-0000-0200-0000ED010000}"/>
    <hyperlink ref="AH1504" r:id="rId412" xr:uid="{00000000-0004-0000-0200-0000EC010000}"/>
    <hyperlink ref="AI1503" r:id="rId413" xr:uid="{00000000-0004-0000-0200-0000EB010000}"/>
    <hyperlink ref="AH1503" r:id="rId414" xr:uid="{00000000-0004-0000-0200-0000EA010000}"/>
    <hyperlink ref="AI1502" r:id="rId415" xr:uid="{00000000-0004-0000-0200-0000E9010000}"/>
    <hyperlink ref="AH1502" r:id="rId416" xr:uid="{00000000-0004-0000-0200-0000E8010000}"/>
    <hyperlink ref="AI1501" r:id="rId417" xr:uid="{00000000-0004-0000-0200-0000E7010000}"/>
    <hyperlink ref="AH1501" r:id="rId418" xr:uid="{00000000-0004-0000-0200-0000E6010000}"/>
    <hyperlink ref="AI1500" r:id="rId419" xr:uid="{00000000-0004-0000-0200-0000E5010000}"/>
    <hyperlink ref="AH1498" r:id="rId420" xr:uid="{00000000-0004-0000-0200-0000E4010000}"/>
    <hyperlink ref="AH1499" r:id="rId421" xr:uid="{00000000-0004-0000-0200-0000E3010000}"/>
    <hyperlink ref="AI1497" r:id="rId422" xr:uid="{00000000-0004-0000-0200-0000E2010000}"/>
    <hyperlink ref="AI1496" r:id="rId423" xr:uid="{00000000-0004-0000-0200-0000E1010000}"/>
    <hyperlink ref="AI1495" r:id="rId424" xr:uid="{00000000-0004-0000-0200-0000E0010000}"/>
    <hyperlink ref="AH1492" r:id="rId425" xr:uid="{00000000-0004-0000-0200-0000DF010000}"/>
    <hyperlink ref="AH1490" r:id="rId426" xr:uid="{00000000-0004-0000-0200-0000DE010000}"/>
    <hyperlink ref="AJ1487" r:id="rId427" xr:uid="{00000000-0004-0000-0200-0000DD010000}"/>
    <hyperlink ref="AI1487" r:id="rId428" xr:uid="{00000000-0004-0000-0200-0000DC010000}"/>
    <hyperlink ref="AH1486" r:id="rId429" xr:uid="{00000000-0004-0000-0200-0000DB010000}"/>
    <hyperlink ref="AI1480" r:id="rId430" xr:uid="{00000000-0004-0000-0200-0000DA010000}"/>
    <hyperlink ref="AH1480" r:id="rId431" xr:uid="{00000000-0004-0000-0200-0000D9010000}"/>
    <hyperlink ref="AI1479" r:id="rId432" xr:uid="{00000000-0004-0000-0200-0000D8010000}"/>
    <hyperlink ref="AH1479" r:id="rId433" xr:uid="{00000000-0004-0000-0200-0000D7010000}"/>
    <hyperlink ref="AJ1478" r:id="rId434" xr:uid="{00000000-0004-0000-0200-0000D6010000}"/>
    <hyperlink ref="AI1478" r:id="rId435" xr:uid="{00000000-0004-0000-0200-0000D5010000}"/>
    <hyperlink ref="AH1478" r:id="rId436" xr:uid="{00000000-0004-0000-0200-0000D4010000}"/>
    <hyperlink ref="AI1477" r:id="rId437" xr:uid="{00000000-0004-0000-0200-0000D3010000}"/>
    <hyperlink ref="AH1477" r:id="rId438" xr:uid="{00000000-0004-0000-0200-0000D2010000}"/>
    <hyperlink ref="AI1476" r:id="rId439" xr:uid="{00000000-0004-0000-0200-0000D1010000}"/>
    <hyperlink ref="AH1476" r:id="rId440" xr:uid="{00000000-0004-0000-0200-0000D0010000}"/>
    <hyperlink ref="AH1475" r:id="rId441" xr:uid="{00000000-0004-0000-0200-0000CF010000}"/>
    <hyperlink ref="AH1474" r:id="rId442" xr:uid="{00000000-0004-0000-0200-0000CE010000}"/>
    <hyperlink ref="AH1473" r:id="rId443" xr:uid="{00000000-0004-0000-0200-0000CD010000}"/>
    <hyperlink ref="AJ1470" r:id="rId444" xr:uid="{00000000-0004-0000-0200-0000CC010000}"/>
    <hyperlink ref="AJ1468" r:id="rId445" xr:uid="{00000000-0004-0000-0200-0000CB010000}"/>
    <hyperlink ref="AI1468" r:id="rId446" xr:uid="{00000000-0004-0000-0200-0000CA010000}"/>
    <hyperlink ref="AH1468" r:id="rId447" xr:uid="{00000000-0004-0000-0200-0000C9010000}"/>
    <hyperlink ref="AJ1467" r:id="rId448" xr:uid="{00000000-0004-0000-0200-0000C8010000}"/>
    <hyperlink ref="AI1467" r:id="rId449" xr:uid="{00000000-0004-0000-0200-0000C7010000}"/>
    <hyperlink ref="AH1467" r:id="rId450" xr:uid="{00000000-0004-0000-0200-0000C6010000}"/>
    <hyperlink ref="AI1466" r:id="rId451" xr:uid="{00000000-0004-0000-0200-0000C5010000}"/>
    <hyperlink ref="AH1466" r:id="rId452" xr:uid="{00000000-0004-0000-0200-0000C4010000}"/>
    <hyperlink ref="AH1465" r:id="rId453" xr:uid="{00000000-0004-0000-0200-0000C3010000}"/>
    <hyperlink ref="AI1463" r:id="rId454" xr:uid="{00000000-0004-0000-0200-0000C2010000}"/>
    <hyperlink ref="AI1464" r:id="rId455" xr:uid="{00000000-0004-0000-0200-0000C1010000}"/>
    <hyperlink ref="AI1462" r:id="rId456" xr:uid="{00000000-0004-0000-0200-0000C0010000}"/>
    <hyperlink ref="AH1462" r:id="rId457" xr:uid="{00000000-0004-0000-0200-0000BF010000}"/>
    <hyperlink ref="AI1461" r:id="rId458" xr:uid="{00000000-0004-0000-0200-0000BE010000}"/>
    <hyperlink ref="AH1461" r:id="rId459" xr:uid="{00000000-0004-0000-0200-0000BD010000}"/>
    <hyperlink ref="AI1460" r:id="rId460" xr:uid="{00000000-0004-0000-0200-0000BC010000}"/>
    <hyperlink ref="AH1460" r:id="rId461" xr:uid="{00000000-0004-0000-0200-0000BB010000}"/>
    <hyperlink ref="AJ1458" r:id="rId462" xr:uid="{00000000-0004-0000-0200-0000BA010000}"/>
    <hyperlink ref="AI1458" r:id="rId463" xr:uid="{00000000-0004-0000-0200-0000B9010000}"/>
    <hyperlink ref="AJ1457" r:id="rId464" xr:uid="{00000000-0004-0000-0200-0000B8010000}"/>
    <hyperlink ref="AI1457" r:id="rId465" xr:uid="{00000000-0004-0000-0200-0000B7010000}"/>
    <hyperlink ref="AI1456" r:id="rId466" xr:uid="{00000000-0004-0000-0200-0000B6010000}"/>
    <hyperlink ref="AH1456" r:id="rId467" xr:uid="{00000000-0004-0000-0200-0000B5010000}"/>
    <hyperlink ref="AI1455" r:id="rId468" xr:uid="{00000000-0004-0000-0200-0000B4010000}"/>
    <hyperlink ref="AH1455" r:id="rId469" xr:uid="{00000000-0004-0000-0200-0000B3010000}"/>
    <hyperlink ref="AH1453" r:id="rId470" xr:uid="{00000000-0004-0000-0200-0000B2010000}"/>
    <hyperlink ref="AH1454" r:id="rId471" xr:uid="{00000000-0004-0000-0200-0000B1010000}"/>
    <hyperlink ref="AH1452" r:id="rId472" xr:uid="{00000000-0004-0000-0200-0000B0010000}"/>
    <hyperlink ref="AJ1447" r:id="rId473" xr:uid="{00000000-0004-0000-0200-0000AE010000}"/>
    <hyperlink ref="AI1447" r:id="rId474" xr:uid="{00000000-0004-0000-0200-0000AD010000}"/>
    <hyperlink ref="AH1447" r:id="rId475" xr:uid="{00000000-0004-0000-0200-0000AC010000}"/>
    <hyperlink ref="AJ1446" r:id="rId476" xr:uid="{00000000-0004-0000-0200-0000AB010000}"/>
    <hyperlink ref="AI1446" r:id="rId477" xr:uid="{00000000-0004-0000-0200-0000AA010000}"/>
    <hyperlink ref="AH1446" r:id="rId478" xr:uid="{00000000-0004-0000-0200-0000A9010000}"/>
    <hyperlink ref="AH1441" r:id="rId479" xr:uid="{00000000-0004-0000-0200-0000A8010000}"/>
    <hyperlink ref="AH1440" r:id="rId480" xr:uid="{00000000-0004-0000-0200-0000A7010000}"/>
    <hyperlink ref="AI1439" r:id="rId481" xr:uid="{00000000-0004-0000-0200-0000A6010000}"/>
    <hyperlink ref="AI1438" r:id="rId482" xr:uid="{00000000-0004-0000-0200-0000A5010000}"/>
    <hyperlink ref="AH1437" r:id="rId483" xr:uid="{00000000-0004-0000-0200-0000A4010000}"/>
    <hyperlink ref="AI1436" r:id="rId484" display="http://publicus.hu/blog/partok_tamogatottsaga_szakertoi_becsles_2018_aprilis/" xr:uid="{00000000-0004-0000-0200-0000A3010000}"/>
    <hyperlink ref="AH1436" r:id="rId485" xr:uid="{00000000-0004-0000-0200-0000A2010000}"/>
    <hyperlink ref="AI1427" r:id="rId486" xr:uid="{00000000-0004-0000-0200-0000A1010000}"/>
    <hyperlink ref="AH1427" r:id="rId487" xr:uid="{00000000-0004-0000-0200-0000A0010000}"/>
    <hyperlink ref="AI1428" r:id="rId488" xr:uid="{00000000-0004-0000-0200-00009F010000}"/>
    <hyperlink ref="AH1428" r:id="rId489" xr:uid="{00000000-0004-0000-0200-00009E010000}"/>
    <hyperlink ref="AI1426" r:id="rId490" xr:uid="{00000000-0004-0000-0200-00009D010000}"/>
    <hyperlink ref="AH1426" r:id="rId491" xr:uid="{00000000-0004-0000-0200-00009C010000}"/>
    <hyperlink ref="AJ1424" r:id="rId492" xr:uid="{00000000-0004-0000-0200-00009B010000}"/>
    <hyperlink ref="AI1424" r:id="rId493" xr:uid="{00000000-0004-0000-0200-00009A010000}"/>
    <hyperlink ref="AH1424" r:id="rId494" xr:uid="{00000000-0004-0000-0200-000099010000}"/>
    <hyperlink ref="AJ1425" r:id="rId495" xr:uid="{00000000-0004-0000-0200-000098010000}"/>
    <hyperlink ref="AI1425" r:id="rId496" xr:uid="{00000000-0004-0000-0200-000097010000}"/>
    <hyperlink ref="AJ1423" r:id="rId497" xr:uid="{00000000-0004-0000-0200-000095010000}"/>
    <hyperlink ref="AI1423" r:id="rId498" xr:uid="{00000000-0004-0000-0200-000094010000}"/>
    <hyperlink ref="AH1423" r:id="rId499" xr:uid="{00000000-0004-0000-0200-000093010000}"/>
    <hyperlink ref="AH1419" r:id="rId500" xr:uid="{00000000-0004-0000-0200-000092010000}"/>
    <hyperlink ref="AH1418" r:id="rId501" xr:uid="{00000000-0004-0000-0200-000091010000}"/>
    <hyperlink ref="AI1415" r:id="rId502" xr:uid="{00000000-0004-0000-0200-000090010000}"/>
    <hyperlink ref="AH1415" r:id="rId503" xr:uid="{00000000-0004-0000-0200-00008F010000}"/>
    <hyperlink ref="AI1414" r:id="rId504" xr:uid="{00000000-0004-0000-0200-00008E010000}"/>
    <hyperlink ref="AH1414" r:id="rId505" xr:uid="{00000000-0004-0000-0200-00008D010000}"/>
    <hyperlink ref="AH1412" r:id="rId506" xr:uid="{00000000-0004-0000-0200-00008B010000}"/>
    <hyperlink ref="AH1411" r:id="rId507" xr:uid="{00000000-0004-0000-0200-00008A010000}"/>
    <hyperlink ref="AJ1408" r:id="rId508" xr:uid="{00000000-0004-0000-0200-000089010000}"/>
    <hyperlink ref="AH1408" r:id="rId509" xr:uid="{00000000-0004-0000-0200-000088010000}"/>
    <hyperlink ref="AJ1407" r:id="rId510" xr:uid="{00000000-0004-0000-0200-000087010000}"/>
    <hyperlink ref="AJ1406" r:id="rId511" xr:uid="{00000000-0004-0000-0200-000086010000}"/>
    <hyperlink ref="AH1406" r:id="rId512" xr:uid="{00000000-0004-0000-0200-000085010000}"/>
    <hyperlink ref="AI1403" r:id="rId513" xr:uid="{00000000-0004-0000-0200-000084010000}"/>
    <hyperlink ref="AH1401" r:id="rId514" xr:uid="{00000000-0004-0000-0200-000083010000}"/>
    <hyperlink ref="AH1400" r:id="rId515" xr:uid="{00000000-0004-0000-0200-000082010000}"/>
    <hyperlink ref="AH1399" r:id="rId516" xr:uid="{00000000-0004-0000-0200-000081010000}"/>
    <hyperlink ref="AH1398" r:id="rId517" xr:uid="{00000000-0004-0000-0200-000080010000}"/>
    <hyperlink ref="AH1397" r:id="rId518" xr:uid="{00000000-0004-0000-0200-00007F010000}"/>
    <hyperlink ref="AH1396" r:id="rId519" xr:uid="{00000000-0004-0000-0200-00007E010000}"/>
    <hyperlink ref="AH1395" r:id="rId520" xr:uid="{00000000-0004-0000-0200-00007D010000}"/>
    <hyperlink ref="AH1392" r:id="rId521" xr:uid="{00000000-0004-0000-0200-00007C010000}"/>
    <hyperlink ref="AH1393" r:id="rId522" xr:uid="{00000000-0004-0000-0200-00007B010000}"/>
    <hyperlink ref="AH1391" r:id="rId523" xr:uid="{00000000-0004-0000-0200-00007A010000}"/>
    <hyperlink ref="AH1389" r:id="rId524" xr:uid="{00000000-0004-0000-0200-000079010000}"/>
    <hyperlink ref="AH1388" r:id="rId525" xr:uid="{00000000-0004-0000-0200-000078010000}"/>
    <hyperlink ref="AH1386" r:id="rId526" xr:uid="{00000000-0004-0000-0200-000077010000}"/>
    <hyperlink ref="AJ1383" r:id="rId527" xr:uid="{00000000-0004-0000-0200-000076010000}"/>
    <hyperlink ref="AH1383" r:id="rId528" xr:uid="{00000000-0004-0000-0200-000075010000}"/>
    <hyperlink ref="AH1380" r:id="rId529" xr:uid="{00000000-0004-0000-0200-000074010000}"/>
    <hyperlink ref="AH1375" r:id="rId530" xr:uid="{00000000-0004-0000-0200-000073010000}"/>
    <hyperlink ref="AH1373" r:id="rId531" xr:uid="{00000000-0004-0000-0200-000072010000}"/>
    <hyperlink ref="AH1372" r:id="rId532" xr:uid="{00000000-0004-0000-0200-000071010000}"/>
    <hyperlink ref="AJ1369" r:id="rId533" xr:uid="{00000000-0004-0000-0200-000070010000}"/>
    <hyperlink ref="AH1369" r:id="rId534" xr:uid="{00000000-0004-0000-0200-00006F010000}"/>
    <hyperlink ref="AH1366" r:id="rId535" xr:uid="{00000000-0004-0000-0200-00006E010000}"/>
    <hyperlink ref="AH1365" r:id="rId536" xr:uid="{00000000-0004-0000-0200-00006D010000}"/>
    <hyperlink ref="AI1364" r:id="rId537" xr:uid="{00000000-0004-0000-0200-00006C010000}"/>
    <hyperlink ref="AH1364" r:id="rId538" xr:uid="{00000000-0004-0000-0200-00006B010000}"/>
    <hyperlink ref="AJ1363" r:id="rId539" xr:uid="{00000000-0004-0000-0200-00006A010000}"/>
    <hyperlink ref="AH1363" r:id="rId540" xr:uid="{00000000-0004-0000-0200-000069010000}"/>
    <hyperlink ref="AJ1362" r:id="rId541" xr:uid="{00000000-0004-0000-0200-000068010000}"/>
    <hyperlink ref="AJ1361" r:id="rId542" xr:uid="{00000000-0004-0000-0200-000067010000}"/>
    <hyperlink ref="AI1361" r:id="rId543" xr:uid="{00000000-0004-0000-0200-000066010000}"/>
    <hyperlink ref="AI1360" r:id="rId544" xr:uid="{00000000-0004-0000-0200-000065010000}"/>
    <hyperlink ref="AH1358" r:id="rId545" xr:uid="{00000000-0004-0000-0200-000064010000}"/>
    <hyperlink ref="AH1357" r:id="rId546" xr:uid="{00000000-0004-0000-0200-000063010000}"/>
    <hyperlink ref="AH1355" r:id="rId547" xr:uid="{00000000-0004-0000-0200-000062010000}"/>
    <hyperlink ref="AH1356" r:id="rId548" xr:uid="{00000000-0004-0000-0200-000061010000}"/>
    <hyperlink ref="AH1354" r:id="rId549" xr:uid="{00000000-0004-0000-0200-000060010000}"/>
    <hyperlink ref="AJ1351" r:id="rId550" xr:uid="{00000000-0004-0000-0200-00005F010000}"/>
    <hyperlink ref="AI1351" r:id="rId551" xr:uid="{00000000-0004-0000-0200-00005E010000}"/>
    <hyperlink ref="AH1351" r:id="rId552" xr:uid="{00000000-0004-0000-0200-00005D010000}"/>
    <hyperlink ref="AJ1352" r:id="rId553" xr:uid="{00000000-0004-0000-0200-00005C010000}"/>
    <hyperlink ref="AI1352" r:id="rId554" xr:uid="{00000000-0004-0000-0200-00005B010000}"/>
    <hyperlink ref="AI1350" r:id="rId555" xr:uid="{00000000-0004-0000-0200-00005A010000}"/>
    <hyperlink ref="AH1347" r:id="rId556" xr:uid="{00000000-0004-0000-0200-000059010000}"/>
    <hyperlink ref="AH1344" r:id="rId557" xr:uid="{00000000-0004-0000-0200-000058010000}"/>
    <hyperlink ref="AH1342" r:id="rId558" xr:uid="{00000000-0004-0000-0200-000057010000}"/>
    <hyperlink ref="AJ1333" r:id="rId559" xr:uid="{00000000-0004-0000-0200-000056010000}"/>
    <hyperlink ref="AJ1328" r:id="rId560" xr:uid="{00000000-0004-0000-0200-000055010000}"/>
    <hyperlink ref="AI1328" r:id="rId561" xr:uid="{00000000-0004-0000-0200-000054010000}"/>
    <hyperlink ref="AI1327" r:id="rId562" xr:uid="{00000000-0004-0000-0200-000053010000}"/>
    <hyperlink ref="AH1327" r:id="rId563" xr:uid="{00000000-0004-0000-0200-000052010000}"/>
    <hyperlink ref="AI1326" r:id="rId564" xr:uid="{00000000-0004-0000-0200-000051010000}"/>
    <hyperlink ref="AH1326" r:id="rId565" xr:uid="{00000000-0004-0000-0200-000050010000}"/>
    <hyperlink ref="AH1324" r:id="rId566" xr:uid="{00000000-0004-0000-0200-00004F010000}"/>
    <hyperlink ref="AH1325" r:id="rId567" xr:uid="{00000000-0004-0000-0200-00004E010000}"/>
    <hyperlink ref="AH1323" r:id="rId568" xr:uid="{00000000-0004-0000-0200-00004D010000}"/>
    <hyperlink ref="AH1317" r:id="rId569" xr:uid="{00000000-0004-0000-0200-00004C010000}"/>
    <hyperlink ref="AJ1313" r:id="rId570" xr:uid="{00000000-0004-0000-0200-00004B010000}"/>
    <hyperlink ref="AH1313" r:id="rId571" xr:uid="{00000000-0004-0000-0200-00004A010000}"/>
    <hyperlink ref="AJ1314" r:id="rId572" xr:uid="{00000000-0004-0000-0200-000049010000}"/>
    <hyperlink ref="AH1314" r:id="rId573" xr:uid="{00000000-0004-0000-0200-000048010000}"/>
    <hyperlink ref="AJ1312" r:id="rId574" xr:uid="{00000000-0004-0000-0200-000047010000}"/>
    <hyperlink ref="AJ1311" r:id="rId575" xr:uid="{00000000-0004-0000-0200-000046010000}"/>
    <hyperlink ref="AI1309" r:id="rId576" xr:uid="{00000000-0004-0000-0200-000045010000}"/>
    <hyperlink ref="AI1303" r:id="rId577" xr:uid="{00000000-0004-0000-0200-000044010000}"/>
    <hyperlink ref="AH1302" r:id="rId578" xr:uid="{00000000-0004-0000-0200-000043010000}"/>
    <hyperlink ref="AH1301" r:id="rId579" xr:uid="{00000000-0004-0000-0200-000042010000}"/>
    <hyperlink ref="AH1300" r:id="rId580" xr:uid="{00000000-0004-0000-0200-000041010000}"/>
    <hyperlink ref="AH1298" r:id="rId581" xr:uid="{00000000-0004-0000-0200-000040010000}"/>
    <hyperlink ref="AH1299" r:id="rId582" xr:uid="{00000000-0004-0000-0200-00003F010000}"/>
    <hyperlink ref="AH1293" r:id="rId583" xr:uid="{00000000-0004-0000-0200-00003E010000}"/>
    <hyperlink ref="AJ1291" r:id="rId584" xr:uid="{00000000-0004-0000-0200-00003D010000}"/>
    <hyperlink ref="AJ1292" r:id="rId585" xr:uid="{00000000-0004-0000-0200-00003C010000}"/>
    <hyperlink ref="AJ1290" r:id="rId586" xr:uid="{00000000-0004-0000-0200-00003B010000}"/>
    <hyperlink ref="AH1285" r:id="rId587" xr:uid="{00000000-0004-0000-0200-00003A010000}"/>
    <hyperlink ref="AH1284" r:id="rId588" xr:uid="{00000000-0004-0000-0200-000039010000}"/>
    <hyperlink ref="AH1282" r:id="rId589" xr:uid="{00000000-0004-0000-0200-000038010000}"/>
    <hyperlink ref="AH1281" r:id="rId590" xr:uid="{00000000-0004-0000-0200-000037010000}"/>
    <hyperlink ref="AJ1278" r:id="rId591" xr:uid="{00000000-0004-0000-0200-000036010000}"/>
    <hyperlink ref="AJ1277" r:id="rId592" xr:uid="{00000000-0004-0000-0200-000035010000}"/>
    <hyperlink ref="AI1276" r:id="rId593" xr:uid="{00000000-0004-0000-0200-000034010000}"/>
    <hyperlink ref="AI1275" r:id="rId594" xr:uid="{00000000-0004-0000-0200-000033010000}"/>
    <hyperlink ref="AH1273" r:id="rId595" xr:uid="{00000000-0004-0000-0200-000032010000}"/>
    <hyperlink ref="AI1272" r:id="rId596" xr:uid="{00000000-0004-0000-0200-000031010000}"/>
    <hyperlink ref="AI1271" r:id="rId597" xr:uid="{00000000-0004-0000-0200-000030010000}"/>
    <hyperlink ref="AI1269" r:id="rId598" xr:uid="{00000000-0004-0000-0200-00002F010000}"/>
    <hyperlink ref="AH1269" r:id="rId599" xr:uid="{00000000-0004-0000-0200-00002E010000}"/>
    <hyperlink ref="AI1266" r:id="rId600" xr:uid="{00000000-0004-0000-0200-00002D010000}"/>
    <hyperlink ref="AJ1265" r:id="rId601" xr:uid="{00000000-0004-0000-0200-00002C010000}"/>
    <hyperlink ref="AI1265" r:id="rId602" xr:uid="{00000000-0004-0000-0200-00002B010000}"/>
    <hyperlink ref="AH1265" r:id="rId603" xr:uid="{00000000-0004-0000-0200-00002A010000}"/>
    <hyperlink ref="AJ1264" r:id="rId604" xr:uid="{00000000-0004-0000-0200-000029010000}"/>
    <hyperlink ref="AI1264" r:id="rId605" xr:uid="{00000000-0004-0000-0200-000028010000}"/>
    <hyperlink ref="AH1264" r:id="rId606" xr:uid="{00000000-0004-0000-0200-000027010000}"/>
    <hyperlink ref="AH1261" r:id="rId607" xr:uid="{00000000-0004-0000-0200-000026010000}"/>
    <hyperlink ref="AI1255" r:id="rId608" xr:uid="{00000000-0004-0000-0200-000025010000}"/>
    <hyperlink ref="AJ1254" r:id="rId609" xr:uid="{00000000-0004-0000-0200-000024010000}"/>
    <hyperlink ref="AI1254" r:id="rId610" xr:uid="{00000000-0004-0000-0200-000023010000}"/>
    <hyperlink ref="AH1254" r:id="rId611" xr:uid="{00000000-0004-0000-0200-000022010000}"/>
    <hyperlink ref="AH1247" r:id="rId612" xr:uid="{00000000-0004-0000-0200-000021010000}"/>
    <hyperlink ref="AJ1245" r:id="rId613" xr:uid="{00000000-0004-0000-0200-000020010000}"/>
    <hyperlink ref="AH1245" r:id="rId614" xr:uid="{00000000-0004-0000-0200-00001F010000}"/>
    <hyperlink ref="AJ1244" r:id="rId615" xr:uid="{00000000-0004-0000-0200-00001E010000}"/>
    <hyperlink ref="AH1244" r:id="rId616" xr:uid="{00000000-0004-0000-0200-00001D010000}"/>
    <hyperlink ref="AJ1241" r:id="rId617" xr:uid="{00000000-0004-0000-0200-00001C010000}"/>
    <hyperlink ref="AH1241" r:id="rId618" xr:uid="{00000000-0004-0000-0200-00001B010000}"/>
    <hyperlink ref="AJ1239" r:id="rId619" xr:uid="{00000000-0004-0000-0200-00001A010000}"/>
    <hyperlink ref="AH1239" r:id="rId620" xr:uid="{00000000-0004-0000-0200-000019010000}"/>
    <hyperlink ref="AH1237" r:id="rId621" xr:uid="{00000000-0004-0000-0200-000018010000}"/>
    <hyperlink ref="AH1235" r:id="rId622" xr:uid="{00000000-0004-0000-0200-000017010000}"/>
    <hyperlink ref="AH1236" r:id="rId623" xr:uid="{00000000-0004-0000-0200-000016010000}"/>
    <hyperlink ref="AI1233" r:id="rId624" xr:uid="{00000000-0004-0000-0200-000015010000}"/>
    <hyperlink ref="AH1233" r:id="rId625" xr:uid="{00000000-0004-0000-0200-000014010000}"/>
    <hyperlink ref="AH1234" r:id="rId626" xr:uid="{00000000-0004-0000-0200-000013010000}"/>
    <hyperlink ref="AH1231" r:id="rId627" xr:uid="{00000000-0004-0000-0200-000012010000}"/>
    <hyperlink ref="AJ1230" r:id="rId628" xr:uid="{00000000-0004-0000-0200-000011010000}"/>
    <hyperlink ref="AJ1229" r:id="rId629" xr:uid="{00000000-0004-0000-0200-000010010000}"/>
    <hyperlink ref="AI1229" r:id="rId630" xr:uid="{00000000-0004-0000-0200-00000F010000}"/>
    <hyperlink ref="AH1223" r:id="rId631" xr:uid="{00000000-0004-0000-0200-00000E010000}"/>
    <hyperlink ref="AJ1222" r:id="rId632" xr:uid="{00000000-0004-0000-0200-00000D010000}"/>
    <hyperlink ref="AI1222" r:id="rId633" xr:uid="{00000000-0004-0000-0200-00000C010000}"/>
    <hyperlink ref="AH1222" r:id="rId634" xr:uid="{00000000-0004-0000-0200-00000B010000}"/>
    <hyperlink ref="AJ1212" r:id="rId635" xr:uid="{00000000-0004-0000-0200-00000A010000}"/>
    <hyperlink ref="AH1212" r:id="rId636" xr:uid="{00000000-0004-0000-0200-000009010000}"/>
    <hyperlink ref="AH1207" r:id="rId637" xr:uid="{00000000-0004-0000-0200-000008010000}"/>
    <hyperlink ref="AJ1204" r:id="rId638" xr:uid="{00000000-0004-0000-0200-000007010000}"/>
    <hyperlink ref="AH1204" r:id="rId639" xr:uid="{00000000-0004-0000-0200-000006010000}"/>
    <hyperlink ref="AH1203" r:id="rId640" xr:uid="{00000000-0004-0000-0200-000005010000}"/>
    <hyperlink ref="AJ1202" r:id="rId641" xr:uid="{00000000-0004-0000-0200-000004010000}"/>
    <hyperlink ref="AH1200" r:id="rId642" xr:uid="{00000000-0004-0000-0200-000003010000}"/>
    <hyperlink ref="AH1197" r:id="rId643" xr:uid="{00000000-0004-0000-0200-000002010000}"/>
    <hyperlink ref="AH1199" r:id="rId644" xr:uid="{00000000-0004-0000-0200-000001010000}"/>
    <hyperlink ref="AH1198" r:id="rId645" xr:uid="{00000000-0004-0000-0200-000000010000}"/>
    <hyperlink ref="AI1192" r:id="rId646" xr:uid="{00000000-0004-0000-0200-0000FF000000}"/>
    <hyperlink ref="AH1192" r:id="rId647" xr:uid="{00000000-0004-0000-0200-0000FE000000}"/>
    <hyperlink ref="AH1193" r:id="rId648" xr:uid="{00000000-0004-0000-0200-0000FD000000}"/>
    <hyperlink ref="AI1190" r:id="rId649" xr:uid="{00000000-0004-0000-0200-0000FC000000}"/>
    <hyperlink ref="AI1191" r:id="rId650" xr:uid="{00000000-0004-0000-0200-0000FB000000}"/>
    <hyperlink ref="AH1189" r:id="rId651" xr:uid="{00000000-0004-0000-0200-0000FA000000}"/>
    <hyperlink ref="AI1187" r:id="rId652" xr:uid="{00000000-0004-0000-0200-0000F9000000}"/>
    <hyperlink ref="AH1187" r:id="rId653" xr:uid="{00000000-0004-0000-0200-0000F8000000}"/>
    <hyperlink ref="AH1184" r:id="rId654" xr:uid="{00000000-0004-0000-0200-0000F7000000}"/>
    <hyperlink ref="AH1182" r:id="rId655" xr:uid="{00000000-0004-0000-0200-0000F6000000}"/>
    <hyperlink ref="AH1179" r:id="rId656" xr:uid="{00000000-0004-0000-0200-0000F5000000}"/>
    <hyperlink ref="AH1181" r:id="rId657" xr:uid="{00000000-0004-0000-0200-0000F4000000}"/>
    <hyperlink ref="AI1180" r:id="rId658" xr:uid="{00000000-0004-0000-0200-0000F3000000}"/>
    <hyperlink ref="AH1180" r:id="rId659" xr:uid="{00000000-0004-0000-0200-0000F2000000}"/>
    <hyperlink ref="AJ1178" r:id="rId660" xr:uid="{00000000-0004-0000-0200-0000F1000000}"/>
    <hyperlink ref="AJ1176" r:id="rId661" xr:uid="{00000000-0004-0000-0200-0000F0000000}"/>
    <hyperlink ref="AH1176" r:id="rId662" xr:uid="{00000000-0004-0000-0200-0000EF000000}"/>
    <hyperlink ref="AI1174" r:id="rId663" xr:uid="{00000000-0004-0000-0200-0000EE000000}"/>
    <hyperlink ref="AH1174" r:id="rId664" xr:uid="{00000000-0004-0000-0200-0000ED000000}"/>
    <hyperlink ref="AJ1173" r:id="rId665" xr:uid="{00000000-0004-0000-0200-0000EC000000}"/>
    <hyperlink ref="AI1171" r:id="rId666" xr:uid="{00000000-0004-0000-0200-0000EB000000}"/>
    <hyperlink ref="AJ1166" r:id="rId667" xr:uid="{00000000-0004-0000-0200-0000EA000000}"/>
    <hyperlink ref="AI1166" r:id="rId668" xr:uid="{00000000-0004-0000-0200-0000E9000000}"/>
    <hyperlink ref="AJ1163" r:id="rId669" xr:uid="{00000000-0004-0000-0200-0000E8000000}"/>
    <hyperlink ref="AI1163" r:id="rId670" xr:uid="{00000000-0004-0000-0200-0000E7000000}"/>
    <hyperlink ref="AJ1165" r:id="rId671" xr:uid="{00000000-0004-0000-0200-0000E6000000}"/>
    <hyperlink ref="AI1165" r:id="rId672" xr:uid="{00000000-0004-0000-0200-0000E5000000}"/>
    <hyperlink ref="AI1160" r:id="rId673" xr:uid="{00000000-0004-0000-0200-0000E4000000}"/>
    <hyperlink ref="AI1161" r:id="rId674" xr:uid="{00000000-0004-0000-0200-0000E3000000}"/>
    <hyperlink ref="AJ1154" r:id="rId675" xr:uid="{00000000-0004-0000-0200-0000E2000000}"/>
    <hyperlink ref="AI1152" r:id="rId676" xr:uid="{00000000-0004-0000-0200-0000E1000000}"/>
    <hyperlink ref="AH1152" r:id="rId677" xr:uid="{00000000-0004-0000-0200-0000E0000000}"/>
    <hyperlink ref="AI1153" r:id="rId678" xr:uid="{00000000-0004-0000-0200-0000DF000000}"/>
    <hyperlink ref="AH1153" r:id="rId679" xr:uid="{00000000-0004-0000-0200-0000DE000000}"/>
    <hyperlink ref="AJ1148" r:id="rId680" xr:uid="{00000000-0004-0000-0200-0000DD000000}"/>
    <hyperlink ref="AH1148" r:id="rId681" xr:uid="{00000000-0004-0000-0200-0000DC000000}"/>
    <hyperlink ref="AJ1150" r:id="rId682" xr:uid="{00000000-0004-0000-0200-0000DB000000}"/>
    <hyperlink ref="AJ1151" r:id="rId683" xr:uid="{00000000-0004-0000-0200-0000DA000000}"/>
    <hyperlink ref="AH1146" r:id="rId684" xr:uid="{00000000-0004-0000-0200-0000D9000000}"/>
    <hyperlink ref="AJ1144" r:id="rId685" xr:uid="{00000000-0004-0000-0200-0000D8000000}"/>
    <hyperlink ref="AJ1143" r:id="rId686" xr:uid="{00000000-0004-0000-0200-0000D7000000}"/>
    <hyperlink ref="AH1143" r:id="rId687" xr:uid="{00000000-0004-0000-0200-0000D6000000}"/>
    <hyperlink ref="AH1139" r:id="rId688" xr:uid="{00000000-0004-0000-0200-0000D5000000}"/>
    <hyperlink ref="AH1133" r:id="rId689" xr:uid="{00000000-0004-0000-0200-0000D4000000}"/>
    <hyperlink ref="AH1130" r:id="rId690" xr:uid="{00000000-0004-0000-0200-0000D3000000}"/>
    <hyperlink ref="AJ1116" r:id="rId691" xr:uid="{00000000-0004-0000-0200-0000D2000000}"/>
    <hyperlink ref="AH1117" r:id="rId692" xr:uid="{00000000-0004-0000-0200-0000D1000000}"/>
    <hyperlink ref="AH1114" r:id="rId693" xr:uid="{00000000-0004-0000-0200-0000D0000000}"/>
    <hyperlink ref="AJ1108" r:id="rId694" xr:uid="{00000000-0004-0000-0200-0000CF000000}"/>
    <hyperlink ref="AI1106" r:id="rId695" xr:uid="{00000000-0004-0000-0200-0000CE000000}"/>
    <hyperlink ref="AH1106" r:id="rId696" xr:uid="{00000000-0004-0000-0200-0000CD000000}"/>
    <hyperlink ref="AI1107" r:id="rId697" xr:uid="{00000000-0004-0000-0200-0000CC000000}"/>
    <hyperlink ref="AH1107" r:id="rId698" xr:uid="{00000000-0004-0000-0200-0000CB000000}"/>
    <hyperlink ref="AI1100" r:id="rId699" xr:uid="{00000000-0004-0000-0200-0000CA000000}"/>
    <hyperlink ref="AI1101" r:id="rId700" xr:uid="{00000000-0004-0000-0200-0000C9000000}"/>
    <hyperlink ref="AI1099" r:id="rId701" xr:uid="{00000000-0004-0000-0200-0000C8000000}"/>
    <hyperlink ref="AI1096" r:id="rId702" xr:uid="{00000000-0004-0000-0200-0000C7000000}"/>
    <hyperlink ref="AI1098" r:id="rId703" xr:uid="{00000000-0004-0000-0200-0000C6000000}"/>
    <hyperlink ref="AI1097" r:id="rId704" xr:uid="{00000000-0004-0000-0200-0000C5000000}"/>
    <hyperlink ref="AH1094" r:id="rId705" xr:uid="{00000000-0004-0000-0200-0000C4000000}"/>
    <hyperlink ref="AH1093" r:id="rId706" xr:uid="{00000000-0004-0000-0200-0000C3000000}"/>
    <hyperlink ref="AH1086" r:id="rId707" xr:uid="{00000000-0004-0000-0200-0000C2000000}"/>
    <hyperlink ref="AI1079" r:id="rId708" xr:uid="{00000000-0004-0000-0200-0000C1000000}"/>
    <hyperlink ref="AI1076" r:id="rId709" xr:uid="{00000000-0004-0000-0200-0000C0000000}"/>
    <hyperlink ref="AI1078" r:id="rId710" xr:uid="{00000000-0004-0000-0200-0000BF000000}"/>
    <hyperlink ref="AI1077" r:id="rId711" xr:uid="{00000000-0004-0000-0200-0000BE000000}"/>
    <hyperlink ref="AH1077" r:id="rId712" xr:uid="{00000000-0004-0000-0200-0000BD000000}"/>
    <hyperlink ref="AH1070" r:id="rId713" xr:uid="{00000000-0004-0000-0200-0000BC000000}"/>
    <hyperlink ref="AJ1069" r:id="rId714" xr:uid="{00000000-0004-0000-0200-0000BB000000}"/>
    <hyperlink ref="AH1053" r:id="rId715" xr:uid="{00000000-0004-0000-0200-0000BA000000}"/>
    <hyperlink ref="AH1042" r:id="rId716" xr:uid="{00000000-0004-0000-0200-0000B9000000}"/>
    <hyperlink ref="AH1023" r:id="rId717" location="fvp_3380,19m51s" xr:uid="{00000000-0004-0000-0200-0000B7000000}"/>
    <hyperlink ref="AI1015" r:id="rId718" xr:uid="{00000000-0004-0000-0200-0000B6000000}"/>
    <hyperlink ref="AI1014" r:id="rId719" xr:uid="{00000000-0004-0000-0200-0000B5000000}"/>
    <hyperlink ref="AI1007" r:id="rId720" xr:uid="{00000000-0004-0000-0200-0000B4000000}"/>
    <hyperlink ref="AH1007" r:id="rId721" xr:uid="{00000000-0004-0000-0200-0000B3000000}"/>
    <hyperlink ref="AI1008" r:id="rId722" xr:uid="{00000000-0004-0000-0200-0000B2000000}"/>
    <hyperlink ref="AH1000" r:id="rId723" xr:uid="{00000000-0004-0000-0200-0000B0000000}"/>
    <hyperlink ref="AH978" r:id="rId724" xr:uid="{00000000-0004-0000-0200-0000AF000000}"/>
    <hyperlink ref="AH971" r:id="rId725" xr:uid="{00000000-0004-0000-0200-0000AE000000}"/>
    <hyperlink ref="AH965" r:id="rId726" xr:uid="{00000000-0004-0000-0200-0000AD000000}"/>
    <hyperlink ref="AH956" r:id="rId727" xr:uid="{00000000-0004-0000-0200-0000AC000000}"/>
    <hyperlink ref="AH957" r:id="rId728" xr:uid="{00000000-0004-0000-0200-0000AB000000}"/>
    <hyperlink ref="AH958" r:id="rId729" xr:uid="{00000000-0004-0000-0200-0000AA000000}"/>
    <hyperlink ref="AH955" r:id="rId730" xr:uid="{00000000-0004-0000-0200-0000A9000000}"/>
    <hyperlink ref="AH943" r:id="rId731" xr:uid="{00000000-0004-0000-0200-0000A8000000}"/>
    <hyperlink ref="AI941" r:id="rId732" xr:uid="{00000000-0004-0000-0200-0000A7000000}"/>
    <hyperlink ref="AI942" r:id="rId733" xr:uid="{00000000-0004-0000-0200-0000A6000000}"/>
    <hyperlink ref="AI923" r:id="rId734" xr:uid="{00000000-0004-0000-0200-0000A5000000}"/>
    <hyperlink ref="AH922" r:id="rId735" xr:uid="{00000000-0004-0000-0200-0000A4000000}"/>
    <hyperlink ref="AI916" r:id="rId736" xr:uid="{00000000-0004-0000-0200-0000A3000000}"/>
    <hyperlink ref="AH916" r:id="rId737" xr:uid="{00000000-0004-0000-0200-0000A2000000}"/>
    <hyperlink ref="AJ912" r:id="rId738" xr:uid="{00000000-0004-0000-0200-0000A1000000}"/>
    <hyperlink ref="AJ911" r:id="rId739" xr:uid="{00000000-0004-0000-0200-0000A0000000}"/>
    <hyperlink ref="AI898" r:id="rId740" xr:uid="{00000000-0004-0000-0200-00009F000000}"/>
    <hyperlink ref="AH898" r:id="rId741" xr:uid="{00000000-0004-0000-0200-00009E000000}"/>
    <hyperlink ref="AJ896" r:id="rId742" xr:uid="{00000000-0004-0000-0200-00009D000000}"/>
    <hyperlink ref="AI887" r:id="rId743" xr:uid="{00000000-0004-0000-0200-00009C000000}"/>
    <hyperlink ref="AH884" r:id="rId744" xr:uid="{00000000-0004-0000-0200-00009B000000}"/>
    <hyperlink ref="AH883" r:id="rId745" xr:uid="{00000000-0004-0000-0200-00009A000000}"/>
    <hyperlink ref="AJ885" r:id="rId746" xr:uid="{00000000-0004-0000-0200-000099000000}"/>
    <hyperlink ref="AI882" r:id="rId747" xr:uid="{00000000-0004-0000-0200-000098000000}"/>
    <hyperlink ref="AI881" r:id="rId748" xr:uid="{00000000-0004-0000-0200-000097000000}"/>
    <hyperlink ref="AI879" r:id="rId749" xr:uid="{00000000-0004-0000-0200-000096000000}"/>
    <hyperlink ref="AI878" r:id="rId750" xr:uid="{00000000-0004-0000-0200-000095000000}"/>
    <hyperlink ref="AJ877" r:id="rId751" xr:uid="{00000000-0004-0000-0200-000094000000}"/>
    <hyperlink ref="AJ876" r:id="rId752" xr:uid="{00000000-0004-0000-0200-000093000000}"/>
    <hyperlink ref="AI876" r:id="rId753" xr:uid="{00000000-0004-0000-0200-000092000000}"/>
    <hyperlink ref="AJ873" r:id="rId754" xr:uid="{00000000-0004-0000-0200-000091000000}"/>
    <hyperlink ref="AH873" r:id="rId755" xr:uid="{00000000-0004-0000-0200-000090000000}"/>
    <hyperlink ref="AI871" r:id="rId756" xr:uid="{00000000-0004-0000-0200-00008F000000}"/>
    <hyperlink ref="AI870" r:id="rId757" xr:uid="{00000000-0004-0000-0200-00008E000000}"/>
    <hyperlink ref="AH870" r:id="rId758" xr:uid="{00000000-0004-0000-0200-00008D000000}"/>
    <hyperlink ref="AI865" r:id="rId759" xr:uid="{00000000-0004-0000-0200-00008C000000}"/>
    <hyperlink ref="AH863" r:id="rId760" xr:uid="{00000000-0004-0000-0200-00008B000000}"/>
    <hyperlink ref="AH861" r:id="rId761" xr:uid="{00000000-0004-0000-0200-00008A000000}"/>
    <hyperlink ref="AI855" r:id="rId762" xr:uid="{00000000-0004-0000-0200-000089000000}"/>
    <hyperlink ref="AH851" r:id="rId763" xr:uid="{00000000-0004-0000-0200-000088000000}"/>
    <hyperlink ref="AJ847" r:id="rId764" xr:uid="{00000000-0004-0000-0200-000087000000}"/>
    <hyperlink ref="AI847" r:id="rId765" xr:uid="{00000000-0004-0000-0200-000086000000}"/>
    <hyperlink ref="AH846" r:id="rId766" xr:uid="{00000000-0004-0000-0200-000085000000}"/>
    <hyperlink ref="AJ845" r:id="rId767" xr:uid="{00000000-0004-0000-0200-000084000000}"/>
    <hyperlink ref="AJ843" r:id="rId768" xr:uid="{00000000-0004-0000-0200-000083000000}"/>
    <hyperlink ref="AI838" r:id="rId769" xr:uid="{00000000-0004-0000-0200-000082000000}"/>
    <hyperlink ref="AH838" r:id="rId770" xr:uid="{00000000-0004-0000-0200-000081000000}"/>
    <hyperlink ref="AH830" r:id="rId771" xr:uid="{00000000-0004-0000-0200-000080000000}"/>
    <hyperlink ref="AH826" r:id="rId772" xr:uid="{00000000-0004-0000-0200-00007F000000}"/>
    <hyperlink ref="AH819" r:id="rId773" xr:uid="{00000000-0004-0000-0200-00007E000000}"/>
    <hyperlink ref="AH816" r:id="rId774" xr:uid="{00000000-0004-0000-0200-00007D000000}"/>
    <hyperlink ref="AH815" r:id="rId775" xr:uid="{00000000-0004-0000-0200-00007C000000}"/>
    <hyperlink ref="AI814" r:id="rId776" xr:uid="{00000000-0004-0000-0200-00007B000000}"/>
    <hyperlink ref="AH814" r:id="rId777" xr:uid="{00000000-0004-0000-0200-00007A000000}"/>
    <hyperlink ref="AH813" r:id="rId778" xr:uid="{00000000-0004-0000-0200-000079000000}"/>
    <hyperlink ref="AH812" r:id="rId779" xr:uid="{00000000-0004-0000-0200-000078000000}"/>
    <hyperlink ref="AJ811" r:id="rId780" xr:uid="{00000000-0004-0000-0200-000077000000}"/>
    <hyperlink ref="AH810" r:id="rId781" xr:uid="{00000000-0004-0000-0200-000076000000}"/>
    <hyperlink ref="AI809" r:id="rId782" xr:uid="{00000000-0004-0000-0200-000075000000}"/>
    <hyperlink ref="AH809" r:id="rId783" xr:uid="{00000000-0004-0000-0200-000074000000}"/>
    <hyperlink ref="AJ805" r:id="rId784" xr:uid="{00000000-0004-0000-0200-000073000000}"/>
    <hyperlink ref="AJ803" r:id="rId785" xr:uid="{00000000-0004-0000-0200-000072000000}"/>
    <hyperlink ref="AI803" r:id="rId786" xr:uid="{00000000-0004-0000-0200-000071000000}"/>
    <hyperlink ref="AH803" r:id="rId787" xr:uid="{00000000-0004-0000-0200-000070000000}"/>
    <hyperlink ref="AJ804" r:id="rId788" xr:uid="{00000000-0004-0000-0200-00006F000000}"/>
    <hyperlink ref="AJ801" r:id="rId789" xr:uid="{00000000-0004-0000-0200-00006E000000}"/>
    <hyperlink ref="AJ800" r:id="rId790" xr:uid="{00000000-0004-0000-0200-00006D000000}"/>
    <hyperlink ref="AH800" r:id="rId791" xr:uid="{00000000-0004-0000-0200-00006C000000}"/>
    <hyperlink ref="AJ797" r:id="rId792" xr:uid="{00000000-0004-0000-0200-00006B000000}"/>
    <hyperlink ref="AH796" r:id="rId793" xr:uid="{00000000-0004-0000-0200-00006A000000}"/>
    <hyperlink ref="AJ792" r:id="rId794" xr:uid="{00000000-0004-0000-0200-000069000000}"/>
    <hyperlink ref="AJ793" r:id="rId795" xr:uid="{00000000-0004-0000-0200-000068000000}"/>
    <hyperlink ref="AJ789" r:id="rId796" xr:uid="{00000000-0004-0000-0200-000067000000}"/>
    <hyperlink ref="AI784" r:id="rId797" xr:uid="{00000000-0004-0000-0200-000066000000}"/>
    <hyperlink ref="AJ780" r:id="rId798" xr:uid="{00000000-0004-0000-0200-000065000000}"/>
    <hyperlink ref="AJ781" r:id="rId799" xr:uid="{00000000-0004-0000-0200-000064000000}"/>
    <hyperlink ref="AJ778" r:id="rId800" xr:uid="{00000000-0004-0000-0200-000063000000}"/>
    <hyperlink ref="AH779" r:id="rId801" xr:uid="{00000000-0004-0000-0200-000062000000}"/>
    <hyperlink ref="AH777" r:id="rId802" xr:uid="{00000000-0004-0000-0200-000061000000}"/>
    <hyperlink ref="AH776" r:id="rId803" xr:uid="{00000000-0004-0000-0200-000060000000}"/>
    <hyperlink ref="AJ774" r:id="rId804" xr:uid="{00000000-0004-0000-0200-00005F000000}"/>
    <hyperlink ref="AJ771" r:id="rId805" xr:uid="{00000000-0004-0000-0200-00005E000000}"/>
    <hyperlink ref="AI771" r:id="rId806" xr:uid="{00000000-0004-0000-0200-00005D000000}"/>
    <hyperlink ref="AJ770" r:id="rId807" xr:uid="{00000000-0004-0000-0200-00005C000000}"/>
    <hyperlink ref="AJ769" r:id="rId808" xr:uid="{00000000-0004-0000-0200-00005B000000}"/>
    <hyperlink ref="AH768" r:id="rId809" xr:uid="{00000000-0004-0000-0200-00005A000000}"/>
    <hyperlink ref="AJ766" r:id="rId810" xr:uid="{00000000-0004-0000-0200-000059000000}"/>
    <hyperlink ref="AI764" r:id="rId811" xr:uid="{00000000-0004-0000-0200-000058000000}"/>
    <hyperlink ref="AJ763" r:id="rId812" xr:uid="{00000000-0004-0000-0200-000057000000}"/>
    <hyperlink ref="AH763" r:id="rId813" xr:uid="{00000000-0004-0000-0200-000056000000}"/>
    <hyperlink ref="AI762" r:id="rId814" xr:uid="{00000000-0004-0000-0200-000055000000}"/>
    <hyperlink ref="AJ761" r:id="rId815" xr:uid="{00000000-0004-0000-0200-000054000000}"/>
    <hyperlink ref="AI759" r:id="rId816" xr:uid="{00000000-0004-0000-0200-000053000000}"/>
    <hyperlink ref="AJ757" r:id="rId817" xr:uid="{00000000-0004-0000-0200-000052000000}"/>
    <hyperlink ref="AI754" r:id="rId818" xr:uid="{00000000-0004-0000-0200-000051000000}"/>
    <hyperlink ref="AJ750" r:id="rId819" xr:uid="{00000000-0004-0000-0200-000050000000}"/>
    <hyperlink ref="AI749" r:id="rId820" xr:uid="{00000000-0004-0000-0200-00004F000000}"/>
    <hyperlink ref="AI748" r:id="rId821" xr:uid="{00000000-0004-0000-0200-00004E000000}"/>
    <hyperlink ref="AJ743" r:id="rId822" xr:uid="{00000000-0004-0000-0200-00004D000000}"/>
    <hyperlink ref="AI739" r:id="rId823" xr:uid="{00000000-0004-0000-0200-00004C000000}"/>
    <hyperlink ref="AH737" r:id="rId824" xr:uid="{00000000-0004-0000-0200-00004B000000}"/>
    <hyperlink ref="AH738" r:id="rId825" xr:uid="{00000000-0004-0000-0200-00004A000000}"/>
    <hyperlink ref="AJ732" r:id="rId826" xr:uid="{00000000-0004-0000-0200-000048000000}"/>
    <hyperlink ref="AI730" r:id="rId827" xr:uid="{00000000-0004-0000-0200-000047000000}"/>
    <hyperlink ref="AH727" r:id="rId828" xr:uid="{00000000-0004-0000-0200-000046000000}"/>
    <hyperlink ref="AI726" r:id="rId829" xr:uid="{00000000-0004-0000-0200-000045000000}"/>
    <hyperlink ref="AH726" r:id="rId830" xr:uid="{00000000-0004-0000-0200-000044000000}"/>
    <hyperlink ref="AH728" r:id="rId831" xr:uid="{00000000-0004-0000-0200-000043000000}"/>
    <hyperlink ref="AI725" r:id="rId832" xr:uid="{00000000-0004-0000-0200-000042000000}"/>
    <hyperlink ref="AJ724" r:id="rId833" xr:uid="{00000000-0004-0000-0200-000041000000}"/>
    <hyperlink ref="AI719" r:id="rId834" xr:uid="{00000000-0004-0000-0200-000040000000}"/>
    <hyperlink ref="AI720" r:id="rId835" xr:uid="{00000000-0004-0000-0200-00003F000000}"/>
    <hyperlink ref="AI721" r:id="rId836" xr:uid="{00000000-0004-0000-0200-00003E000000}"/>
    <hyperlink ref="AH722" r:id="rId837" xr:uid="{00000000-0004-0000-0200-00003D000000}"/>
    <hyperlink ref="AH716" r:id="rId838" xr:uid="{00000000-0004-0000-0200-00003C000000}"/>
    <hyperlink ref="AJ715" r:id="rId839" xr:uid="{00000000-0004-0000-0200-00003B000000}"/>
    <hyperlink ref="AH714" r:id="rId840" xr:uid="{00000000-0004-0000-0200-00003A000000}"/>
    <hyperlink ref="AH713" r:id="rId841" xr:uid="{00000000-0004-0000-0200-000039000000}"/>
    <hyperlink ref="AI708" r:id="rId842" xr:uid="{00000000-0004-0000-0200-000038000000}"/>
    <hyperlink ref="AI709" r:id="rId843" xr:uid="{00000000-0004-0000-0200-000037000000}"/>
    <hyperlink ref="AH705" r:id="rId844" xr:uid="{00000000-0004-0000-0200-000036000000}"/>
    <hyperlink ref="AH704" r:id="rId845" xr:uid="{00000000-0004-0000-0200-000035000000}"/>
    <hyperlink ref="AH701" r:id="rId846" xr:uid="{00000000-0004-0000-0200-000034000000}"/>
    <hyperlink ref="AH702" r:id="rId847" xr:uid="{00000000-0004-0000-0200-000033000000}"/>
    <hyperlink ref="AH703" r:id="rId848" xr:uid="{00000000-0004-0000-0200-000032000000}"/>
    <hyperlink ref="AJ700" r:id="rId849" xr:uid="{00000000-0004-0000-0200-000031000000}"/>
    <hyperlink ref="AH681" r:id="rId850" xr:uid="{00000000-0004-0000-0200-000030000000}"/>
    <hyperlink ref="AJ674" r:id="rId851" xr:uid="{00000000-0004-0000-0200-00002F000000}"/>
    <hyperlink ref="AI673" r:id="rId852" xr:uid="{00000000-0004-0000-0200-00002E000000}"/>
    <hyperlink ref="AI672" r:id="rId853" xr:uid="{00000000-0004-0000-0200-00002D000000}"/>
    <hyperlink ref="AH664" r:id="rId854" xr:uid="{00000000-0004-0000-0200-00002C000000}"/>
    <hyperlink ref="AH659" r:id="rId855" xr:uid="{00000000-0004-0000-0200-00002B000000}"/>
    <hyperlink ref="AH650" r:id="rId856" xr:uid="{00000000-0004-0000-0200-00002A000000}"/>
    <hyperlink ref="AH649" r:id="rId857" xr:uid="{00000000-0004-0000-0200-000029000000}"/>
    <hyperlink ref="AH642" r:id="rId858" xr:uid="{00000000-0004-0000-0200-000028000000}"/>
    <hyperlink ref="AH641" r:id="rId859" xr:uid="{00000000-0004-0000-0200-000027000000}"/>
    <hyperlink ref="AH640" r:id="rId860" xr:uid="{00000000-0004-0000-0200-000026000000}"/>
    <hyperlink ref="AH638" r:id="rId861" xr:uid="{00000000-0004-0000-0200-000025000000}"/>
    <hyperlink ref="AH636" r:id="rId862" xr:uid="{00000000-0004-0000-0200-000024000000}"/>
    <hyperlink ref="AJ637" r:id="rId863" xr:uid="{00000000-0004-0000-0200-000023000000}"/>
    <hyperlink ref="AJ635" r:id="rId864" xr:uid="{00000000-0004-0000-0200-000022000000}"/>
    <hyperlink ref="AI632" r:id="rId865" xr:uid="{00000000-0004-0000-0200-000021000000}"/>
    <hyperlink ref="AI631" r:id="rId866" xr:uid="{00000000-0004-0000-0200-000020000000}"/>
    <hyperlink ref="AI630" r:id="rId867" xr:uid="{00000000-0004-0000-0200-00001F000000}"/>
    <hyperlink ref="AI617" r:id="rId868" xr:uid="{00000000-0004-0000-0200-00001E000000}"/>
    <hyperlink ref="AH608" r:id="rId869" xr:uid="{00000000-0004-0000-0200-00001D000000}"/>
    <hyperlink ref="AH606" r:id="rId870" xr:uid="{00000000-0004-0000-0200-00001C000000}"/>
    <hyperlink ref="AH591" r:id="rId871" xr:uid="{00000000-0004-0000-0200-00001B000000}"/>
    <hyperlink ref="AH587" r:id="rId872" xr:uid="{00000000-0004-0000-0200-00001A000000}"/>
    <hyperlink ref="AH581" r:id="rId873" xr:uid="{00000000-0004-0000-0200-000019000000}"/>
    <hyperlink ref="AH566" r:id="rId874" xr:uid="{00000000-0004-0000-0200-000018000000}"/>
    <hyperlink ref="AH562" r:id="rId875" xr:uid="{00000000-0004-0000-0200-000017000000}"/>
    <hyperlink ref="AI550" r:id="rId876" xr:uid="{00000000-0004-0000-0200-000016000000}"/>
    <hyperlink ref="AI547" r:id="rId877" xr:uid="{00000000-0004-0000-0200-000015000000}"/>
    <hyperlink ref="AI540" r:id="rId878" xr:uid="{00000000-0004-0000-0200-000014000000}"/>
    <hyperlink ref="AH540" r:id="rId879" xr:uid="{00000000-0004-0000-0200-000013000000}"/>
    <hyperlink ref="AH534" r:id="rId880" location="rss" xr:uid="{00000000-0004-0000-0200-000012000000}"/>
    <hyperlink ref="AJ533" r:id="rId881" xr:uid="{00000000-0004-0000-0200-000011000000}"/>
    <hyperlink ref="AJ532" r:id="rId882" xr:uid="{00000000-0004-0000-0200-000010000000}"/>
    <hyperlink ref="AJ531" r:id="rId883" xr:uid="{00000000-0004-0000-0200-00000F000000}"/>
    <hyperlink ref="AI530" r:id="rId884" xr:uid="{00000000-0004-0000-0200-00000E000000}"/>
    <hyperlink ref="AI529" r:id="rId885" xr:uid="{00000000-0004-0000-0200-00000D000000}"/>
    <hyperlink ref="AH519" r:id="rId886" xr:uid="{00000000-0004-0000-0200-00000C000000}"/>
    <hyperlink ref="AJ513" r:id="rId887" xr:uid="{00000000-0004-0000-0200-00000A000000}"/>
    <hyperlink ref="AI511" r:id="rId888" xr:uid="{00000000-0004-0000-0200-000009000000}"/>
    <hyperlink ref="AJ508" r:id="rId889" xr:uid="{00000000-0004-0000-0200-000008000000}"/>
    <hyperlink ref="AI505" r:id="rId890" xr:uid="{00000000-0004-0000-0200-000007000000}"/>
    <hyperlink ref="AI504" r:id="rId891" xr:uid="{00000000-0004-0000-0200-000006000000}"/>
    <hyperlink ref="AI497" r:id="rId892" xr:uid="{00000000-0004-0000-0200-000005000000}"/>
    <hyperlink ref="AH494" r:id="rId893" xr:uid="{00000000-0004-0000-0200-000004000000}"/>
    <hyperlink ref="AH491" r:id="rId894" xr:uid="{00000000-0004-0000-0200-000003000000}"/>
    <hyperlink ref="AH488" r:id="rId895" xr:uid="{00000000-0004-0000-0200-000002000000}"/>
    <hyperlink ref="AH487" r:id="rId896" xr:uid="{00000000-0004-0000-0200-000001000000}"/>
    <hyperlink ref="AH486" r:id="rId897" xr:uid="{00000000-0004-0000-0200-000000000000}"/>
    <hyperlink ref="AI1074" r:id="rId898" xr:uid="{E18F0669-C1CD-A34D-AB13-CB99B7B50CDA}"/>
    <hyperlink ref="AI1075" r:id="rId899" xr:uid="{7A38D890-9597-A744-8404-E0A0CA5FA7CB}"/>
    <hyperlink ref="AI966" r:id="rId900" xr:uid="{04EC10CE-03DB-B04D-9976-8AC33EEE41CC}"/>
    <hyperlink ref="AI967" r:id="rId901" xr:uid="{B9177880-D593-144F-AF60-8652DA031404}"/>
    <hyperlink ref="AI1060" r:id="rId902" xr:uid="{FC442810-08D3-3245-A54E-18D6D28E4FCB}"/>
    <hyperlink ref="AI1061" r:id="rId903" xr:uid="{BFA81257-A355-354E-9408-E32296F64174}"/>
    <hyperlink ref="AI1091" r:id="rId904" xr:uid="{376F9D67-FD4C-2746-BC16-F133B406FDDE}"/>
    <hyperlink ref="AI1092" r:id="rId905" xr:uid="{B29FB5E7-5CDC-AB4D-8747-C3213A86A1B5}"/>
    <hyperlink ref="AH322" r:id="rId906" xr:uid="{6DFA1A8A-CA0C-3B4B-A629-E17548626D4C}"/>
    <hyperlink ref="AH323" r:id="rId907" xr:uid="{B9498D9B-319D-CC48-B05C-B4DB8BA40571}"/>
    <hyperlink ref="AH324" r:id="rId908" xr:uid="{5697CE99-D4EA-BB4E-8DF5-659CC3A64208}"/>
    <hyperlink ref="AH1488" r:id="rId909" xr:uid="{AE00E05F-69A3-1149-9B7F-E23198F10B8A}"/>
    <hyperlink ref="AH312" r:id="rId910" xr:uid="{B1246B7A-483C-BC45-BC3A-ADD141F565AE}"/>
    <hyperlink ref="AH284" r:id="rId911" xr:uid="{E2D612EE-C200-E840-AC9F-9BA774A21F03}"/>
    <hyperlink ref="AH1448" r:id="rId912" xr:uid="{00000000-0004-0000-0200-0000AF010000}"/>
    <hyperlink ref="AH1442" r:id="rId913" xr:uid="{9714B56F-7F41-614B-9082-A1CC412FB7A4}"/>
    <hyperlink ref="AJ1686" r:id="rId914" xr:uid="{3F6A07B8-14D9-9847-91E8-174CBBD08E80}"/>
    <hyperlink ref="AH420" r:id="rId915" xr:uid="{1DBE3E33-0824-754C-B5C3-81691E6F5D31}"/>
    <hyperlink ref="AJ282" r:id="rId916" xr:uid="{4D907968-E0A3-D24D-B46D-2EEAEECBDFA0}"/>
    <hyperlink ref="AI348" r:id="rId917" display="https://idea.atlatszo.hu/2025/09/16/toresvonalak-a-tarsadalmi-gondolkodasban-a-szuletesrol-noi-es-magzati-jogokrol/?fbclid=IwY2xjawM6cIJleHRuA2FlbQIxMABicmlkETFjMm9OQU5yVjNjSHZWdk1PAR5O1GTakurmQ31Y77Zw5_M7yCbNzukxj6i4dGhlKDbCgU6tw6X24UwCrN-Eyg_aem_6ty3DdnU4TyB4yvAmROruA" xr:uid="{B2D84348-7D86-3545-909C-1B911AB8D1BB}"/>
    <hyperlink ref="AI281" r:id="rId918" xr:uid="{927220A8-FD0B-4749-9409-727B99956C22}"/>
    <hyperlink ref="AJ281" r:id="rId919" xr:uid="{F1E178A2-40C1-784B-ACD1-F464F501B309}"/>
    <hyperlink ref="AJ275" r:id="rId920" xr:uid="{BCF68675-89A0-C948-988F-CDA1BC76393E}"/>
    <hyperlink ref="AJ277" r:id="rId921" xr:uid="{C9428219-EDC7-0244-9359-90693DAD19DB}"/>
    <hyperlink ref="AH274" r:id="rId922" display="https://szazadveg.hu/cikkek/a-magyarok-ketharmada-elutasitja-a-tiszasok-tobbsege-tamogatja-az-orosz-energia-tiltasat/?fbclid=IwY2xjawNJ6zVleHRuA2FlbQIxMQBicmlkETFiYUxqaFFkSGJzaWlVU3FWAR4pvqEp3Fmlq1gqeUxf4wb3Nph5s-naYP_8UlhmUMWcv5s3sslUA8XUBfLeew_aem_z8O3Xrv2vpOiQ_97s9jgA" xr:uid="{43875E0C-DA43-B649-BE42-71C3C95CF365}"/>
    <hyperlink ref="AH1745" r:id="rId923" xr:uid="{71F71091-3A4C-1748-B960-24A631599D54}"/>
    <hyperlink ref="AH1658" r:id="rId924" xr:uid="{50E6E3A3-9207-1148-8783-53C92BAE959F}"/>
    <hyperlink ref="AH1669" r:id="rId925" xr:uid="{8DEDA243-2366-484A-9E12-4E88AE121EDE}"/>
    <hyperlink ref="AJ1784" r:id="rId926" xr:uid="{1C32F6E3-C844-C346-AD32-9321BB26EEDB}"/>
    <hyperlink ref="AI1784" r:id="rId927" xr:uid="{EAF6C27A-5DCE-CC4C-A7EF-35125253D30F}"/>
    <hyperlink ref="AJ1783" r:id="rId928" xr:uid="{55B0EC47-0880-5146-830F-62B321214312}"/>
    <hyperlink ref="AI1783" r:id="rId929" xr:uid="{D579DAA3-74D5-8140-B747-896B3EA84B85}"/>
    <hyperlink ref="AH879" r:id="rId930" xr:uid="{E1A893AE-9E8C-5844-94CF-5FC26E2378BA}"/>
    <hyperlink ref="AH1665" r:id="rId931" xr:uid="{44C1543C-2B04-474A-B08A-D013C23B12F9}"/>
    <hyperlink ref="AI1680" r:id="rId932" xr:uid="{61F917A6-CB67-464E-824C-D31AB92E3FAF}"/>
    <hyperlink ref="AJ1694" r:id="rId933" xr:uid="{80D94A74-0BD2-9B48-BFBB-7F43E94F7324}"/>
    <hyperlink ref="AI1735" r:id="rId934" xr:uid="{00000000-0004-0000-0200-00003C030000}"/>
    <hyperlink ref="AH1735" r:id="rId935" xr:uid="{BDB8062F-4C92-3D47-AAA6-A0EEBDB1E523}"/>
    <hyperlink ref="AH1750" r:id="rId936" xr:uid="{F48BF4DB-25C5-4E48-81EB-B2F7E4532C64}"/>
    <hyperlink ref="AI1750" r:id="rId937" xr:uid="{9A7D93BB-AB42-FC4D-820D-C7A3BD57E2A4}"/>
    <hyperlink ref="AH1749" r:id="rId938" xr:uid="{2E53C72C-ADAD-5844-9F4C-D9DD1C01D042}"/>
    <hyperlink ref="AI1749" r:id="rId939" xr:uid="{20CDA275-1FF6-544F-9EA1-C2C040A9B4B5}"/>
    <hyperlink ref="AH1765" r:id="rId940" xr:uid="{2FB22BA4-761C-5547-B202-A2F00D274192}"/>
    <hyperlink ref="AH1764" r:id="rId941" xr:uid="{1E74054C-9308-8447-9CFA-6DBAA5C4C3E8}"/>
    <hyperlink ref="AI1786" r:id="rId942" xr:uid="{CFE280CD-C25D-4449-A639-46146A2E5417}"/>
    <hyperlink ref="AH1786" r:id="rId943" xr:uid="{2D5E9032-1AA4-B04C-801E-4084097F9609}"/>
    <hyperlink ref="AI1785" r:id="rId944" xr:uid="{9E1B808D-4B88-0B42-9D71-C69AF35D7056}"/>
    <hyperlink ref="AH1785" r:id="rId945" xr:uid="{E1C9A74B-BFB0-3748-AF77-83F337E4C6E1}"/>
    <hyperlink ref="AJ1785" r:id="rId946" xr:uid="{1792531E-8098-E847-BC33-5E20A5F897A7}"/>
    <hyperlink ref="AJ1786" r:id="rId947" xr:uid="{9CC19E8F-3289-154D-B0DE-10C2842AADF7}"/>
    <hyperlink ref="AJ1782" r:id="rId948" xr:uid="{46DA3E6C-88C4-0C45-8334-4C0C1C1813C8}"/>
    <hyperlink ref="AJ1781" r:id="rId949" xr:uid="{388ACBD9-A48A-F245-9E4E-73AC245A0C3A}"/>
    <hyperlink ref="AJ1761" r:id="rId950" xr:uid="{9D82E537-FF10-3245-8A6D-325BBB2F351A}"/>
    <hyperlink ref="AH1761" r:id="rId951" xr:uid="{06F4CE65-BCB4-4444-8459-E868894B351C}"/>
    <hyperlink ref="AI1782" r:id="rId952" xr:uid="{AF3562F8-F281-BF41-ADBC-4967522AFACD}"/>
    <hyperlink ref="AI1781" r:id="rId953" xr:uid="{BA06693D-2B69-EF44-872F-76136DD0D508}"/>
    <hyperlink ref="AH1781" r:id="rId954" xr:uid="{F4188F1D-3DE8-8746-8A5E-C40CAABD78F1}"/>
    <hyperlink ref="AH1782" r:id="rId955" xr:uid="{9EB0A5E6-6BF0-B344-8E37-D379C0CC224C}"/>
    <hyperlink ref="AJ1760" r:id="rId956" xr:uid="{456F762F-1A72-DD46-9DCC-26A6DE8FF1B6}"/>
    <hyperlink ref="AH1760" r:id="rId957" xr:uid="{645852F2-8825-3D4C-96DA-79FCB5D803E6}"/>
    <hyperlink ref="AJ1706" r:id="rId958" xr:uid="{C92BCE7C-F641-D241-868F-58CEFCAC6248}"/>
    <hyperlink ref="AJ1705" r:id="rId959" xr:uid="{19E1E917-5B85-0E49-8C96-1C157FACD7C8}"/>
    <hyperlink ref="AI1719" r:id="rId960" xr:uid="{562D57E6-365C-6143-B121-69C3F4CBA653}"/>
    <hyperlink ref="AI1718" r:id="rId961" xr:uid="{D7BCBA03-6AE9-1340-B555-6F251694D638}"/>
    <hyperlink ref="AJ1718" r:id="rId962" xr:uid="{47605C2F-705D-F640-9E4F-54B534B6B263}"/>
    <hyperlink ref="AJ1719" r:id="rId963" xr:uid="{BCB83525-A2B3-B54F-8CB2-4914EE8D6F87}"/>
    <hyperlink ref="AG1739" r:id="rId964" xr:uid="{BFE978AE-3EAC-E940-BC89-C5A64281B365}"/>
    <hyperlink ref="AH1752" r:id="rId965" xr:uid="{404656CA-3859-4D47-8BF4-513213F0AE2F}"/>
    <hyperlink ref="AI1752" r:id="rId966" xr:uid="{14109325-A294-5148-B52C-007716061574}"/>
    <hyperlink ref="AJ1752" r:id="rId967" display="http://iranytuintezet.hu/elemzesek-kutatasok/mind/213-az-iranytu-intezet-2017.-decemberi-orszagos-kozvelemeny-kutatasa/" xr:uid="{F0AD3690-C93A-ED4B-BDCD-08499DD0DD89}"/>
    <hyperlink ref="AJ1751" r:id="rId968" display="http://iranytuintezet.hu/elemzesek-kutatasok/mind/213-az-iranytu-intezet-2017.-decemberi-orszagos-kozvelemeny-kutatasa/" xr:uid="{DA3B0524-4821-D149-A371-020A0B3892F9}"/>
    <hyperlink ref="AH1751" r:id="rId969" xr:uid="{2B641D44-63B8-6545-9256-80663BAA460A}"/>
    <hyperlink ref="AJ1754" r:id="rId970" xr:uid="{25010ED1-7A15-ED4B-ACAF-5DD71DF026B9}"/>
    <hyperlink ref="AI1754" r:id="rId971" xr:uid="{896C0B57-0F2A-3844-A503-ABE21EB52B35}"/>
    <hyperlink ref="AI1773" r:id="rId972" xr:uid="{810DD79A-6AB4-DE40-AB07-C38CDF1E8A70}"/>
    <hyperlink ref="AH1773" r:id="rId973" xr:uid="{DDA356DC-162E-4440-AAF3-53CDA7C2C5F2}"/>
    <hyperlink ref="AH1754" r:id="rId974" xr:uid="{3FA57529-8918-F34E-A4D2-119DD152B40B}"/>
    <hyperlink ref="AJ1773" r:id="rId975" display="https://magyarnemzet.hu/belfold-archivum/2017/11/novelte-tamogatottsagat-oktoberben-a-fidesz" xr:uid="{722B3984-362C-AB4E-A9EA-22A2939BD05C}"/>
    <hyperlink ref="AI1772" r:id="rId976" xr:uid="{B44EEF1C-5ACE-8C46-9B1F-73DD6A97AAA4}"/>
    <hyperlink ref="AH1772" r:id="rId977" xr:uid="{F4FC4C31-1326-DF46-B0E0-0618B016502A}"/>
    <hyperlink ref="AI1771" r:id="rId978" xr:uid="{AAF68EC7-0DEB-EF43-A7E1-8B4046EE2F7A}"/>
    <hyperlink ref="AH1771" r:id="rId979" xr:uid="{44B7C9C1-8089-1E43-9630-4D8C9460715D}"/>
    <hyperlink ref="AJ1772" r:id="rId980" display="https://magyarnemzet.hu/belfold-archivum/2017/11/novelte-tamogatottsagat-oktoberben-a-fidesz" xr:uid="{4502332E-D3C7-BD41-8AD2-9AECFE72346C}"/>
    <hyperlink ref="AJ1771" r:id="rId981" display="https://magyarnemzet.hu/belfold-archivum/2017/11/novelte-tamogatottsagat-oktoberben-a-fidesz" xr:uid="{6FB4CFDE-826A-5A42-96A0-F0A5498EBB33}"/>
    <hyperlink ref="AJ1753" r:id="rId982" xr:uid="{D66431BD-4D49-6D47-93AC-19ACEB6D9715}"/>
    <hyperlink ref="AI1753" r:id="rId983" xr:uid="{2DCF9981-EF76-BE44-BEEA-DF5B9088A23F}"/>
    <hyperlink ref="AH1753" r:id="rId984" xr:uid="{F93695B8-3FB0-BA42-841E-91ABAB828C20}"/>
    <hyperlink ref="AH1770" r:id="rId985" xr:uid="{6D02DE96-CF08-0C4C-B1EB-2A306430B53D}"/>
    <hyperlink ref="AH1769" r:id="rId986" xr:uid="{300F2274-41EC-3545-9B6B-871CB1F5CC31}"/>
    <hyperlink ref="AH1768" r:id="rId987" xr:uid="{BD12913F-A17C-D84F-9418-EE6CFE970280}"/>
    <hyperlink ref="AH1776" r:id="rId988" xr:uid="{2983942D-8961-6741-BAA4-0E0A711FD721}"/>
    <hyperlink ref="AH1774" r:id="rId989" xr:uid="{49402F37-5836-F744-A1BC-6E0EF0E6EDF1}"/>
    <hyperlink ref="AH1775" r:id="rId990" xr:uid="{545DA90A-8C39-D244-9175-73F19BA39CBD}"/>
    <hyperlink ref="AI1729" r:id="rId991" xr:uid="{FADD5975-CC20-7E42-A78E-E9540F63D499}"/>
    <hyperlink ref="AH1757" r:id="rId992" xr:uid="{41012D91-D461-3243-A1B4-26144C120FE1}"/>
    <hyperlink ref="AJ1757" r:id="rId993" xr:uid="{D9E4D437-D53D-4043-BFF5-C107EADE9856}"/>
    <hyperlink ref="AH1755" r:id="rId994" xr:uid="{59B5B508-4101-0949-ACC8-B1F2EB85290C}"/>
    <hyperlink ref="AJ1755" r:id="rId995" xr:uid="{3754E6FE-96F4-5544-A0F2-B46D8188BEE2}"/>
    <hyperlink ref="AH1756" r:id="rId996" xr:uid="{7B75F100-9FA1-784E-808C-B05C94392AA6}"/>
    <hyperlink ref="AJ1756" r:id="rId997" xr:uid="{88070779-8FC5-D74C-9B4A-6A68F9FE2C64}"/>
    <hyperlink ref="AH268" r:id="rId998" xr:uid="{2694CF45-858F-1946-B4F6-1262DECAEE61}"/>
    <hyperlink ref="AJ268" r:id="rId999" xr:uid="{2E9FBC8F-D095-0D4B-8794-7E1C265A0950}"/>
    <hyperlink ref="AI268" r:id="rId1000" xr:uid="{1FD82D06-C836-174E-A03A-83DEACB548A0}"/>
    <hyperlink ref="AH349" r:id="rId1001" xr:uid="{D31B0D9E-DB43-9341-9C51-5CC9CE812482}"/>
    <hyperlink ref="AI349" r:id="rId1002" xr:uid="{0589C04A-03A8-B544-BA18-69D68AB64958}"/>
    <hyperlink ref="AH350" r:id="rId1003" xr:uid="{9A6C2478-9F4E-F043-8F88-2289FCE2DAEF}"/>
    <hyperlink ref="AI350" r:id="rId1004" xr:uid="{B903A21D-B018-9544-9C13-CB6D4F0A96FB}"/>
    <hyperlink ref="AJ350" r:id="rId1005" xr:uid="{16A634A9-831A-0C4D-A21F-DCF90D1A85B0}"/>
    <hyperlink ref="AH351" r:id="rId1006" xr:uid="{908620C2-1262-F643-97D0-A82A8D6FADC3}"/>
    <hyperlink ref="AI351" r:id="rId1007" xr:uid="{4791A727-BBA4-8C4E-8DB9-B889EB65392A}"/>
    <hyperlink ref="AJ351" r:id="rId1008" xr:uid="{B0CF7992-BE0C-E74D-9855-C9FD34A2A169}"/>
    <hyperlink ref="AH331" r:id="rId1009" xr:uid="{AC9BFCA3-F415-F24F-A763-CDE2E80E5221}"/>
    <hyperlink ref="AI266" r:id="rId1010" xr:uid="{78B0734C-5D06-E941-ADD6-412AFE04DF40}"/>
    <hyperlink ref="AJ266" r:id="rId1011" xr:uid="{C19ADD48-62C9-3241-9EB1-0C418F521808}"/>
    <hyperlink ref="AH266" r:id="rId1012" xr:uid="{6FE49988-D92B-7C4A-90C9-3BDE27BAC918}"/>
    <hyperlink ref="AH259" r:id="rId1013" xr:uid="{A9124280-E9C7-7647-A928-143F635E33DE}"/>
    <hyperlink ref="AH258" r:id="rId1014" xr:uid="{3F2FAAF0-1BDB-6943-AEB0-E87FAF099054}"/>
    <hyperlink ref="AH260" r:id="rId1015" xr:uid="{5CA965D0-837E-894C-9E66-7DBAF9F8D00B}"/>
    <hyperlink ref="AH261" r:id="rId1016" xr:uid="{CB1EE28A-920B-544B-A101-11EBE428EFA8}"/>
    <hyperlink ref="AH262" r:id="rId1017" xr:uid="{0D49F6E4-88A6-A94F-A940-C8653A369E94}"/>
    <hyperlink ref="AJ838" r:id="rId1018" xr:uid="{76261329-6126-A643-ABE0-9B5A835EB694}"/>
    <hyperlink ref="AJ819" r:id="rId1019" xr:uid="{248B91F2-B63C-0441-9723-EDD61EB7C2BB}"/>
    <hyperlink ref="AJ809" r:id="rId1020" xr:uid="{0FD621D1-21F3-C04B-9CFA-86938536ED75}"/>
    <hyperlink ref="AH251" r:id="rId1021" xr:uid="{3A8860A7-685B-C94A-9DCD-6AACD057ED09}"/>
    <hyperlink ref="AI251" r:id="rId1022" display="https://www.facebook.com/photo?fbid=1261461299359048&amp;set=a.479894894182363" xr:uid="{F412EE6A-93EC-074C-A9E7-15766DEF2787}"/>
    <hyperlink ref="AJ251" r:id="rId1023" xr:uid="{12B35147-3103-7144-9395-FA060CCD6E3C}"/>
    <hyperlink ref="AJ252" r:id="rId1024" xr:uid="{C92B620C-6B87-8143-94D6-910D89A00738}"/>
    <hyperlink ref="AJ263" r:id="rId1025" xr:uid="{B5D31750-F96C-0E41-A00F-4787A8DAB995}"/>
    <hyperlink ref="AH269" r:id="rId1026" display="https://www.mindenkipecsert.hu/2025/09/28/kozhangulat-pecsen/" xr:uid="{9C059D88-D175-9B4E-988A-D02A8F3C64A7}"/>
    <hyperlink ref="AJ269" r:id="rId1027" display="https://docs.google.com/presentation/d/1AHGXqOcl4M3icT7SAKTTbizC5qOR-5TI/edit" xr:uid="{808C3E4D-CA3A-EE4B-8F03-F7CE415C96FC}"/>
    <hyperlink ref="AI269" r:id="rId1028" display="https://www.mindenkipecsert.hu/2025/09/28/kozhangulat-pecsen/" xr:uid="{67CE7F80-7CB1-4044-8147-052CC04716B4}"/>
    <hyperlink ref="AH270" r:id="rId1029" display="https://docs.google.com/presentation/d/1AHGXqOcl4M3icT7SAKTTbizC5qOR-5TI/edit" xr:uid="{11C6545B-6C22-7C46-B441-C0037772ACF3}"/>
    <hyperlink ref="AJ270" r:id="rId1030" display="https://www.mecsekimuzli.com/median-felmeres-kozhangulat-mpe-magyar-peter-peterffy-mellar/" xr:uid="{E6D48797-92C7-F540-9744-26627CE069DC}"/>
    <hyperlink ref="AI270" r:id="rId1031" display="https://www.mindenkipecsert.hu/2025/09/28/kozhangulat-pecsen/" xr:uid="{7718D520-6508-FB42-83E3-641F2044DA37}"/>
    <hyperlink ref="AH257" r:id="rId1032" xr:uid="{4A00DE92-CE10-BC46-B362-DDB7E9C3D6F8}"/>
    <hyperlink ref="AH238" r:id="rId1033" xr:uid="{9400FA56-C047-FC46-B0D4-92B454BC4D6E}"/>
    <hyperlink ref="AH234" r:id="rId1034" xr:uid="{36A96DC0-DD50-DA49-9774-EBBD1A94B3B2}"/>
    <hyperlink ref="AH226" r:id="rId1035" xr:uid="{982C421D-87F5-2B45-BA15-7A5880DD3348}"/>
    <hyperlink ref="AH223" r:id="rId1036" xr:uid="{E43B1F2F-0A17-6F4F-97B3-0B3EDECE920E}"/>
    <hyperlink ref="AH273" r:id="rId1037" xr:uid="{70DE9046-1736-8D41-AB82-EC0C273F3363}"/>
    <hyperlink ref="AI273" r:id="rId1038" xr:uid="{7F764CCD-8487-4547-BD4F-5E1E639D180A}"/>
    <hyperlink ref="AJ245" r:id="rId1039" xr:uid="{0F3310D0-EA0A-0F4B-A70B-C0E2A51674BB}"/>
    <hyperlink ref="AJ246" r:id="rId1040" xr:uid="{0DB3ADDC-E863-6349-BF1E-FB43D4C1379C}"/>
    <hyperlink ref="AI275" r:id="rId1041" xr:uid="{6DF7CEFF-520B-7D44-ADDF-24EE76FC6AD0}"/>
    <hyperlink ref="AH222" r:id="rId1042" display="https://alapjogokert.hu/anyagok/kutatasaink/orzi-vezeto-poziciojat-a-fidesz-kdnp-a-tortenelmi-jelentosegu-washingtoni-csucs-utan?fbclid=IwY2xjawOK3yBleHRuA2FlbQIxMABicmlkETFvbmdyZ1FkY3ZseHpkaGVyc3J0YwZhcHBfaWQQMjIyMDM5MTc4ODIwMDg5MgABHi7QnNRkFKedo4o_XPqnPI2BIONdxsCLVNcIDS161yOGPeR-835kXtLBglZm_aem_phkZDGTrQyRoZzEC0C-VAA" xr:uid="{FF51C6B9-8E90-4C4D-B8B6-EB52DACD4203}"/>
    <hyperlink ref="AH227" r:id="rId1043" xr:uid="{356200A2-8EFC-794F-A6FE-252207F1AD20}"/>
    <hyperlink ref="AI258" r:id="rId1044" xr:uid="{93FF9085-F408-184F-9D2A-EC6A158E32CB}"/>
    <hyperlink ref="AH326" r:id="rId1045" xr:uid="{0A9C7522-CCE5-AE4B-8254-96CF1D5DC5AD}"/>
    <hyperlink ref="AH206" r:id="rId1046" xr:uid="{2FE6BF90-7B33-E145-BA9A-FC9114EEB55C}"/>
    <hyperlink ref="AH207" r:id="rId1047" xr:uid="{2E9C4E39-6AE0-4A4F-9EA5-332C4A39DC83}"/>
    <hyperlink ref="AH208" r:id="rId1048" xr:uid="{70463DF1-1202-BB40-ADB6-EA882936FED0}"/>
    <hyperlink ref="AH734" r:id="rId1049" xr:uid="{4D1B9A65-06CA-0948-B823-0CA677CE1E11}"/>
    <hyperlink ref="AH740" r:id="rId1050" xr:uid="{BA8BA37D-0412-2240-BAE4-C3BFD79B8F6F}"/>
    <hyperlink ref="AH201" r:id="rId1051" xr:uid="{69C2EF9A-0FF4-2D45-8986-BAB0F3700A93}"/>
    <hyperlink ref="AH202" r:id="rId1052" xr:uid="{E9360E4D-95E0-694A-991D-240F03F75BD1}"/>
    <hyperlink ref="AH203" r:id="rId1053" xr:uid="{E72692BA-F726-1845-8A33-431D147E7C75}"/>
    <hyperlink ref="AI194" r:id="rId1054" xr:uid="{AC10D7A4-3128-B34F-B53D-662EBA393881}"/>
    <hyperlink ref="AJ194" r:id="rId1055" xr:uid="{6A6CCD15-7AED-CC46-A0A0-59EC814B89EA}"/>
    <hyperlink ref="AI192" r:id="rId1056" xr:uid="{2F2FB429-AEFF-184F-9D03-132289FD58D7}"/>
    <hyperlink ref="AI193" r:id="rId1057" xr:uid="{C04FC82F-CEDD-7D42-AE0C-D1E727AF0984}"/>
    <hyperlink ref="AI265" r:id="rId1058" xr:uid="{7368B04A-48BA-6441-BA08-BB35EA031D49}"/>
    <hyperlink ref="AH265" r:id="rId1059" xr:uid="{45E18D41-AABB-B743-BB37-8D4C6DEC1794}"/>
    <hyperlink ref="AJ206" r:id="rId1060" xr:uid="{BA6AA9F1-3433-E446-8B2F-23AB1D7F208D}"/>
    <hyperlink ref="AJ229" r:id="rId1061" xr:uid="{A757C6BB-E38F-1A4C-8ADC-4650DF7C2BD3}"/>
    <hyperlink ref="AH229" r:id="rId1062" xr:uid="{9FDF3C48-2B03-1941-9DDA-7FE5AFC99CDD}"/>
    <hyperlink ref="AI229" r:id="rId1063" xr:uid="{FF577DDF-789C-DD4E-A323-9BA811328033}"/>
    <hyperlink ref="AH195" r:id="rId1064" xr:uid="{CBFCB0FE-B3B0-0B49-8AED-210F5AAB1F97}"/>
    <hyperlink ref="AH196" r:id="rId1065" xr:uid="{F5F9EE29-2823-D042-87C1-594D61A80963}"/>
    <hyperlink ref="AH174" r:id="rId1066" xr:uid="{1C9422EC-0A47-784D-A694-5F8CE71B708B}"/>
    <hyperlink ref="AI174" r:id="rId1067" xr:uid="{C8287B79-BFFD-4D41-A4C3-F78B74F5614D}"/>
    <hyperlink ref="AI175" r:id="rId1068" xr:uid="{168E8611-1D07-F34B-8159-0F32A8321166}"/>
    <hyperlink ref="AH175" r:id="rId1069" xr:uid="{DA3CCB8E-8801-2C42-9D56-176771214C14}"/>
    <hyperlink ref="AI176" r:id="rId1070" xr:uid="{20FAED18-C9A5-3C4B-B31C-1FAA7C6E51A5}"/>
    <hyperlink ref="AH176" r:id="rId1071" xr:uid="{13D26836-BFF7-334B-BEF2-329129EDB940}"/>
    <hyperlink ref="AI177" r:id="rId1072" xr:uid="{5C7A05DF-7625-B049-B7A5-89768C12BFE6}"/>
    <hyperlink ref="AH177" r:id="rId1073" xr:uid="{D64E1FDC-487A-7D44-BAD4-24C1ACFA7A68}"/>
    <hyperlink ref="AH233" r:id="rId1074" xr:uid="{28682699-4A5D-4343-A5C3-0FDA7F9D954C}"/>
    <hyperlink ref="AH189" r:id="rId1075" xr:uid="{2D6A84CB-3AA9-A34F-AB5E-4170243923C0}"/>
    <hyperlink ref="AJ190" r:id="rId1076" xr:uid="{E46C868B-B505-4843-ADFC-201F78370DDE}"/>
    <hyperlink ref="AH242" r:id="rId1077" xr:uid="{41609C99-9F76-4B40-8CB8-D270A3D83E4C}"/>
    <hyperlink ref="AH243" r:id="rId1078" xr:uid="{02CFDC8F-5B61-7145-B23F-C55DB7213585}"/>
    <hyperlink ref="AH244" r:id="rId1079" xr:uid="{E66AC765-C27C-7945-88C2-8CF42B4A45A7}"/>
    <hyperlink ref="AH173" r:id="rId1080" xr:uid="{6A491B5D-E355-C14F-8C89-DC2A12227C97}"/>
    <hyperlink ref="AH249" r:id="rId1081" xr:uid="{4882B474-7520-0C4A-A47D-31628521D784}"/>
    <hyperlink ref="AH250" r:id="rId1082" xr:uid="{B0B9EAE2-C8E6-214E-AE16-701ACD9DBCAE}"/>
    <hyperlink ref="AJ250" r:id="rId1083" xr:uid="{09F5FF2C-70E6-754E-921D-FE1437083688}"/>
    <hyperlink ref="AJ249" r:id="rId1084" xr:uid="{1A44A24B-A442-2446-8362-59DA6477DB28}"/>
    <hyperlink ref="AJ177" r:id="rId1085" xr:uid="{C26DB7EF-8C8E-2A40-960E-823C4BBA566A}"/>
    <hyperlink ref="AH213" r:id="rId1086" xr:uid="{001C90D4-CA2B-5244-9C6E-75C96294DD2F}"/>
    <hyperlink ref="AH214" r:id="rId1087" xr:uid="{DF811C41-285F-F44C-9D4F-B16DBE010D10}"/>
    <hyperlink ref="AH212" r:id="rId1088" xr:uid="{21CCF76B-BB7E-5449-970D-0488A23EFB75}"/>
    <hyperlink ref="AJ166" r:id="rId1089" xr:uid="{C55FAA72-969B-2748-96AC-4FF36967B4F6}"/>
    <hyperlink ref="AJ167" r:id="rId1090" xr:uid="{0D459A21-640F-D042-85D1-B6241D3CFE32}"/>
    <hyperlink ref="AJ952" r:id="rId1091" xr:uid="{8EA28D00-F81C-A146-B575-3930F136604C}"/>
    <hyperlink ref="AH166" r:id="rId1092" xr:uid="{14040D69-0B43-004F-A538-BE7C459A3033}"/>
    <hyperlink ref="AI160" r:id="rId1093" xr:uid="{14515EC6-6F66-AA4B-9A6C-7C04A02136AC}"/>
    <hyperlink ref="AI156" r:id="rId1094" xr:uid="{CFBC3FA5-DA46-114D-8623-3D9272791F39}"/>
    <hyperlink ref="AH161" r:id="rId1095" xr:uid="{AA16E1E3-9AA3-B343-B720-34986773341A}"/>
    <hyperlink ref="AH162" r:id="rId1096" xr:uid="{3DD0950B-DABF-944D-8904-2A2B73E01A78}"/>
    <hyperlink ref="AH158" r:id="rId1097" xr:uid="{07AE234B-7BBA-7F4B-9578-E727DC79EB98}"/>
    <hyperlink ref="AI158" r:id="rId1098" xr:uid="{0C5D192C-8892-4442-AEE7-AC7EDEA5B613}"/>
    <hyperlink ref="AJ158" r:id="rId1099" xr:uid="{AE28BC43-31C0-9647-ABC4-CE74CEB737F4}"/>
    <hyperlink ref="AJ145" r:id="rId1100" xr:uid="{17263019-D6E5-4D40-892B-BBA9C8D1089C}"/>
    <hyperlink ref="AI285" r:id="rId1101" xr:uid="{984D3307-888B-624F-AA2E-D9DCDC527F67}"/>
    <hyperlink ref="AH181" r:id="rId1102" xr:uid="{33BD278F-C464-9B48-9649-0D5612E58C7D}"/>
    <hyperlink ref="AJ165" r:id="rId1103" xr:uid="{CFBDF932-5D36-CD4A-92FB-F42E76DCD0AB}"/>
    <hyperlink ref="AI181" r:id="rId1104" xr:uid="{D634CC4C-E61E-6D40-9941-61B17DC166EA}"/>
    <hyperlink ref="AI182" r:id="rId1105" xr:uid="{54961CDA-B09D-2B48-A5C6-B1784153E741}"/>
    <hyperlink ref="AI183" r:id="rId1106" xr:uid="{2AEBE10E-2DB2-E44D-A04C-5B096A3DA20E}"/>
    <hyperlink ref="AH132" r:id="rId1107" xr:uid="{B57D60C8-1455-6E43-B2FD-F750CA55FC0C}"/>
    <hyperlink ref="AI150" r:id="rId1108" xr:uid="{1E0636D7-1A1C-FC46-A6A8-3280A889CE9A}"/>
    <hyperlink ref="AH131" r:id="rId1109" xr:uid="{B8136EC3-5B01-4147-863F-C3711D2DD76F}"/>
    <hyperlink ref="AJ129" r:id="rId1110" xr:uid="{9A4D529E-F05F-5E45-A912-A5BEA37BDCA2}"/>
    <hyperlink ref="AI129" r:id="rId1111" xr:uid="{787FD533-875C-264F-BC56-420F9D39DD85}"/>
    <hyperlink ref="AH130" r:id="rId1112" xr:uid="{DC33393A-7D0B-7146-A16F-EACBA1C7A15B}"/>
    <hyperlink ref="AI125" r:id="rId1113" xr:uid="{1F0593D8-6870-744C-96BA-193FF5B2AC7B}"/>
    <hyperlink ref="AI126" r:id="rId1114" xr:uid="{C5DB4F8D-7139-9F42-803E-50058FDBDA0B}"/>
    <hyperlink ref="AI127" r:id="rId1115" xr:uid="{19251A56-68B9-4A47-A70D-DDABD49F375F}"/>
    <hyperlink ref="AH135" r:id="rId1116" xr:uid="{F6A00EAD-3CEE-5D48-8F4E-873F4A706E4C}"/>
    <hyperlink ref="AH140" r:id="rId1117" xr:uid="{D777A452-23E2-7A4A-B986-65D7CB8338AB}"/>
    <hyperlink ref="AH136" r:id="rId1118" xr:uid="{DEEB3C2F-09DB-9543-8C5D-5C85FD915B72}"/>
    <hyperlink ref="AH137" r:id="rId1119" xr:uid="{ED8D1116-BF02-694E-B4B1-B49D0C548967}"/>
    <hyperlink ref="AH138" r:id="rId1120" xr:uid="{99754CB7-AFD5-1545-B8FB-21FCAF31B388}"/>
    <hyperlink ref="AH139" r:id="rId1121" xr:uid="{85849EF2-B14A-A641-8666-D4A39045EBC9}"/>
    <hyperlink ref="AH1728" r:id="rId1122" xr:uid="{00000000-0004-0000-0200-000032030000}"/>
    <hyperlink ref="AJ1730" r:id="rId1123" xr:uid="{8E1F9414-10EC-8548-A801-F3EF6D78ED3A}"/>
    <hyperlink ref="AJ117" r:id="rId1124" xr:uid="{667C10D0-07BA-6F4B-98CB-5FE3DF827DAD}"/>
    <hyperlink ref="AH123" r:id="rId1125" xr:uid="{CE1880B4-CF87-0D48-9A91-7C7A00BEEBCA}"/>
    <hyperlink ref="AH361" r:id="rId1126" xr:uid="{0700A92C-B888-7F4C-999F-AD83623DFBE8}"/>
    <hyperlink ref="AH362" r:id="rId1127" xr:uid="{967DC54F-052D-164E-BC32-71D74370A60A}"/>
    <hyperlink ref="AJ125" r:id="rId1128" xr:uid="{D8871413-FC88-3A44-88B0-AF2BC250E750}"/>
    <hyperlink ref="AH148" r:id="rId1129" xr:uid="{BEF742B3-AE3B-E84D-BBA7-0C8D0711EB42}"/>
    <hyperlink ref="AI139" r:id="rId1130" xr:uid="{B1A9A18A-B55F-524A-BA3D-189F51B406F0}"/>
    <hyperlink ref="AH154" r:id="rId1131" xr:uid="{BAF8D439-5AD0-1641-9F03-B809CDA0878B}"/>
    <hyperlink ref="AH118" r:id="rId1132" xr:uid="{2E326E62-3634-0A4F-A73D-0C58A061E670}"/>
    <hyperlink ref="AH119" r:id="rId1133" xr:uid="{1D273C9D-18CF-0B4F-A0CD-B79CBCEBDAE5}"/>
    <hyperlink ref="AH120" r:id="rId1134" xr:uid="{ED66C478-CA98-7041-AFB1-AFDF24916F95}"/>
    <hyperlink ref="AH128" r:id="rId1135" xr:uid="{B9A5819A-BAB8-114F-B07D-FC9E96F69AE3}"/>
    <hyperlink ref="AJ118" r:id="rId1136" xr:uid="{B65F65B8-3F6C-894D-A3D6-C81A897B6A55}"/>
    <hyperlink ref="AI121" r:id="rId1137" xr:uid="{EB028F0B-76B1-F248-A43B-4ACB7001323D}"/>
    <hyperlink ref="AJ155" r:id="rId1138" xr:uid="{A0F95BAC-BD92-F34C-B270-E4B13EAD4E0D}"/>
    <hyperlink ref="AJ156" r:id="rId1139" xr:uid="{C8BBEF66-1C7C-EB4F-8897-6ACECD44A0D9}"/>
    <hyperlink ref="AI144" r:id="rId1140" xr:uid="{B60B05E1-324D-E149-A598-B6BC0FB6D42F}"/>
    <hyperlink ref="AI211" r:id="rId1141" xr:uid="{FFCB95A3-07F6-9C47-A713-81936E94A5D0}"/>
    <hyperlink ref="AI210" r:id="rId1142" xr:uid="{F3C19D5A-F21C-1B47-A268-FC6E1C4FBAB7}"/>
    <hyperlink ref="AI209" r:id="rId1143" xr:uid="{8D47954D-E0A3-874C-8CB5-C39D2E8165CF}"/>
    <hyperlink ref="AJ110" r:id="rId1144" xr:uid="{2F9C6CAB-03EB-0345-BF52-C9D589D6A04F}"/>
    <hyperlink ref="AJ144" r:id="rId1145" xr:uid="{BF82DF00-1DC4-324F-9449-6684BA5EDC92}"/>
    <hyperlink ref="AI111" r:id="rId1146" xr:uid="{FED64186-5521-4A48-822E-B2FAE0D40A0D}"/>
    <hyperlink ref="AI113" r:id="rId1147" xr:uid="{E65C8B6C-FD44-D446-84C2-E2EC3F689820}"/>
    <hyperlink ref="AH111" r:id="rId1148" xr:uid="{2376C197-F53C-664E-972C-F2351B966829}"/>
    <hyperlink ref="AH113" r:id="rId1149" xr:uid="{E5EC1A16-560C-CE41-B940-178E22CF503A}"/>
    <hyperlink ref="AI112" r:id="rId1150" xr:uid="{D0BFE6FC-BDAD-9A42-8454-62D7F21CAEC8}"/>
    <hyperlink ref="AH112" r:id="rId1151" xr:uid="{BA12CE66-8F64-4948-92C5-AC537C5A81D6}"/>
    <hyperlink ref="AI109" r:id="rId1152" xr:uid="{8812E192-AA59-DE42-A06C-A5336BBCC92D}"/>
    <hyperlink ref="AI142" r:id="rId1153" xr:uid="{1AC0C1D5-8B3A-2842-B4C1-BA1715C307EF}"/>
    <hyperlink ref="AH885" r:id="rId1154" display="https://www.facebook.com/realpr93/photos/pcb.302866138624578/302865625291296" xr:uid="{7B625F2A-8BB6-254F-99F0-8C086EB2A076}"/>
    <hyperlink ref="AH1790" r:id="rId1155" xr:uid="{D8CF61BB-BF71-C345-AA42-8B71691C34E0}"/>
    <hyperlink ref="AI1797" r:id="rId1156" xr:uid="{9CCA162F-E583-4C43-A0FF-6C5E55F631B5}"/>
    <hyperlink ref="AI1796" r:id="rId1157" xr:uid="{CA1D226D-069C-8A45-B7EE-267C1BB430AD}"/>
    <hyperlink ref="AJ1801" r:id="rId1158" xr:uid="{BB59798B-EDBD-4F4C-919F-9D52A4111B58}"/>
    <hyperlink ref="AJ1798" r:id="rId1159" xr:uid="{D9DEED52-AF6E-BA4E-B9A3-021A1E73271F}"/>
    <hyperlink ref="AJ1800" r:id="rId1160" xr:uid="{5D5427F5-5935-5542-824B-314951B2F5AD}"/>
    <hyperlink ref="AH1798" r:id="rId1161" xr:uid="{CFA02B9E-10FF-3840-8DD5-24FE6AEF686B}"/>
    <hyperlink ref="AH1800" r:id="rId1162" xr:uid="{8FC0F54F-7191-AF4B-ADC6-730C00155E39}"/>
    <hyperlink ref="AJ1799" r:id="rId1163" xr:uid="{CCB0D835-D9DE-2F45-BFCF-BCA2490DB379}"/>
    <hyperlink ref="AH1799" r:id="rId1164" xr:uid="{A70C2499-4529-5B42-B2A9-F4DF92C43A98}"/>
    <hyperlink ref="AJ1797" r:id="rId1165" xr:uid="{855F29CA-0F03-E34F-A8C2-B3B63A6EEDE1}"/>
    <hyperlink ref="AI1791" r:id="rId1166" xr:uid="{F7DC6E63-BD4D-CF43-A880-98E0A7316421}"/>
    <hyperlink ref="AJ1791" r:id="rId1167" xr:uid="{BB57FDCF-0C36-F749-9873-AAB4A0748207}"/>
    <hyperlink ref="AH1791" r:id="rId1168" xr:uid="{1AF9B49C-AF69-2E4E-8017-9022EF278FB2}"/>
    <hyperlink ref="AH1793" r:id="rId1169" xr:uid="{61C14779-D74B-CD40-B63D-6D1FA2A39BD5}"/>
    <hyperlink ref="AI1793" r:id="rId1170" xr:uid="{2FF35D45-B78D-1646-B5A5-553FE8662CBC}"/>
    <hyperlink ref="AH81" r:id="rId1171" xr:uid="{E4C67809-140E-DB47-AAB4-8FFAB1C4F600}"/>
    <hyperlink ref="AJ97" r:id="rId1172" xr:uid="{44D82CDF-757A-1242-B8AC-E3EEFCDD76DB}"/>
    <hyperlink ref="AJ173" r:id="rId1173" xr:uid="{8AF9EC57-370E-944B-9DE5-6ECDD61BBE97}"/>
    <hyperlink ref="AI173" r:id="rId1174" xr:uid="{CE2F997E-46AB-6F4F-822C-1015FA88D548}"/>
    <hyperlink ref="AK95" r:id="rId1175" xr:uid="{EF7366E0-8AD8-524C-A60B-1A72B6653415}"/>
    <hyperlink ref="AJ108" r:id="rId1176" xr:uid="{770A8EE8-ED0B-5D48-91FF-FB2934599C74}"/>
    <hyperlink ref="AH72" r:id="rId1177" xr:uid="{30EC42CF-0274-4840-AD5A-ACE529769886}"/>
    <hyperlink ref="AH73" r:id="rId1178" xr:uid="{5FE0CB10-4177-0945-B2CB-F5B97C442193}"/>
    <hyperlink ref="AH952" r:id="rId1179" xr:uid="{C73FFB28-4D9B-6A4B-A5E0-378BD29EBDDB}"/>
    <hyperlink ref="AH878" r:id="rId1180" xr:uid="{C4AF0BF8-B58D-854F-9DE8-19360B1D2FEE}"/>
    <hyperlink ref="AH37" r:id="rId1181" xr:uid="{81599B7D-FAEB-E84B-A0E9-E7DC09DC6094}"/>
    <hyperlink ref="AI25" r:id="rId1182" xr:uid="{9E452409-085A-2E47-A1EE-7F2FE2CCBB19}"/>
    <hyperlink ref="AI26" r:id="rId1183" xr:uid="{8B46417E-AAC5-D14C-8CA8-555DAB760821}"/>
    <hyperlink ref="AI27" r:id="rId1184" xr:uid="{D5036D66-1BA9-ED41-A1A7-F94999F5CDBF}"/>
    <hyperlink ref="AJ79" r:id="rId1185" xr:uid="{9379F3C4-1383-DF41-AD87-76244C9C2D28}"/>
    <hyperlink ref="AI50" r:id="rId1186" xr:uid="{D0F1D639-960A-4A44-946F-AC18F0CD417C}"/>
    <hyperlink ref="AH15" r:id="rId1187" xr:uid="{A8D0C8A0-6953-2848-BC6E-8F5F62A67EF2}"/>
    <hyperlink ref="AJ157" r:id="rId1188" xr:uid="{7CFBA37D-5A6E-EE45-9E08-70313AABEC60}"/>
    <hyperlink ref="AH8" r:id="rId1189" xr:uid="{EF8B4DD1-CE4B-5D47-8373-58454929E1A9}"/>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customHeight="1" x14ac:dyDescent="0.2"/>
  <cols>
    <col min="1" max="1" width="164.33203125" customWidth="1"/>
    <col min="2" max="26" width="9.1640625" customWidth="1"/>
  </cols>
  <sheetData>
    <row r="1" spans="1:26" x14ac:dyDescent="0.2">
      <c r="A1" s="1" t="s">
        <v>1605</v>
      </c>
      <c r="B1" s="3"/>
      <c r="C1" s="3"/>
      <c r="D1" s="3"/>
      <c r="E1" s="3"/>
      <c r="F1" s="3"/>
      <c r="G1" s="3"/>
      <c r="H1" s="3"/>
      <c r="I1" s="3"/>
      <c r="J1" s="3"/>
      <c r="K1" s="3"/>
      <c r="L1" s="3"/>
      <c r="M1" s="3"/>
      <c r="N1" s="3"/>
      <c r="O1" s="3"/>
      <c r="P1" s="3"/>
      <c r="Q1" s="3"/>
      <c r="R1" s="3"/>
      <c r="S1" s="3"/>
      <c r="T1" s="3"/>
      <c r="U1" s="3"/>
      <c r="V1" s="3"/>
      <c r="W1" s="3"/>
      <c r="X1" s="3"/>
      <c r="Y1" s="3"/>
      <c r="Z1" s="3"/>
    </row>
    <row r="2" spans="1:26" x14ac:dyDescent="0.2">
      <c r="A2" s="2" t="s">
        <v>1606</v>
      </c>
      <c r="B2" s="3"/>
      <c r="C2" s="3"/>
      <c r="D2" s="3"/>
      <c r="E2" s="3"/>
      <c r="F2" s="3"/>
      <c r="G2" s="3"/>
      <c r="H2" s="3"/>
      <c r="I2" s="3"/>
      <c r="J2" s="3"/>
      <c r="K2" s="3"/>
      <c r="L2" s="3"/>
      <c r="M2" s="3"/>
      <c r="N2" s="3"/>
      <c r="O2" s="3"/>
      <c r="P2" s="3"/>
      <c r="Q2" s="3"/>
      <c r="R2" s="3"/>
      <c r="S2" s="3"/>
      <c r="T2" s="3"/>
      <c r="U2" s="3"/>
      <c r="V2" s="3"/>
      <c r="W2" s="3"/>
      <c r="X2" s="3"/>
      <c r="Y2" s="3"/>
      <c r="Z2" s="3"/>
    </row>
    <row r="3" spans="1:26" x14ac:dyDescent="0.2">
      <c r="A3" s="2" t="s">
        <v>1607</v>
      </c>
      <c r="B3" s="3"/>
      <c r="C3" s="3"/>
      <c r="D3" s="3"/>
      <c r="E3" s="3"/>
      <c r="F3" s="3"/>
      <c r="G3" s="3"/>
      <c r="H3" s="3"/>
      <c r="I3" s="3"/>
      <c r="J3" s="3"/>
      <c r="K3" s="3"/>
      <c r="L3" s="3"/>
      <c r="M3" s="3"/>
      <c r="N3" s="3"/>
      <c r="O3" s="3"/>
      <c r="P3" s="3"/>
      <c r="Q3" s="3"/>
      <c r="R3" s="3"/>
      <c r="S3" s="3"/>
      <c r="T3" s="3"/>
      <c r="U3" s="3"/>
      <c r="V3" s="3"/>
      <c r="W3" s="3"/>
      <c r="X3" s="3"/>
      <c r="Y3" s="3"/>
      <c r="Z3" s="3"/>
    </row>
    <row r="4" spans="1:26" x14ac:dyDescent="0.2">
      <c r="A4" s="2" t="s">
        <v>1608</v>
      </c>
      <c r="B4" s="3"/>
      <c r="C4" s="3"/>
      <c r="D4" s="3"/>
      <c r="E4" s="3"/>
      <c r="F4" s="3"/>
      <c r="G4" s="3"/>
      <c r="H4" s="3"/>
      <c r="I4" s="3"/>
      <c r="J4" s="3"/>
      <c r="K4" s="3"/>
      <c r="L4" s="3"/>
      <c r="M4" s="3"/>
      <c r="N4" s="3"/>
      <c r="O4" s="3"/>
      <c r="P4" s="3"/>
      <c r="Q4" s="3"/>
      <c r="R4" s="3"/>
      <c r="S4" s="3"/>
      <c r="T4" s="3"/>
      <c r="U4" s="3"/>
      <c r="V4" s="3"/>
      <c r="W4" s="3"/>
      <c r="X4" s="3"/>
      <c r="Y4" s="3"/>
      <c r="Z4" s="3"/>
    </row>
    <row r="5" spans="1:26" x14ac:dyDescent="0.2">
      <c r="A5" s="2" t="s">
        <v>1609</v>
      </c>
      <c r="B5" s="3"/>
      <c r="C5" s="3"/>
      <c r="D5" s="3"/>
      <c r="E5" s="3"/>
      <c r="F5" s="3"/>
      <c r="G5" s="3"/>
      <c r="H5" s="3"/>
      <c r="I5" s="3"/>
      <c r="J5" s="3"/>
      <c r="K5" s="3"/>
      <c r="L5" s="3"/>
      <c r="M5" s="3"/>
      <c r="N5" s="3"/>
      <c r="O5" s="3"/>
      <c r="P5" s="3"/>
      <c r="Q5" s="3"/>
      <c r="R5" s="3"/>
      <c r="S5" s="3"/>
      <c r="T5" s="3"/>
      <c r="U5" s="3"/>
      <c r="V5" s="3"/>
      <c r="W5" s="3"/>
      <c r="X5" s="3"/>
      <c r="Y5" s="3"/>
      <c r="Z5" s="3"/>
    </row>
    <row r="6" spans="1:26" x14ac:dyDescent="0.2">
      <c r="A6" s="2"/>
      <c r="B6" s="3"/>
      <c r="C6" s="3"/>
      <c r="D6" s="3"/>
      <c r="E6" s="3"/>
      <c r="F6" s="3"/>
      <c r="G6" s="3"/>
      <c r="H6" s="3"/>
      <c r="I6" s="3"/>
      <c r="J6" s="3"/>
      <c r="K6" s="3"/>
      <c r="L6" s="3"/>
      <c r="M6" s="3"/>
      <c r="N6" s="3"/>
      <c r="O6" s="3"/>
      <c r="P6" s="3"/>
      <c r="Q6" s="3"/>
      <c r="R6" s="3"/>
      <c r="S6" s="3"/>
      <c r="T6" s="3"/>
      <c r="U6" s="3"/>
      <c r="V6" s="3"/>
      <c r="W6" s="3"/>
      <c r="X6" s="3"/>
      <c r="Y6" s="3"/>
      <c r="Z6" s="3"/>
    </row>
    <row r="7" spans="1:26" x14ac:dyDescent="0.2">
      <c r="A7" s="1" t="s">
        <v>1610</v>
      </c>
      <c r="B7" s="3"/>
      <c r="C7" s="3"/>
      <c r="D7" s="3"/>
      <c r="E7" s="3"/>
      <c r="F7" s="3"/>
      <c r="G7" s="3"/>
      <c r="H7" s="3"/>
      <c r="I7" s="3"/>
      <c r="J7" s="3"/>
      <c r="K7" s="3"/>
      <c r="L7" s="3"/>
      <c r="M7" s="3"/>
      <c r="N7" s="3"/>
      <c r="O7" s="3"/>
      <c r="P7" s="3"/>
      <c r="Q7" s="3"/>
      <c r="R7" s="3"/>
      <c r="S7" s="3"/>
      <c r="T7" s="3"/>
      <c r="U7" s="3"/>
      <c r="V7" s="3"/>
      <c r="W7" s="3"/>
      <c r="X7" s="3"/>
      <c r="Y7" s="3"/>
      <c r="Z7" s="3"/>
    </row>
    <row r="8" spans="1:26" x14ac:dyDescent="0.2">
      <c r="A8" s="2" t="s">
        <v>1611</v>
      </c>
      <c r="B8" s="3"/>
      <c r="C8" s="3"/>
      <c r="D8" s="3"/>
      <c r="E8" s="3"/>
      <c r="F8" s="3"/>
      <c r="G8" s="3"/>
      <c r="H8" s="3"/>
      <c r="I8" s="3"/>
      <c r="J8" s="3"/>
      <c r="K8" s="3"/>
      <c r="L8" s="3"/>
      <c r="M8" s="3"/>
      <c r="N8" s="3"/>
      <c r="O8" s="3"/>
      <c r="P8" s="3"/>
      <c r="Q8" s="3"/>
      <c r="R8" s="3"/>
      <c r="S8" s="3"/>
      <c r="T8" s="3"/>
      <c r="U8" s="3"/>
      <c r="V8" s="3"/>
      <c r="W8" s="3"/>
      <c r="X8" s="3"/>
      <c r="Y8" s="3"/>
      <c r="Z8" s="3"/>
    </row>
    <row r="9" spans="1:26" x14ac:dyDescent="0.2">
      <c r="A9" s="2"/>
      <c r="B9" s="3"/>
      <c r="C9" s="3"/>
      <c r="D9" s="3"/>
      <c r="E9" s="3"/>
      <c r="F9" s="3"/>
      <c r="G9" s="3"/>
      <c r="H9" s="3"/>
      <c r="I9" s="3"/>
      <c r="J9" s="3"/>
      <c r="K9" s="3"/>
      <c r="L9" s="3"/>
      <c r="M9" s="3"/>
      <c r="N9" s="3"/>
      <c r="O9" s="3"/>
      <c r="P9" s="3"/>
      <c r="Q9" s="3"/>
      <c r="R9" s="3"/>
      <c r="S9" s="3"/>
      <c r="T9" s="3"/>
      <c r="U9" s="3"/>
      <c r="V9" s="3"/>
      <c r="W9" s="3"/>
      <c r="X9" s="3"/>
      <c r="Y9" s="3"/>
      <c r="Z9" s="3"/>
    </row>
    <row r="10" spans="1:26" x14ac:dyDescent="0.2">
      <c r="A10" s="1" t="s">
        <v>1612</v>
      </c>
      <c r="B10" s="3"/>
      <c r="C10" s="3"/>
      <c r="D10" s="3"/>
      <c r="E10" s="3"/>
      <c r="F10" s="3"/>
      <c r="G10" s="3"/>
      <c r="H10" s="3"/>
      <c r="I10" s="3"/>
      <c r="J10" s="3"/>
      <c r="K10" s="3"/>
      <c r="L10" s="3"/>
      <c r="M10" s="3"/>
      <c r="N10" s="3"/>
      <c r="O10" s="3"/>
      <c r="P10" s="3"/>
      <c r="Q10" s="3"/>
      <c r="R10" s="3"/>
      <c r="S10" s="3"/>
      <c r="T10" s="3"/>
      <c r="U10" s="3"/>
      <c r="V10" s="3"/>
      <c r="W10" s="3"/>
      <c r="X10" s="3"/>
      <c r="Y10" s="3"/>
      <c r="Z10" s="3"/>
    </row>
    <row r="11" spans="1:26" ht="32" x14ac:dyDescent="0.2">
      <c r="A11" s="184" t="s">
        <v>1613</v>
      </c>
      <c r="B11" s="3"/>
      <c r="C11" s="3"/>
      <c r="D11" s="3"/>
      <c r="E11" s="3"/>
      <c r="F11" s="3"/>
      <c r="G11" s="3"/>
      <c r="H11" s="3"/>
      <c r="I11" s="3"/>
      <c r="J11" s="3"/>
      <c r="K11" s="3"/>
      <c r="L11" s="3"/>
      <c r="M11" s="3"/>
      <c r="N11" s="3"/>
      <c r="O11" s="3"/>
      <c r="P11" s="3"/>
      <c r="Q11" s="3"/>
      <c r="R11" s="3"/>
      <c r="S11" s="3"/>
      <c r="T11" s="3"/>
      <c r="U11" s="3"/>
      <c r="V11" s="3"/>
      <c r="W11" s="3"/>
      <c r="X11" s="3"/>
      <c r="Y11" s="3"/>
      <c r="Z11" s="3"/>
    </row>
    <row r="12" spans="1:26" ht="48" x14ac:dyDescent="0.2">
      <c r="A12" s="184" t="s">
        <v>1614</v>
      </c>
      <c r="B12" s="3"/>
      <c r="C12" s="3"/>
      <c r="D12" s="3"/>
      <c r="E12" s="3"/>
      <c r="F12" s="3"/>
      <c r="G12" s="3"/>
      <c r="H12" s="3"/>
      <c r="I12" s="3"/>
      <c r="J12" s="3"/>
      <c r="K12" s="3"/>
      <c r="L12" s="3"/>
      <c r="M12" s="3"/>
      <c r="N12" s="3"/>
      <c r="O12" s="3"/>
      <c r="P12" s="3"/>
      <c r="Q12" s="3"/>
      <c r="R12" s="3"/>
      <c r="S12" s="3"/>
      <c r="T12" s="3"/>
      <c r="U12" s="3"/>
      <c r="V12" s="3"/>
      <c r="W12" s="3"/>
      <c r="X12" s="3"/>
      <c r="Y12" s="3"/>
      <c r="Z12" s="3"/>
    </row>
    <row r="13" spans="1:26" ht="64" x14ac:dyDescent="0.2">
      <c r="A13" s="184" t="s">
        <v>1615</v>
      </c>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
      <c r="A14" s="185"/>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
      <c r="A15" s="185"/>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
      <c r="A16" s="185"/>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
      <c r="A17" s="185"/>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
      <c r="A19" s="4"/>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Magyarázatok</vt:lpstr>
      <vt:lpstr>Oszlopfeliratok</vt:lpstr>
      <vt:lpstr>Adatok</vt:lpstr>
      <vt:lpstr>Ábrák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dc:creator>
  <cp:lastModifiedBy>TG</cp:lastModifiedBy>
  <dcterms:created xsi:type="dcterms:W3CDTF">2019-03-08T09:09:57Z</dcterms:created>
  <dcterms:modified xsi:type="dcterms:W3CDTF">2026-04-11T13:47:59Z</dcterms:modified>
</cp:coreProperties>
</file>